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Users\jefer\icb Dropbox\implante sp\Dropbox\Jeff\Controles\"/>
    </mc:Choice>
  </mc:AlternateContent>
  <xr:revisionPtr revIDLastSave="0" documentId="13_ncr:1_{87D3B7E9-6A6E-41FD-A1A0-9292BB90A3DB}" xr6:coauthVersionLast="47" xr6:coauthVersionMax="47" xr10:uidLastSave="{00000000-0000-0000-0000-000000000000}"/>
  <bookViews>
    <workbookView xWindow="-110" yWindow="-110" windowWidth="19420" windowHeight="11500" tabRatio="742" firstSheet="1" activeTab="1" xr2:uid="{E2BB41BC-B0CC-47A1-9009-93CA6192559E}"/>
  </bookViews>
  <sheets>
    <sheet name="Planilha2" sheetId="4" state="hidden" r:id="rId1"/>
    <sheet name="Relatório" sheetId="2" r:id="rId2"/>
    <sheet name="Base Dados" sheetId="1" r:id="rId3"/>
    <sheet name="N° procedimentos" sheetId="3" r:id="rId4"/>
    <sheet name="% Notas fiscais" sheetId="51" r:id="rId5"/>
    <sheet name="Despesas Totais 2025" sheetId="52" r:id="rId6"/>
    <sheet name="Despesas JAN 2026" sheetId="53" r:id="rId7"/>
    <sheet name="Despesas FEV 2026" sheetId="54" r:id="rId8"/>
    <sheet name="Despesas MAR 2026" sheetId="55" r:id="rId9"/>
    <sheet name="Despesas ABR 2026" sheetId="60" r:id="rId10"/>
    <sheet name="Despesas MAI 2026" sheetId="58" r:id="rId11"/>
    <sheet name="Despesas JUN 2026" sheetId="59" r:id="rId12"/>
    <sheet name="Despesas JUL 2026" sheetId="61" r:id="rId13"/>
    <sheet name="Despesas AGO 2026" sheetId="62" r:id="rId14"/>
    <sheet name="Despesas SET 2026" sheetId="63" r:id="rId15"/>
    <sheet name="Despesas OUT 2026" sheetId="64" r:id="rId16"/>
    <sheet name="Despesas NOV 2026" sheetId="65" r:id="rId17"/>
    <sheet name="Despesas DEZ 2026" sheetId="66" r:id="rId18"/>
    <sheet name="Despesas 2026" sheetId="56" r:id="rId19"/>
  </sheets>
  <definedNames>
    <definedName name="_xlnm._FilterDatabase" localSheetId="18" hidden="1">'Despesas 2026'!$A$3:$K$28</definedName>
    <definedName name="_xlnm._FilterDatabase" localSheetId="9" hidden="1">'Despesas ABR 2026'!$A$3:$N$28</definedName>
    <definedName name="_xlnm._FilterDatabase" localSheetId="13" hidden="1">'Despesas AGO 2026'!$A$3:$N$28</definedName>
    <definedName name="_xlnm._FilterDatabase" localSheetId="17" hidden="1">'Despesas DEZ 2026'!$A$3:$N$28</definedName>
    <definedName name="_xlnm._FilterDatabase" localSheetId="7" hidden="1">'Despesas FEV 2026'!$A$3:$N$28</definedName>
    <definedName name="_xlnm._FilterDatabase" localSheetId="6" hidden="1">'Despesas JAN 2026'!$A$3:$N$28</definedName>
    <definedName name="_xlnm._FilterDatabase" localSheetId="12" hidden="1">'Despesas JUL 2026'!$A$3:$N$28</definedName>
    <definedName name="_xlnm._FilterDatabase" localSheetId="11" hidden="1">'Despesas JUN 2026'!$A$3:$N$28</definedName>
    <definedName name="_xlnm._FilterDatabase" localSheetId="10" hidden="1">'Despesas MAI 2026'!$A$3:$N$28</definedName>
    <definedName name="_xlnm._FilterDatabase" localSheetId="8" hidden="1">'Despesas MAR 2026'!$A$3:$N$28</definedName>
    <definedName name="_xlnm._FilterDatabase" localSheetId="16" hidden="1">'Despesas NOV 2026'!$A$3:$N$28</definedName>
    <definedName name="_xlnm._FilterDatabase" localSheetId="15" hidden="1">'Despesas OUT 2026'!$A$3:$N$28</definedName>
    <definedName name="_xlnm._FilterDatabase" localSheetId="14" hidden="1">'Despesas SET 2026'!$A$3:$N$28</definedName>
    <definedName name="_xlnm._FilterDatabase" localSheetId="3" hidden="1">'N° procedimentos'!$A$1:$BD$34</definedName>
    <definedName name="NativeTimeline_Data">#N/A</definedName>
  </definedNames>
  <calcPr calcId="191029"/>
  <pivotCaches>
    <pivotCache cacheId="0" r:id="rId20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34" i="3" l="1"/>
  <c r="I5" i="56" l="1"/>
  <c r="I6" i="56"/>
  <c r="I7" i="56"/>
  <c r="I8" i="56"/>
  <c r="I9" i="56"/>
  <c r="I10" i="56"/>
  <c r="I11" i="56"/>
  <c r="I12" i="56"/>
  <c r="I13" i="56"/>
  <c r="I14" i="56"/>
  <c r="I15" i="56"/>
  <c r="I16" i="56"/>
  <c r="I17" i="56"/>
  <c r="I18" i="56"/>
  <c r="I19" i="56"/>
  <c r="I20" i="56"/>
  <c r="I21" i="56"/>
  <c r="I22" i="56"/>
  <c r="I23" i="56"/>
  <c r="I24" i="56"/>
  <c r="I25" i="56"/>
  <c r="I26" i="56"/>
  <c r="I27" i="56"/>
  <c r="I4" i="56"/>
  <c r="F5" i="56"/>
  <c r="F6" i="56"/>
  <c r="F7" i="56"/>
  <c r="F8" i="56"/>
  <c r="F9" i="56"/>
  <c r="F10" i="56"/>
  <c r="F11" i="56"/>
  <c r="F12" i="56"/>
  <c r="F13" i="56"/>
  <c r="F14" i="56"/>
  <c r="F15" i="56"/>
  <c r="F16" i="56"/>
  <c r="F17" i="56"/>
  <c r="F18" i="56"/>
  <c r="F19" i="56"/>
  <c r="F20" i="56"/>
  <c r="F21" i="56"/>
  <c r="F22" i="56"/>
  <c r="F23" i="56"/>
  <c r="F24" i="56"/>
  <c r="F25" i="56"/>
  <c r="F26" i="56"/>
  <c r="F27" i="56"/>
  <c r="F4" i="56"/>
  <c r="D5" i="56"/>
  <c r="D6" i="56"/>
  <c r="D7" i="56"/>
  <c r="D8" i="56"/>
  <c r="D9" i="56"/>
  <c r="D10" i="56"/>
  <c r="D11" i="56"/>
  <c r="D12" i="56"/>
  <c r="D13" i="56"/>
  <c r="D14" i="56"/>
  <c r="D15" i="56"/>
  <c r="D16" i="56"/>
  <c r="D17" i="56"/>
  <c r="D18" i="56"/>
  <c r="D19" i="56"/>
  <c r="D20" i="56"/>
  <c r="D21" i="56"/>
  <c r="D22" i="56"/>
  <c r="D23" i="56"/>
  <c r="D24" i="56"/>
  <c r="D25" i="56"/>
  <c r="D26" i="56"/>
  <c r="D27" i="56"/>
  <c r="D4" i="56"/>
  <c r="C5" i="56"/>
  <c r="C6" i="56"/>
  <c r="C7" i="56"/>
  <c r="C8" i="56"/>
  <c r="C9" i="56"/>
  <c r="C10" i="56"/>
  <c r="C11" i="56"/>
  <c r="C12" i="56"/>
  <c r="C13" i="56"/>
  <c r="C14" i="56"/>
  <c r="C15" i="56"/>
  <c r="C16" i="56"/>
  <c r="C17" i="56"/>
  <c r="C18" i="56"/>
  <c r="C19" i="56"/>
  <c r="C20" i="56"/>
  <c r="C21" i="56"/>
  <c r="C22" i="56"/>
  <c r="C23" i="56"/>
  <c r="C24" i="56"/>
  <c r="C25" i="56"/>
  <c r="C26" i="56"/>
  <c r="C27" i="56"/>
  <c r="C4" i="56"/>
  <c r="B5" i="56"/>
  <c r="B6" i="56"/>
  <c r="B7" i="56"/>
  <c r="B8" i="56"/>
  <c r="B9" i="56"/>
  <c r="B10" i="56"/>
  <c r="B11" i="56"/>
  <c r="B12" i="56"/>
  <c r="B13" i="56"/>
  <c r="B14" i="56"/>
  <c r="B15" i="56"/>
  <c r="B16" i="56"/>
  <c r="B17" i="56"/>
  <c r="B18" i="56"/>
  <c r="B19" i="56"/>
  <c r="B20" i="56"/>
  <c r="B21" i="56"/>
  <c r="B22" i="56"/>
  <c r="B23" i="56"/>
  <c r="B24" i="56"/>
  <c r="B25" i="56"/>
  <c r="B26" i="56"/>
  <c r="B27" i="56"/>
  <c r="B4" i="56"/>
  <c r="BI47" i="3" l="1"/>
  <c r="I28" i="66"/>
  <c r="F28" i="66"/>
  <c r="D28" i="66"/>
  <c r="C28" i="66"/>
  <c r="E28" i="66" s="1"/>
  <c r="G28" i="66" s="1"/>
  <c r="B28" i="66"/>
  <c r="G27" i="66"/>
  <c r="J27" i="66" s="1"/>
  <c r="K27" i="66" s="1"/>
  <c r="E27" i="66"/>
  <c r="E26" i="66"/>
  <c r="G26" i="66" s="1"/>
  <c r="E25" i="66"/>
  <c r="G25" i="66" s="1"/>
  <c r="E24" i="66"/>
  <c r="G24" i="66" s="1"/>
  <c r="E23" i="66"/>
  <c r="G23" i="66" s="1"/>
  <c r="E22" i="66"/>
  <c r="G22" i="66" s="1"/>
  <c r="E21" i="66"/>
  <c r="G21" i="66" s="1"/>
  <c r="E20" i="66"/>
  <c r="G20" i="66" s="1"/>
  <c r="G19" i="66"/>
  <c r="J19" i="66" s="1"/>
  <c r="K19" i="66" s="1"/>
  <c r="E19" i="66"/>
  <c r="E18" i="66"/>
  <c r="G18" i="66" s="1"/>
  <c r="E17" i="66"/>
  <c r="G17" i="66" s="1"/>
  <c r="E16" i="66"/>
  <c r="G16" i="66" s="1"/>
  <c r="J15" i="66"/>
  <c r="K15" i="66" s="1"/>
  <c r="G15" i="66"/>
  <c r="H15" i="66" s="1"/>
  <c r="E15" i="66"/>
  <c r="E14" i="66"/>
  <c r="G14" i="66" s="1"/>
  <c r="E13" i="66"/>
  <c r="G13" i="66" s="1"/>
  <c r="E12" i="66"/>
  <c r="G12" i="66" s="1"/>
  <c r="J12" i="66" s="1"/>
  <c r="J11" i="66"/>
  <c r="K11" i="66" s="1"/>
  <c r="G11" i="66"/>
  <c r="H11" i="66" s="1"/>
  <c r="E11" i="66"/>
  <c r="E10" i="66"/>
  <c r="G10" i="66" s="1"/>
  <c r="E9" i="66"/>
  <c r="G9" i="66" s="1"/>
  <c r="E8" i="66"/>
  <c r="G8" i="66" s="1"/>
  <c r="E7" i="66"/>
  <c r="G7" i="66" s="1"/>
  <c r="G6" i="66"/>
  <c r="H6" i="66" s="1"/>
  <c r="E6" i="66"/>
  <c r="G5" i="66"/>
  <c r="J5" i="66" s="1"/>
  <c r="K5" i="66" s="1"/>
  <c r="E5" i="66"/>
  <c r="E4" i="66"/>
  <c r="G4" i="66" s="1"/>
  <c r="I28" i="65"/>
  <c r="F28" i="65"/>
  <c r="D28" i="65"/>
  <c r="C28" i="65"/>
  <c r="B28" i="65"/>
  <c r="E28" i="65" s="1"/>
  <c r="G28" i="65" s="1"/>
  <c r="G27" i="65"/>
  <c r="H27" i="65" s="1"/>
  <c r="E27" i="65"/>
  <c r="E26" i="65"/>
  <c r="G26" i="65" s="1"/>
  <c r="E25" i="65"/>
  <c r="G25" i="65" s="1"/>
  <c r="E24" i="65"/>
  <c r="G24" i="65" s="1"/>
  <c r="E23" i="65"/>
  <c r="G23" i="65" s="1"/>
  <c r="E22" i="65"/>
  <c r="G22" i="65" s="1"/>
  <c r="E21" i="65"/>
  <c r="G21" i="65" s="1"/>
  <c r="E20" i="65"/>
  <c r="G20" i="65" s="1"/>
  <c r="G19" i="65"/>
  <c r="J19" i="65" s="1"/>
  <c r="K19" i="65" s="1"/>
  <c r="E19" i="65"/>
  <c r="E18" i="65"/>
  <c r="G18" i="65" s="1"/>
  <c r="E17" i="65"/>
  <c r="G17" i="65" s="1"/>
  <c r="E16" i="65"/>
  <c r="G16" i="65" s="1"/>
  <c r="E15" i="65"/>
  <c r="G15" i="65" s="1"/>
  <c r="E14" i="65"/>
  <c r="G14" i="65" s="1"/>
  <c r="E13" i="65"/>
  <c r="G13" i="65" s="1"/>
  <c r="E12" i="65"/>
  <c r="G12" i="65" s="1"/>
  <c r="J12" i="65" s="1"/>
  <c r="E11" i="65"/>
  <c r="G11" i="65" s="1"/>
  <c r="E10" i="65"/>
  <c r="G10" i="65" s="1"/>
  <c r="E9" i="65"/>
  <c r="G9" i="65" s="1"/>
  <c r="E8" i="65"/>
  <c r="G8" i="65" s="1"/>
  <c r="E7" i="65"/>
  <c r="G7" i="65" s="1"/>
  <c r="E6" i="65"/>
  <c r="G6" i="65" s="1"/>
  <c r="G5" i="65"/>
  <c r="J5" i="65" s="1"/>
  <c r="K5" i="65" s="1"/>
  <c r="E5" i="65"/>
  <c r="J4" i="65"/>
  <c r="K4" i="65" s="1"/>
  <c r="H4" i="65"/>
  <c r="G4" i="65"/>
  <c r="E4" i="65"/>
  <c r="I28" i="64"/>
  <c r="F28" i="64"/>
  <c r="D28" i="64"/>
  <c r="C28" i="64"/>
  <c r="E28" i="64" s="1"/>
  <c r="G28" i="64" s="1"/>
  <c r="B28" i="64"/>
  <c r="G27" i="64"/>
  <c r="J27" i="64" s="1"/>
  <c r="K27" i="64" s="1"/>
  <c r="E27" i="64"/>
  <c r="E26" i="64"/>
  <c r="G26" i="64" s="1"/>
  <c r="G25" i="64"/>
  <c r="J25" i="64" s="1"/>
  <c r="K25" i="64" s="1"/>
  <c r="E25" i="64"/>
  <c r="E24" i="64"/>
  <c r="G24" i="64" s="1"/>
  <c r="E23" i="64"/>
  <c r="G23" i="64" s="1"/>
  <c r="E22" i="64"/>
  <c r="G22" i="64" s="1"/>
  <c r="E21" i="64"/>
  <c r="G21" i="64" s="1"/>
  <c r="E20" i="64"/>
  <c r="G20" i="64" s="1"/>
  <c r="G19" i="64"/>
  <c r="J19" i="64" s="1"/>
  <c r="K19" i="64" s="1"/>
  <c r="E19" i="64"/>
  <c r="E18" i="64"/>
  <c r="G18" i="64" s="1"/>
  <c r="E17" i="64"/>
  <c r="G17" i="64" s="1"/>
  <c r="E16" i="64"/>
  <c r="G16" i="64" s="1"/>
  <c r="E15" i="64"/>
  <c r="G15" i="64" s="1"/>
  <c r="E14" i="64"/>
  <c r="G14" i="64" s="1"/>
  <c r="E13" i="64"/>
  <c r="G13" i="64" s="1"/>
  <c r="E12" i="64"/>
  <c r="G12" i="64" s="1"/>
  <c r="J12" i="64" s="1"/>
  <c r="E11" i="64"/>
  <c r="G11" i="64" s="1"/>
  <c r="E10" i="64"/>
  <c r="G10" i="64" s="1"/>
  <c r="E9" i="64"/>
  <c r="G9" i="64" s="1"/>
  <c r="E8" i="64"/>
  <c r="G8" i="64" s="1"/>
  <c r="E7" i="64"/>
  <c r="G7" i="64" s="1"/>
  <c r="G6" i="64"/>
  <c r="J6" i="64" s="1"/>
  <c r="K6" i="64" s="1"/>
  <c r="E6" i="64"/>
  <c r="G5" i="64"/>
  <c r="H5" i="64" s="1"/>
  <c r="E5" i="64"/>
  <c r="E4" i="64"/>
  <c r="G4" i="64" s="1"/>
  <c r="I28" i="63"/>
  <c r="F28" i="63"/>
  <c r="D28" i="63"/>
  <c r="C28" i="63"/>
  <c r="E28" i="63" s="1"/>
  <c r="G28" i="63" s="1"/>
  <c r="B28" i="63"/>
  <c r="E27" i="63"/>
  <c r="G27" i="63" s="1"/>
  <c r="E26" i="63"/>
  <c r="G26" i="63" s="1"/>
  <c r="E25" i="63"/>
  <c r="G25" i="63" s="1"/>
  <c r="E24" i="63"/>
  <c r="G24" i="63" s="1"/>
  <c r="E23" i="63"/>
  <c r="G23" i="63" s="1"/>
  <c r="E22" i="63"/>
  <c r="G22" i="63" s="1"/>
  <c r="E21" i="63"/>
  <c r="G21" i="63" s="1"/>
  <c r="E20" i="63"/>
  <c r="G20" i="63" s="1"/>
  <c r="G19" i="63"/>
  <c r="J19" i="63" s="1"/>
  <c r="K19" i="63" s="1"/>
  <c r="E19" i="63"/>
  <c r="E18" i="63"/>
  <c r="G18" i="63" s="1"/>
  <c r="E17" i="63"/>
  <c r="G17" i="63" s="1"/>
  <c r="E16" i="63"/>
  <c r="G16" i="63" s="1"/>
  <c r="E15" i="63"/>
  <c r="G15" i="63" s="1"/>
  <c r="E14" i="63"/>
  <c r="G14" i="63" s="1"/>
  <c r="E13" i="63"/>
  <c r="G13" i="63" s="1"/>
  <c r="E12" i="63"/>
  <c r="G12" i="63" s="1"/>
  <c r="J12" i="63" s="1"/>
  <c r="E11" i="63"/>
  <c r="G11" i="63" s="1"/>
  <c r="E10" i="63"/>
  <c r="G10" i="63" s="1"/>
  <c r="E9" i="63"/>
  <c r="G9" i="63" s="1"/>
  <c r="E8" i="63"/>
  <c r="G8" i="63" s="1"/>
  <c r="E7" i="63"/>
  <c r="G7" i="63" s="1"/>
  <c r="G6" i="63"/>
  <c r="H6" i="63" s="1"/>
  <c r="E6" i="63"/>
  <c r="E5" i="63"/>
  <c r="G5" i="63" s="1"/>
  <c r="E4" i="63"/>
  <c r="G4" i="63" s="1"/>
  <c r="I28" i="62"/>
  <c r="F28" i="62"/>
  <c r="D28" i="62"/>
  <c r="C28" i="62"/>
  <c r="E28" i="62" s="1"/>
  <c r="G28" i="62" s="1"/>
  <c r="B28" i="62"/>
  <c r="G27" i="62"/>
  <c r="J27" i="62" s="1"/>
  <c r="K27" i="62" s="1"/>
  <c r="E27" i="62"/>
  <c r="E26" i="62"/>
  <c r="G26" i="62" s="1"/>
  <c r="E25" i="62"/>
  <c r="G25" i="62" s="1"/>
  <c r="E24" i="62"/>
  <c r="G24" i="62" s="1"/>
  <c r="E23" i="62"/>
  <c r="G23" i="62" s="1"/>
  <c r="E22" i="62"/>
  <c r="G22" i="62" s="1"/>
  <c r="E21" i="62"/>
  <c r="G21" i="62" s="1"/>
  <c r="E20" i="62"/>
  <c r="G20" i="62" s="1"/>
  <c r="G19" i="62"/>
  <c r="J19" i="62" s="1"/>
  <c r="K19" i="62" s="1"/>
  <c r="E19" i="62"/>
  <c r="E18" i="62"/>
  <c r="G18" i="62" s="1"/>
  <c r="E17" i="62"/>
  <c r="G17" i="62" s="1"/>
  <c r="E16" i="62"/>
  <c r="G16" i="62" s="1"/>
  <c r="J15" i="62"/>
  <c r="K15" i="62" s="1"/>
  <c r="G15" i="62"/>
  <c r="H15" i="62" s="1"/>
  <c r="E15" i="62"/>
  <c r="E14" i="62"/>
  <c r="G14" i="62" s="1"/>
  <c r="E13" i="62"/>
  <c r="G13" i="62" s="1"/>
  <c r="E12" i="62"/>
  <c r="G12" i="62" s="1"/>
  <c r="J12" i="62" s="1"/>
  <c r="J11" i="62"/>
  <c r="K11" i="62" s="1"/>
  <c r="G11" i="62"/>
  <c r="H11" i="62" s="1"/>
  <c r="E11" i="62"/>
  <c r="E10" i="62"/>
  <c r="G10" i="62" s="1"/>
  <c r="E9" i="62"/>
  <c r="G9" i="62" s="1"/>
  <c r="E8" i="62"/>
  <c r="G8" i="62" s="1"/>
  <c r="E7" i="62"/>
  <c r="G7" i="62" s="1"/>
  <c r="G6" i="62"/>
  <c r="H6" i="62" s="1"/>
  <c r="E6" i="62"/>
  <c r="G5" i="62"/>
  <c r="J5" i="62" s="1"/>
  <c r="K5" i="62" s="1"/>
  <c r="E5" i="62"/>
  <c r="E4" i="62"/>
  <c r="G4" i="62" s="1"/>
  <c r="I28" i="61"/>
  <c r="F28" i="61"/>
  <c r="D28" i="61"/>
  <c r="C28" i="61"/>
  <c r="B28" i="61"/>
  <c r="E28" i="61" s="1"/>
  <c r="G28" i="61" s="1"/>
  <c r="G27" i="61"/>
  <c r="J27" i="61" s="1"/>
  <c r="K27" i="61" s="1"/>
  <c r="E27" i="61"/>
  <c r="E26" i="61"/>
  <c r="G26" i="61" s="1"/>
  <c r="E25" i="61"/>
  <c r="G25" i="61" s="1"/>
  <c r="E24" i="61"/>
  <c r="G24" i="61" s="1"/>
  <c r="E23" i="61"/>
  <c r="G23" i="61" s="1"/>
  <c r="E22" i="61"/>
  <c r="G22" i="61" s="1"/>
  <c r="E21" i="61"/>
  <c r="G21" i="61" s="1"/>
  <c r="E20" i="61"/>
  <c r="G20" i="61" s="1"/>
  <c r="G19" i="61"/>
  <c r="J19" i="61" s="1"/>
  <c r="K19" i="61" s="1"/>
  <c r="E19" i="61"/>
  <c r="E18" i="61"/>
  <c r="G18" i="61" s="1"/>
  <c r="E17" i="61"/>
  <c r="G17" i="61" s="1"/>
  <c r="E16" i="61"/>
  <c r="G16" i="61" s="1"/>
  <c r="E15" i="61"/>
  <c r="G15" i="61" s="1"/>
  <c r="E14" i="61"/>
  <c r="G14" i="61" s="1"/>
  <c r="E13" i="61"/>
  <c r="G13" i="61" s="1"/>
  <c r="E12" i="61"/>
  <c r="G12" i="61" s="1"/>
  <c r="J12" i="61" s="1"/>
  <c r="E11" i="61"/>
  <c r="G11" i="61" s="1"/>
  <c r="E10" i="61"/>
  <c r="G10" i="61" s="1"/>
  <c r="E9" i="61"/>
  <c r="G9" i="61" s="1"/>
  <c r="E8" i="61"/>
  <c r="G8" i="61" s="1"/>
  <c r="G7" i="61"/>
  <c r="H7" i="61" s="1"/>
  <c r="E7" i="61"/>
  <c r="E6" i="61"/>
  <c r="G6" i="61" s="1"/>
  <c r="G5" i="61"/>
  <c r="J5" i="61" s="1"/>
  <c r="K5" i="61" s="1"/>
  <c r="E5" i="61"/>
  <c r="E4" i="61"/>
  <c r="G4" i="61" s="1"/>
  <c r="I28" i="60"/>
  <c r="F28" i="60"/>
  <c r="D28" i="60"/>
  <c r="C28" i="60"/>
  <c r="B28" i="60"/>
  <c r="E28" i="60" s="1"/>
  <c r="G28" i="60" s="1"/>
  <c r="E27" i="60"/>
  <c r="G27" i="60" s="1"/>
  <c r="E26" i="60"/>
  <c r="G26" i="60" s="1"/>
  <c r="E25" i="60"/>
  <c r="G25" i="60" s="1"/>
  <c r="E24" i="60"/>
  <c r="G24" i="60" s="1"/>
  <c r="E23" i="60"/>
  <c r="G23" i="60" s="1"/>
  <c r="G22" i="60"/>
  <c r="J22" i="60" s="1"/>
  <c r="K22" i="60" s="1"/>
  <c r="E22" i="60"/>
  <c r="E21" i="60"/>
  <c r="G21" i="60" s="1"/>
  <c r="E20" i="60"/>
  <c r="G20" i="60" s="1"/>
  <c r="G19" i="60"/>
  <c r="H19" i="60" s="1"/>
  <c r="E19" i="60"/>
  <c r="E18" i="60"/>
  <c r="G18" i="60" s="1"/>
  <c r="E17" i="60"/>
  <c r="G17" i="60" s="1"/>
  <c r="E16" i="60"/>
  <c r="G16" i="60" s="1"/>
  <c r="E15" i="60"/>
  <c r="G15" i="60" s="1"/>
  <c r="E14" i="60"/>
  <c r="G14" i="60" s="1"/>
  <c r="E13" i="60"/>
  <c r="G13" i="60" s="1"/>
  <c r="E12" i="60"/>
  <c r="G12" i="60" s="1"/>
  <c r="J12" i="60" s="1"/>
  <c r="E11" i="60"/>
  <c r="G11" i="60" s="1"/>
  <c r="E10" i="60"/>
  <c r="G10" i="60" s="1"/>
  <c r="E9" i="60"/>
  <c r="G9" i="60" s="1"/>
  <c r="E8" i="60"/>
  <c r="G8" i="60" s="1"/>
  <c r="H7" i="60"/>
  <c r="G7" i="60"/>
  <c r="J7" i="60" s="1"/>
  <c r="K7" i="60" s="1"/>
  <c r="E7" i="60"/>
  <c r="E6" i="60"/>
  <c r="G6" i="60" s="1"/>
  <c r="E5" i="60"/>
  <c r="G5" i="60" s="1"/>
  <c r="E4" i="60"/>
  <c r="G4" i="60" s="1"/>
  <c r="I28" i="59"/>
  <c r="F28" i="59"/>
  <c r="D28" i="59"/>
  <c r="C28" i="59"/>
  <c r="B28" i="59"/>
  <c r="E28" i="59" s="1"/>
  <c r="G28" i="59" s="1"/>
  <c r="E27" i="59"/>
  <c r="G27" i="59" s="1"/>
  <c r="E26" i="59"/>
  <c r="G26" i="59" s="1"/>
  <c r="E25" i="59"/>
  <c r="G25" i="59" s="1"/>
  <c r="E24" i="59"/>
  <c r="G24" i="59" s="1"/>
  <c r="E23" i="59"/>
  <c r="G23" i="59" s="1"/>
  <c r="E22" i="59"/>
  <c r="G22" i="59" s="1"/>
  <c r="E21" i="59"/>
  <c r="G21" i="59" s="1"/>
  <c r="E20" i="59"/>
  <c r="G20" i="59" s="1"/>
  <c r="G19" i="59"/>
  <c r="H19" i="59" s="1"/>
  <c r="E19" i="59"/>
  <c r="E18" i="59"/>
  <c r="G18" i="59" s="1"/>
  <c r="E17" i="59"/>
  <c r="G17" i="59" s="1"/>
  <c r="E16" i="59"/>
  <c r="G16" i="59" s="1"/>
  <c r="E15" i="59"/>
  <c r="G15" i="59" s="1"/>
  <c r="E14" i="59"/>
  <c r="G14" i="59" s="1"/>
  <c r="E13" i="59"/>
  <c r="G13" i="59" s="1"/>
  <c r="E12" i="59"/>
  <c r="G12" i="59" s="1"/>
  <c r="J12" i="59" s="1"/>
  <c r="E11" i="59"/>
  <c r="G11" i="59" s="1"/>
  <c r="E10" i="59"/>
  <c r="G10" i="59" s="1"/>
  <c r="E9" i="59"/>
  <c r="G9" i="59" s="1"/>
  <c r="E8" i="59"/>
  <c r="G8" i="59" s="1"/>
  <c r="G7" i="59"/>
  <c r="J7" i="59" s="1"/>
  <c r="K7" i="59" s="1"/>
  <c r="E7" i="59"/>
  <c r="E6" i="59"/>
  <c r="G6" i="59" s="1"/>
  <c r="E5" i="59"/>
  <c r="G5" i="59" s="1"/>
  <c r="E4" i="59"/>
  <c r="G4" i="59" s="1"/>
  <c r="I28" i="58"/>
  <c r="F28" i="58"/>
  <c r="D28" i="58"/>
  <c r="C28" i="58"/>
  <c r="B28" i="58"/>
  <c r="E28" i="58" s="1"/>
  <c r="G28" i="58" s="1"/>
  <c r="E27" i="58"/>
  <c r="G27" i="58" s="1"/>
  <c r="G26" i="58"/>
  <c r="J26" i="58" s="1"/>
  <c r="K26" i="58" s="1"/>
  <c r="E26" i="58"/>
  <c r="E25" i="58"/>
  <c r="G25" i="58" s="1"/>
  <c r="E24" i="58"/>
  <c r="G24" i="58" s="1"/>
  <c r="E23" i="58"/>
  <c r="G23" i="58" s="1"/>
  <c r="E22" i="58"/>
  <c r="G22" i="58" s="1"/>
  <c r="E21" i="58"/>
  <c r="G21" i="58" s="1"/>
  <c r="E20" i="58"/>
  <c r="G20" i="58" s="1"/>
  <c r="E19" i="58"/>
  <c r="G19" i="58" s="1"/>
  <c r="E18" i="58"/>
  <c r="G18" i="58" s="1"/>
  <c r="E17" i="58"/>
  <c r="G17" i="58" s="1"/>
  <c r="E16" i="58"/>
  <c r="G16" i="58" s="1"/>
  <c r="E15" i="58"/>
  <c r="G15" i="58" s="1"/>
  <c r="E14" i="58"/>
  <c r="G14" i="58" s="1"/>
  <c r="E13" i="58"/>
  <c r="G13" i="58" s="1"/>
  <c r="E12" i="58"/>
  <c r="G12" i="58" s="1"/>
  <c r="J12" i="58" s="1"/>
  <c r="E11" i="58"/>
  <c r="G11" i="58" s="1"/>
  <c r="E10" i="58"/>
  <c r="G10" i="58" s="1"/>
  <c r="E9" i="58"/>
  <c r="G9" i="58" s="1"/>
  <c r="E8" i="58"/>
  <c r="G8" i="58" s="1"/>
  <c r="G7" i="58"/>
  <c r="J7" i="58" s="1"/>
  <c r="K7" i="58" s="1"/>
  <c r="E7" i="58"/>
  <c r="E6" i="58"/>
  <c r="G6" i="58" s="1"/>
  <c r="E5" i="58"/>
  <c r="G5" i="58" s="1"/>
  <c r="G4" i="58"/>
  <c r="H4" i="58" s="1"/>
  <c r="E4" i="58"/>
  <c r="I28" i="56"/>
  <c r="F28" i="56"/>
  <c r="D28" i="56"/>
  <c r="C28" i="56"/>
  <c r="B28" i="56"/>
  <c r="E27" i="56"/>
  <c r="G27" i="56" s="1"/>
  <c r="E26" i="56"/>
  <c r="G26" i="56" s="1"/>
  <c r="J26" i="56" s="1"/>
  <c r="K26" i="56" s="1"/>
  <c r="E25" i="56"/>
  <c r="G25" i="56" s="1"/>
  <c r="E24" i="56"/>
  <c r="G24" i="56" s="1"/>
  <c r="E23" i="56"/>
  <c r="G23" i="56" s="1"/>
  <c r="E22" i="56"/>
  <c r="G22" i="56" s="1"/>
  <c r="E21" i="56"/>
  <c r="G21" i="56" s="1"/>
  <c r="E20" i="56"/>
  <c r="G20" i="56" s="1"/>
  <c r="E19" i="56"/>
  <c r="G19" i="56" s="1"/>
  <c r="E18" i="56"/>
  <c r="G18" i="56" s="1"/>
  <c r="E17" i="56"/>
  <c r="G17" i="56" s="1"/>
  <c r="E16" i="56"/>
  <c r="G16" i="56" s="1"/>
  <c r="E15" i="56"/>
  <c r="G15" i="56" s="1"/>
  <c r="E14" i="56"/>
  <c r="G14" i="56" s="1"/>
  <c r="E13" i="56"/>
  <c r="G13" i="56" s="1"/>
  <c r="E12" i="56"/>
  <c r="G12" i="56" s="1"/>
  <c r="J12" i="56" s="1"/>
  <c r="E11" i="56"/>
  <c r="G11" i="56" s="1"/>
  <c r="E10" i="56"/>
  <c r="G10" i="56" s="1"/>
  <c r="E9" i="56"/>
  <c r="G9" i="56" s="1"/>
  <c r="E8" i="56"/>
  <c r="G8" i="56" s="1"/>
  <c r="E7" i="56"/>
  <c r="G7" i="56" s="1"/>
  <c r="J7" i="56" s="1"/>
  <c r="K7" i="56" s="1"/>
  <c r="E6" i="56"/>
  <c r="G6" i="56" s="1"/>
  <c r="E5" i="56"/>
  <c r="G5" i="56" s="1"/>
  <c r="E4" i="56"/>
  <c r="G4" i="56" s="1"/>
  <c r="J4" i="56" s="1"/>
  <c r="K4" i="56" s="1"/>
  <c r="I28" i="55"/>
  <c r="F28" i="55"/>
  <c r="D28" i="55"/>
  <c r="C28" i="55"/>
  <c r="B28" i="55"/>
  <c r="E27" i="55"/>
  <c r="G27" i="55" s="1"/>
  <c r="E26" i="55"/>
  <c r="G26" i="55" s="1"/>
  <c r="J26" i="55" s="1"/>
  <c r="K26" i="55" s="1"/>
  <c r="E25" i="55"/>
  <c r="G25" i="55" s="1"/>
  <c r="E24" i="55"/>
  <c r="G24" i="55" s="1"/>
  <c r="E23" i="55"/>
  <c r="G23" i="55" s="1"/>
  <c r="E22" i="55"/>
  <c r="G22" i="55" s="1"/>
  <c r="H22" i="55" s="1"/>
  <c r="E21" i="55"/>
  <c r="G21" i="55" s="1"/>
  <c r="E20" i="55"/>
  <c r="G20" i="55" s="1"/>
  <c r="E19" i="55"/>
  <c r="G19" i="55" s="1"/>
  <c r="E18" i="55"/>
  <c r="G18" i="55" s="1"/>
  <c r="E17" i="55"/>
  <c r="G17" i="55" s="1"/>
  <c r="E16" i="55"/>
  <c r="G16" i="55" s="1"/>
  <c r="E15" i="55"/>
  <c r="G15" i="55" s="1"/>
  <c r="J15" i="55" s="1"/>
  <c r="K15" i="55" s="1"/>
  <c r="E14" i="55"/>
  <c r="G14" i="55" s="1"/>
  <c r="E13" i="55"/>
  <c r="G13" i="55" s="1"/>
  <c r="E12" i="55"/>
  <c r="G12" i="55" s="1"/>
  <c r="J12" i="55" s="1"/>
  <c r="E11" i="55"/>
  <c r="G11" i="55" s="1"/>
  <c r="J11" i="55" s="1"/>
  <c r="K11" i="55" s="1"/>
  <c r="E10" i="55"/>
  <c r="G10" i="55" s="1"/>
  <c r="E9" i="55"/>
  <c r="G9" i="55" s="1"/>
  <c r="E8" i="55"/>
  <c r="G8" i="55" s="1"/>
  <c r="E7" i="55"/>
  <c r="G7" i="55" s="1"/>
  <c r="E6" i="55"/>
  <c r="G6" i="55" s="1"/>
  <c r="E5" i="55"/>
  <c r="G5" i="55" s="1"/>
  <c r="E4" i="55"/>
  <c r="G4" i="55" s="1"/>
  <c r="J4" i="55" s="1"/>
  <c r="K4" i="55" s="1"/>
  <c r="BA34" i="3"/>
  <c r="H16" i="51"/>
  <c r="G16" i="51"/>
  <c r="I15" i="51"/>
  <c r="I14" i="51"/>
  <c r="I13" i="51"/>
  <c r="I12" i="51"/>
  <c r="I11" i="51"/>
  <c r="I10" i="51"/>
  <c r="I9" i="51"/>
  <c r="I8" i="51"/>
  <c r="I7" i="51"/>
  <c r="I6" i="51"/>
  <c r="I5" i="51"/>
  <c r="I4" i="51"/>
  <c r="I28" i="54"/>
  <c r="F28" i="54"/>
  <c r="D28" i="54"/>
  <c r="C28" i="54"/>
  <c r="B28" i="54"/>
  <c r="E27" i="54"/>
  <c r="G27" i="54" s="1"/>
  <c r="E26" i="54"/>
  <c r="G26" i="54" s="1"/>
  <c r="J26" i="54" s="1"/>
  <c r="K26" i="54" s="1"/>
  <c r="E25" i="54"/>
  <c r="G25" i="54" s="1"/>
  <c r="E24" i="54"/>
  <c r="G24" i="54" s="1"/>
  <c r="E23" i="54"/>
  <c r="G23" i="54" s="1"/>
  <c r="E22" i="54"/>
  <c r="G22" i="54" s="1"/>
  <c r="H22" i="54" s="1"/>
  <c r="E21" i="54"/>
  <c r="G21" i="54" s="1"/>
  <c r="E20" i="54"/>
  <c r="G20" i="54" s="1"/>
  <c r="E19" i="54"/>
  <c r="G19" i="54" s="1"/>
  <c r="E18" i="54"/>
  <c r="G18" i="54" s="1"/>
  <c r="E17" i="54"/>
  <c r="G17" i="54" s="1"/>
  <c r="E16" i="54"/>
  <c r="G16" i="54" s="1"/>
  <c r="E15" i="54"/>
  <c r="G15" i="54" s="1"/>
  <c r="J15" i="54" s="1"/>
  <c r="K15" i="54" s="1"/>
  <c r="E14" i="54"/>
  <c r="G14" i="54" s="1"/>
  <c r="E13" i="54"/>
  <c r="G13" i="54" s="1"/>
  <c r="E12" i="54"/>
  <c r="G12" i="54" s="1"/>
  <c r="E11" i="54"/>
  <c r="G11" i="54" s="1"/>
  <c r="E10" i="54"/>
  <c r="G10" i="54" s="1"/>
  <c r="E9" i="54"/>
  <c r="G9" i="54" s="1"/>
  <c r="E8" i="54"/>
  <c r="G8" i="54" s="1"/>
  <c r="J8" i="54" s="1"/>
  <c r="K8" i="54" s="1"/>
  <c r="E7" i="54"/>
  <c r="G7" i="54" s="1"/>
  <c r="E6" i="54"/>
  <c r="G6" i="54" s="1"/>
  <c r="E5" i="54"/>
  <c r="G5" i="54" s="1"/>
  <c r="E4" i="54"/>
  <c r="G4" i="54" s="1"/>
  <c r="H4" i="54" s="1"/>
  <c r="E28" i="56" l="1"/>
  <c r="G28" i="56" s="1"/>
  <c r="J17" i="66"/>
  <c r="K17" i="66" s="1"/>
  <c r="H17" i="66"/>
  <c r="J9" i="66"/>
  <c r="K9" i="66" s="1"/>
  <c r="H9" i="66"/>
  <c r="H10" i="66"/>
  <c r="J10" i="66"/>
  <c r="K10" i="66" s="1"/>
  <c r="J23" i="66"/>
  <c r="K23" i="66" s="1"/>
  <c r="H23" i="66"/>
  <c r="J24" i="66"/>
  <c r="K24" i="66" s="1"/>
  <c r="H24" i="66"/>
  <c r="J18" i="66"/>
  <c r="K18" i="66" s="1"/>
  <c r="H18" i="66"/>
  <c r="J20" i="66"/>
  <c r="K20" i="66" s="1"/>
  <c r="H20" i="66"/>
  <c r="J8" i="66"/>
  <c r="K8" i="66" s="1"/>
  <c r="H8" i="66"/>
  <c r="J26" i="66"/>
  <c r="K26" i="66" s="1"/>
  <c r="H26" i="66"/>
  <c r="J21" i="66"/>
  <c r="K21" i="66" s="1"/>
  <c r="H21" i="66"/>
  <c r="J22" i="66"/>
  <c r="K22" i="66" s="1"/>
  <c r="H22" i="66"/>
  <c r="H25" i="66"/>
  <c r="J25" i="66"/>
  <c r="K25" i="66" s="1"/>
  <c r="J13" i="66"/>
  <c r="K13" i="66" s="1"/>
  <c r="H13" i="66"/>
  <c r="J28" i="66"/>
  <c r="K28" i="66" s="1"/>
  <c r="H28" i="66"/>
  <c r="J7" i="66"/>
  <c r="K7" i="66" s="1"/>
  <c r="H7" i="66"/>
  <c r="J14" i="66"/>
  <c r="K14" i="66" s="1"/>
  <c r="H14" i="66"/>
  <c r="J4" i="66"/>
  <c r="K4" i="66" s="1"/>
  <c r="H4" i="66"/>
  <c r="J16" i="66"/>
  <c r="K16" i="66" s="1"/>
  <c r="H16" i="66"/>
  <c r="H19" i="66"/>
  <c r="H5" i="66"/>
  <c r="H27" i="66"/>
  <c r="J6" i="66"/>
  <c r="K6" i="66" s="1"/>
  <c r="J26" i="65"/>
  <c r="K26" i="65" s="1"/>
  <c r="H26" i="65"/>
  <c r="H10" i="65"/>
  <c r="J10" i="65"/>
  <c r="K10" i="65" s="1"/>
  <c r="H11" i="65"/>
  <c r="J11" i="65"/>
  <c r="K11" i="65" s="1"/>
  <c r="J28" i="65"/>
  <c r="K28" i="65" s="1"/>
  <c r="H28" i="65"/>
  <c r="J6" i="65"/>
  <c r="K6" i="65" s="1"/>
  <c r="H6" i="65"/>
  <c r="H23" i="65"/>
  <c r="J23" i="65"/>
  <c r="K23" i="65" s="1"/>
  <c r="H24" i="65"/>
  <c r="J24" i="65"/>
  <c r="K24" i="65" s="1"/>
  <c r="J8" i="65"/>
  <c r="K8" i="65" s="1"/>
  <c r="H8" i="65"/>
  <c r="J9" i="65"/>
  <c r="K9" i="65" s="1"/>
  <c r="H9" i="65"/>
  <c r="J14" i="65"/>
  <c r="K14" i="65" s="1"/>
  <c r="H14" i="65"/>
  <c r="H15" i="65"/>
  <c r="J15" i="65"/>
  <c r="K15" i="65" s="1"/>
  <c r="J17" i="65"/>
  <c r="K17" i="65" s="1"/>
  <c r="H17" i="65"/>
  <c r="H18" i="65"/>
  <c r="J18" i="65"/>
  <c r="K18" i="65" s="1"/>
  <c r="J20" i="65"/>
  <c r="K20" i="65" s="1"/>
  <c r="H20" i="65"/>
  <c r="H21" i="65"/>
  <c r="J21" i="65"/>
  <c r="K21" i="65" s="1"/>
  <c r="J22" i="65"/>
  <c r="K22" i="65" s="1"/>
  <c r="H22" i="65"/>
  <c r="J7" i="65"/>
  <c r="K7" i="65" s="1"/>
  <c r="H7" i="65"/>
  <c r="J25" i="65"/>
  <c r="K25" i="65" s="1"/>
  <c r="H25" i="65"/>
  <c r="J13" i="65"/>
  <c r="K13" i="65" s="1"/>
  <c r="H13" i="65"/>
  <c r="J16" i="65"/>
  <c r="K16" i="65" s="1"/>
  <c r="H16" i="65"/>
  <c r="H5" i="65"/>
  <c r="J27" i="65"/>
  <c r="K27" i="65" s="1"/>
  <c r="H19" i="65"/>
  <c r="J20" i="64"/>
  <c r="K20" i="64" s="1"/>
  <c r="H20" i="64"/>
  <c r="J18" i="64"/>
  <c r="K18" i="64" s="1"/>
  <c r="H18" i="64"/>
  <c r="J4" i="64"/>
  <c r="K4" i="64" s="1"/>
  <c r="H4" i="64"/>
  <c r="J21" i="64"/>
  <c r="K21" i="64" s="1"/>
  <c r="H21" i="64"/>
  <c r="J22" i="64"/>
  <c r="K22" i="64" s="1"/>
  <c r="H22" i="64"/>
  <c r="J23" i="64"/>
  <c r="K23" i="64" s="1"/>
  <c r="H23" i="64"/>
  <c r="J7" i="64"/>
  <c r="K7" i="64" s="1"/>
  <c r="H7" i="64"/>
  <c r="J24" i="64"/>
  <c r="K24" i="64" s="1"/>
  <c r="H24" i="64"/>
  <c r="J8" i="64"/>
  <c r="K8" i="64" s="1"/>
  <c r="H8" i="64"/>
  <c r="J9" i="64"/>
  <c r="K9" i="64" s="1"/>
  <c r="H9" i="64"/>
  <c r="J10" i="64"/>
  <c r="K10" i="64" s="1"/>
  <c r="H10" i="64"/>
  <c r="J26" i="64"/>
  <c r="K26" i="64" s="1"/>
  <c r="H26" i="64"/>
  <c r="H11" i="64"/>
  <c r="J11" i="64"/>
  <c r="K11" i="64" s="1"/>
  <c r="J13" i="64"/>
  <c r="K13" i="64" s="1"/>
  <c r="H13" i="64"/>
  <c r="J14" i="64"/>
  <c r="K14" i="64" s="1"/>
  <c r="H14" i="64"/>
  <c r="J28" i="64"/>
  <c r="K28" i="64" s="1"/>
  <c r="H28" i="64"/>
  <c r="H15" i="64"/>
  <c r="J15" i="64"/>
  <c r="K15" i="64" s="1"/>
  <c r="H16" i="64"/>
  <c r="J16" i="64"/>
  <c r="K16" i="64" s="1"/>
  <c r="J17" i="64"/>
  <c r="K17" i="64" s="1"/>
  <c r="H17" i="64"/>
  <c r="H19" i="64"/>
  <c r="H27" i="64"/>
  <c r="J5" i="64"/>
  <c r="K5" i="64" s="1"/>
  <c r="H6" i="64"/>
  <c r="H25" i="64"/>
  <c r="J18" i="63"/>
  <c r="K18" i="63" s="1"/>
  <c r="H18" i="63"/>
  <c r="J20" i="63"/>
  <c r="K20" i="63" s="1"/>
  <c r="H20" i="63"/>
  <c r="J7" i="63"/>
  <c r="K7" i="63" s="1"/>
  <c r="H7" i="63"/>
  <c r="J8" i="63"/>
  <c r="K8" i="63" s="1"/>
  <c r="H8" i="63"/>
  <c r="J26" i="63"/>
  <c r="K26" i="63" s="1"/>
  <c r="H26" i="63"/>
  <c r="J27" i="63"/>
  <c r="K27" i="63" s="1"/>
  <c r="H27" i="63"/>
  <c r="H11" i="63"/>
  <c r="J11" i="63"/>
  <c r="K11" i="63" s="1"/>
  <c r="J16" i="63"/>
  <c r="K16" i="63" s="1"/>
  <c r="H16" i="63"/>
  <c r="J21" i="63"/>
  <c r="K21" i="63" s="1"/>
  <c r="H21" i="63"/>
  <c r="J17" i="63"/>
  <c r="K17" i="63" s="1"/>
  <c r="H17" i="63"/>
  <c r="J4" i="63"/>
  <c r="K4" i="63" s="1"/>
  <c r="H4" i="63"/>
  <c r="J5" i="63"/>
  <c r="K5" i="63" s="1"/>
  <c r="H5" i="63"/>
  <c r="J22" i="63"/>
  <c r="K22" i="63" s="1"/>
  <c r="H22" i="63"/>
  <c r="J23" i="63"/>
  <c r="K23" i="63" s="1"/>
  <c r="H23" i="63"/>
  <c r="J24" i="63"/>
  <c r="K24" i="63" s="1"/>
  <c r="H24" i="63"/>
  <c r="J25" i="63"/>
  <c r="K25" i="63" s="1"/>
  <c r="H25" i="63"/>
  <c r="J9" i="63"/>
  <c r="K9" i="63" s="1"/>
  <c r="H9" i="63"/>
  <c r="J10" i="63"/>
  <c r="K10" i="63" s="1"/>
  <c r="H10" i="63"/>
  <c r="H28" i="63"/>
  <c r="J28" i="63"/>
  <c r="K28" i="63" s="1"/>
  <c r="J13" i="63"/>
  <c r="K13" i="63" s="1"/>
  <c r="H13" i="63"/>
  <c r="J14" i="63"/>
  <c r="K14" i="63" s="1"/>
  <c r="H14" i="63"/>
  <c r="H15" i="63"/>
  <c r="J15" i="63"/>
  <c r="K15" i="63" s="1"/>
  <c r="H19" i="63"/>
  <c r="J6" i="63"/>
  <c r="K6" i="63" s="1"/>
  <c r="J26" i="62"/>
  <c r="K26" i="62" s="1"/>
  <c r="H26" i="62"/>
  <c r="J28" i="62"/>
  <c r="K28" i="62" s="1"/>
  <c r="H28" i="62"/>
  <c r="H4" i="62"/>
  <c r="J4" i="62"/>
  <c r="K4" i="62" s="1"/>
  <c r="J25" i="62"/>
  <c r="K25" i="62" s="1"/>
  <c r="H25" i="62"/>
  <c r="J13" i="62"/>
  <c r="K13" i="62" s="1"/>
  <c r="H13" i="62"/>
  <c r="J14" i="62"/>
  <c r="K14" i="62" s="1"/>
  <c r="H14" i="62"/>
  <c r="J16" i="62"/>
  <c r="K16" i="62" s="1"/>
  <c r="H16" i="62"/>
  <c r="J17" i="62"/>
  <c r="K17" i="62" s="1"/>
  <c r="H17" i="62"/>
  <c r="J18" i="62"/>
  <c r="K18" i="62" s="1"/>
  <c r="H18" i="62"/>
  <c r="J7" i="62"/>
  <c r="K7" i="62" s="1"/>
  <c r="H7" i="62"/>
  <c r="J20" i="62"/>
  <c r="K20" i="62" s="1"/>
  <c r="H20" i="62"/>
  <c r="J8" i="62"/>
  <c r="K8" i="62" s="1"/>
  <c r="H8" i="62"/>
  <c r="H21" i="62"/>
  <c r="J21" i="62"/>
  <c r="K21" i="62" s="1"/>
  <c r="J9" i="62"/>
  <c r="K9" i="62" s="1"/>
  <c r="H9" i="62"/>
  <c r="J22" i="62"/>
  <c r="K22" i="62" s="1"/>
  <c r="H22" i="62"/>
  <c r="J10" i="62"/>
  <c r="K10" i="62" s="1"/>
  <c r="H10" i="62"/>
  <c r="J23" i="62"/>
  <c r="K23" i="62" s="1"/>
  <c r="H23" i="62"/>
  <c r="H24" i="62"/>
  <c r="J24" i="62"/>
  <c r="K24" i="62" s="1"/>
  <c r="J6" i="62"/>
  <c r="K6" i="62" s="1"/>
  <c r="H19" i="62"/>
  <c r="H5" i="62"/>
  <c r="H27" i="62"/>
  <c r="J17" i="61"/>
  <c r="K17" i="61" s="1"/>
  <c r="H17" i="61"/>
  <c r="J22" i="61"/>
  <c r="K22" i="61" s="1"/>
  <c r="H22" i="61"/>
  <c r="J8" i="61"/>
  <c r="K8" i="61" s="1"/>
  <c r="H8" i="61"/>
  <c r="H9" i="61"/>
  <c r="J9" i="61"/>
  <c r="K9" i="61" s="1"/>
  <c r="J10" i="61"/>
  <c r="K10" i="61" s="1"/>
  <c r="H10" i="61"/>
  <c r="H11" i="61"/>
  <c r="J11" i="61"/>
  <c r="K11" i="61" s="1"/>
  <c r="J28" i="61"/>
  <c r="K28" i="61" s="1"/>
  <c r="H28" i="61"/>
  <c r="J18" i="61"/>
  <c r="K18" i="61" s="1"/>
  <c r="H18" i="61"/>
  <c r="J4" i="61"/>
  <c r="K4" i="61" s="1"/>
  <c r="H4" i="61"/>
  <c r="J20" i="61"/>
  <c r="K20" i="61" s="1"/>
  <c r="H20" i="61"/>
  <c r="H21" i="61"/>
  <c r="J21" i="61"/>
  <c r="K21" i="61" s="1"/>
  <c r="H6" i="61"/>
  <c r="J6" i="61"/>
  <c r="K6" i="61" s="1"/>
  <c r="J23" i="61"/>
  <c r="K23" i="61" s="1"/>
  <c r="H23" i="61"/>
  <c r="J24" i="61"/>
  <c r="K24" i="61" s="1"/>
  <c r="H24" i="61"/>
  <c r="J25" i="61"/>
  <c r="K25" i="61" s="1"/>
  <c r="H25" i="61"/>
  <c r="J26" i="61"/>
  <c r="K26" i="61" s="1"/>
  <c r="H26" i="61"/>
  <c r="J13" i="61"/>
  <c r="K13" i="61" s="1"/>
  <c r="H13" i="61"/>
  <c r="J14" i="61"/>
  <c r="K14" i="61" s="1"/>
  <c r="H14" i="61"/>
  <c r="H15" i="61"/>
  <c r="J15" i="61"/>
  <c r="K15" i="61" s="1"/>
  <c r="J16" i="61"/>
  <c r="K16" i="61" s="1"/>
  <c r="H16" i="61"/>
  <c r="H27" i="61"/>
  <c r="H19" i="61"/>
  <c r="H5" i="61"/>
  <c r="J7" i="61"/>
  <c r="K7" i="61" s="1"/>
  <c r="J5" i="60"/>
  <c r="K5" i="60" s="1"/>
  <c r="H5" i="60"/>
  <c r="J28" i="60"/>
  <c r="K28" i="60" s="1"/>
  <c r="H28" i="60"/>
  <c r="J9" i="60"/>
  <c r="K9" i="60" s="1"/>
  <c r="H9" i="60"/>
  <c r="H11" i="60"/>
  <c r="J11" i="60"/>
  <c r="K11" i="60" s="1"/>
  <c r="J13" i="60"/>
  <c r="K13" i="60" s="1"/>
  <c r="H13" i="60"/>
  <c r="J14" i="60"/>
  <c r="K14" i="60" s="1"/>
  <c r="H14" i="60"/>
  <c r="H4" i="60"/>
  <c r="J4" i="60"/>
  <c r="K4" i="60" s="1"/>
  <c r="H6" i="60"/>
  <c r="J6" i="60"/>
  <c r="K6" i="60" s="1"/>
  <c r="H8" i="60"/>
  <c r="J8" i="60"/>
  <c r="K8" i="60" s="1"/>
  <c r="J26" i="60"/>
  <c r="K26" i="60" s="1"/>
  <c r="H26" i="60"/>
  <c r="H15" i="60"/>
  <c r="J15" i="60"/>
  <c r="K15" i="60" s="1"/>
  <c r="J17" i="60"/>
  <c r="K17" i="60" s="1"/>
  <c r="H17" i="60"/>
  <c r="J18" i="60"/>
  <c r="K18" i="60" s="1"/>
  <c r="H18" i="60"/>
  <c r="J20" i="60"/>
  <c r="K20" i="60" s="1"/>
  <c r="H20" i="60"/>
  <c r="J21" i="60"/>
  <c r="K21" i="60" s="1"/>
  <c r="H21" i="60"/>
  <c r="J23" i="60"/>
  <c r="K23" i="60" s="1"/>
  <c r="H23" i="60"/>
  <c r="J24" i="60"/>
  <c r="K24" i="60" s="1"/>
  <c r="H24" i="60"/>
  <c r="J25" i="60"/>
  <c r="K25" i="60" s="1"/>
  <c r="H25" i="60"/>
  <c r="J10" i="60"/>
  <c r="K10" i="60" s="1"/>
  <c r="H10" i="60"/>
  <c r="H27" i="60"/>
  <c r="J27" i="60"/>
  <c r="K27" i="60" s="1"/>
  <c r="J16" i="60"/>
  <c r="K16" i="60" s="1"/>
  <c r="H16" i="60"/>
  <c r="J19" i="60"/>
  <c r="K19" i="60" s="1"/>
  <c r="H22" i="60"/>
  <c r="J16" i="59"/>
  <c r="K16" i="59" s="1"/>
  <c r="H16" i="59"/>
  <c r="J17" i="59"/>
  <c r="K17" i="59" s="1"/>
  <c r="H17" i="59"/>
  <c r="J4" i="59"/>
  <c r="K4" i="59" s="1"/>
  <c r="H4" i="59"/>
  <c r="J22" i="59"/>
  <c r="K22" i="59" s="1"/>
  <c r="H22" i="59"/>
  <c r="J18" i="59"/>
  <c r="K18" i="59" s="1"/>
  <c r="H18" i="59"/>
  <c r="J20" i="59"/>
  <c r="K20" i="59" s="1"/>
  <c r="H20" i="59"/>
  <c r="H5" i="59"/>
  <c r="J5" i="59"/>
  <c r="K5" i="59" s="1"/>
  <c r="J21" i="59"/>
  <c r="K21" i="59" s="1"/>
  <c r="H21" i="59"/>
  <c r="J6" i="59"/>
  <c r="K6" i="59" s="1"/>
  <c r="H6" i="59"/>
  <c r="J23" i="59"/>
  <c r="K23" i="59" s="1"/>
  <c r="H23" i="59"/>
  <c r="J24" i="59"/>
  <c r="K24" i="59" s="1"/>
  <c r="H24" i="59"/>
  <c r="J8" i="59"/>
  <c r="K8" i="59" s="1"/>
  <c r="H8" i="59"/>
  <c r="J25" i="59"/>
  <c r="K25" i="59" s="1"/>
  <c r="H25" i="59"/>
  <c r="H9" i="59"/>
  <c r="J9" i="59"/>
  <c r="K9" i="59" s="1"/>
  <c r="J26" i="59"/>
  <c r="K26" i="59" s="1"/>
  <c r="H26" i="59"/>
  <c r="J10" i="59"/>
  <c r="K10" i="59" s="1"/>
  <c r="H10" i="59"/>
  <c r="H27" i="59"/>
  <c r="J27" i="59"/>
  <c r="K27" i="59" s="1"/>
  <c r="H11" i="59"/>
  <c r="J11" i="59"/>
  <c r="K11" i="59" s="1"/>
  <c r="J28" i="59"/>
  <c r="K28" i="59" s="1"/>
  <c r="H28" i="59"/>
  <c r="H13" i="59"/>
  <c r="J13" i="59"/>
  <c r="K13" i="59" s="1"/>
  <c r="J14" i="59"/>
  <c r="K14" i="59" s="1"/>
  <c r="H14" i="59"/>
  <c r="H15" i="59"/>
  <c r="J15" i="59"/>
  <c r="K15" i="59" s="1"/>
  <c r="J19" i="59"/>
  <c r="K19" i="59" s="1"/>
  <c r="H7" i="59"/>
  <c r="H24" i="58"/>
  <c r="J24" i="58"/>
  <c r="K24" i="58" s="1"/>
  <c r="H13" i="58"/>
  <c r="J13" i="58"/>
  <c r="K13" i="58" s="1"/>
  <c r="H14" i="58"/>
  <c r="J14" i="58"/>
  <c r="K14" i="58" s="1"/>
  <c r="J15" i="58"/>
  <c r="K15" i="58" s="1"/>
  <c r="H15" i="58"/>
  <c r="J16" i="58"/>
  <c r="K16" i="58" s="1"/>
  <c r="H16" i="58"/>
  <c r="J17" i="58"/>
  <c r="K17" i="58" s="1"/>
  <c r="H17" i="58"/>
  <c r="J18" i="58"/>
  <c r="K18" i="58" s="1"/>
  <c r="H18" i="58"/>
  <c r="J19" i="58"/>
  <c r="K19" i="58" s="1"/>
  <c r="H19" i="58"/>
  <c r="J20" i="58"/>
  <c r="K20" i="58" s="1"/>
  <c r="H20" i="58"/>
  <c r="J21" i="58"/>
  <c r="K21" i="58" s="1"/>
  <c r="H21" i="58"/>
  <c r="J5" i="58"/>
  <c r="K5" i="58" s="1"/>
  <c r="H5" i="58"/>
  <c r="H22" i="58"/>
  <c r="J22" i="58"/>
  <c r="K22" i="58" s="1"/>
  <c r="J6" i="58"/>
  <c r="K6" i="58" s="1"/>
  <c r="H6" i="58"/>
  <c r="H23" i="58"/>
  <c r="J23" i="58"/>
  <c r="K23" i="58" s="1"/>
  <c r="J25" i="58"/>
  <c r="K25" i="58" s="1"/>
  <c r="H25" i="58"/>
  <c r="J8" i="58"/>
  <c r="K8" i="58" s="1"/>
  <c r="H8" i="58"/>
  <c r="J9" i="58"/>
  <c r="K9" i="58" s="1"/>
  <c r="H9" i="58"/>
  <c r="J10" i="58"/>
  <c r="K10" i="58" s="1"/>
  <c r="H10" i="58"/>
  <c r="H27" i="58"/>
  <c r="J27" i="58"/>
  <c r="K27" i="58" s="1"/>
  <c r="J11" i="58"/>
  <c r="K11" i="58" s="1"/>
  <c r="H11" i="58"/>
  <c r="J28" i="58"/>
  <c r="K28" i="58" s="1"/>
  <c r="H28" i="58"/>
  <c r="J4" i="58"/>
  <c r="K4" i="58" s="1"/>
  <c r="H26" i="58"/>
  <c r="H7" i="58"/>
  <c r="J14" i="56"/>
  <c r="K14" i="56" s="1"/>
  <c r="H14" i="56"/>
  <c r="J16" i="56"/>
  <c r="K16" i="56" s="1"/>
  <c r="H16" i="56"/>
  <c r="J17" i="56"/>
  <c r="K17" i="56" s="1"/>
  <c r="H17" i="56"/>
  <c r="J18" i="56"/>
  <c r="K18" i="56" s="1"/>
  <c r="H18" i="56"/>
  <c r="H19" i="56"/>
  <c r="J19" i="56"/>
  <c r="K19" i="56" s="1"/>
  <c r="J21" i="56"/>
  <c r="K21" i="56" s="1"/>
  <c r="H21" i="56"/>
  <c r="H22" i="56"/>
  <c r="J22" i="56"/>
  <c r="K22" i="56" s="1"/>
  <c r="J23" i="56"/>
  <c r="K23" i="56" s="1"/>
  <c r="H23" i="56"/>
  <c r="J25" i="56"/>
  <c r="K25" i="56" s="1"/>
  <c r="H25" i="56"/>
  <c r="H13" i="56"/>
  <c r="J13" i="56"/>
  <c r="K13" i="56" s="1"/>
  <c r="J15" i="56"/>
  <c r="K15" i="56" s="1"/>
  <c r="H15" i="56"/>
  <c r="J20" i="56"/>
  <c r="K20" i="56" s="1"/>
  <c r="H20" i="56"/>
  <c r="J5" i="56"/>
  <c r="K5" i="56" s="1"/>
  <c r="H5" i="56"/>
  <c r="J6" i="56"/>
  <c r="K6" i="56" s="1"/>
  <c r="H6" i="56"/>
  <c r="J24" i="56"/>
  <c r="K24" i="56" s="1"/>
  <c r="H24" i="56"/>
  <c r="J8" i="56"/>
  <c r="K8" i="56" s="1"/>
  <c r="H8" i="56"/>
  <c r="H9" i="56"/>
  <c r="J9" i="56"/>
  <c r="K9" i="56" s="1"/>
  <c r="J10" i="56"/>
  <c r="K10" i="56" s="1"/>
  <c r="H10" i="56"/>
  <c r="J27" i="56"/>
  <c r="K27" i="56" s="1"/>
  <c r="H27" i="56"/>
  <c r="J11" i="56"/>
  <c r="K11" i="56" s="1"/>
  <c r="H11" i="56"/>
  <c r="H4" i="56"/>
  <c r="H26" i="56"/>
  <c r="H7" i="56"/>
  <c r="E28" i="55"/>
  <c r="G28" i="55" s="1"/>
  <c r="J28" i="55" s="1"/>
  <c r="K28" i="55" s="1"/>
  <c r="J7" i="55"/>
  <c r="K7" i="55" s="1"/>
  <c r="H7" i="55"/>
  <c r="J20" i="55"/>
  <c r="K20" i="55" s="1"/>
  <c r="H20" i="55"/>
  <c r="J8" i="55"/>
  <c r="K8" i="55" s="1"/>
  <c r="H8" i="55"/>
  <c r="J21" i="55"/>
  <c r="K21" i="55" s="1"/>
  <c r="H21" i="55"/>
  <c r="J9" i="55"/>
  <c r="K9" i="55" s="1"/>
  <c r="H9" i="55"/>
  <c r="J10" i="55"/>
  <c r="K10" i="55" s="1"/>
  <c r="H10" i="55"/>
  <c r="J22" i="55"/>
  <c r="K22" i="55" s="1"/>
  <c r="H11" i="55"/>
  <c r="J23" i="55"/>
  <c r="K23" i="55" s="1"/>
  <c r="H23" i="55"/>
  <c r="J24" i="55"/>
  <c r="K24" i="55" s="1"/>
  <c r="H24" i="55"/>
  <c r="J25" i="55"/>
  <c r="K25" i="55" s="1"/>
  <c r="H25" i="55"/>
  <c r="J13" i="55"/>
  <c r="K13" i="55" s="1"/>
  <c r="H13" i="55"/>
  <c r="J14" i="55"/>
  <c r="K14" i="55" s="1"/>
  <c r="H14" i="55"/>
  <c r="H26" i="55"/>
  <c r="H15" i="55"/>
  <c r="J27" i="55"/>
  <c r="K27" i="55" s="1"/>
  <c r="H27" i="55"/>
  <c r="H4" i="55"/>
  <c r="J16" i="55"/>
  <c r="K16" i="55" s="1"/>
  <c r="H16" i="55"/>
  <c r="J17" i="55"/>
  <c r="J5" i="55"/>
  <c r="K5" i="55" s="1"/>
  <c r="H5" i="55"/>
  <c r="J18" i="55"/>
  <c r="K18" i="55" s="1"/>
  <c r="H18" i="55"/>
  <c r="J6" i="55"/>
  <c r="K6" i="55" s="1"/>
  <c r="H6" i="55"/>
  <c r="J19" i="55"/>
  <c r="K19" i="55" s="1"/>
  <c r="H19" i="55"/>
  <c r="H18" i="51"/>
  <c r="E28" i="54"/>
  <c r="G28" i="54" s="1"/>
  <c r="J28" i="54" s="1"/>
  <c r="K28" i="54" s="1"/>
  <c r="I16" i="51"/>
  <c r="J19" i="54"/>
  <c r="K19" i="54" s="1"/>
  <c r="H19" i="54"/>
  <c r="J17" i="54"/>
  <c r="K17" i="54" s="1"/>
  <c r="H17" i="54"/>
  <c r="J16" i="54"/>
  <c r="K16" i="54" s="1"/>
  <c r="H16" i="54"/>
  <c r="J5" i="54"/>
  <c r="K5" i="54" s="1"/>
  <c r="H5" i="54"/>
  <c r="J6" i="54"/>
  <c r="K6" i="54" s="1"/>
  <c r="H6" i="54"/>
  <c r="J18" i="54"/>
  <c r="K18" i="54" s="1"/>
  <c r="H18" i="54"/>
  <c r="J20" i="54"/>
  <c r="K20" i="54" s="1"/>
  <c r="H20" i="54"/>
  <c r="H8" i="54"/>
  <c r="J21" i="54"/>
  <c r="K21" i="54" s="1"/>
  <c r="H21" i="54"/>
  <c r="J9" i="54"/>
  <c r="K9" i="54" s="1"/>
  <c r="H9" i="54"/>
  <c r="J22" i="54"/>
  <c r="K22" i="54" s="1"/>
  <c r="J10" i="54"/>
  <c r="K10" i="54" s="1"/>
  <c r="H10" i="54"/>
  <c r="J11" i="54"/>
  <c r="K11" i="54" s="1"/>
  <c r="H11" i="54"/>
  <c r="J23" i="54"/>
  <c r="K23" i="54" s="1"/>
  <c r="H23" i="54"/>
  <c r="J24" i="54"/>
  <c r="K24" i="54" s="1"/>
  <c r="H24" i="54"/>
  <c r="J12" i="54"/>
  <c r="J25" i="54"/>
  <c r="K25" i="54" s="1"/>
  <c r="H25" i="54"/>
  <c r="J13" i="54"/>
  <c r="K13" i="54" s="1"/>
  <c r="H13" i="54"/>
  <c r="J14" i="54"/>
  <c r="K14" i="54" s="1"/>
  <c r="H14" i="54"/>
  <c r="H26" i="54"/>
  <c r="H15" i="54"/>
  <c r="J27" i="54"/>
  <c r="K27" i="54" s="1"/>
  <c r="H27" i="54"/>
  <c r="J4" i="54"/>
  <c r="K4" i="54" s="1"/>
  <c r="J7" i="54"/>
  <c r="K7" i="54" s="1"/>
  <c r="H7" i="54"/>
  <c r="H28" i="56" l="1"/>
  <c r="J28" i="56"/>
  <c r="K28" i="56" s="1"/>
  <c r="H28" i="55"/>
  <c r="H28" i="54"/>
  <c r="AZ34" i="3" l="1"/>
  <c r="BG47" i="3"/>
  <c r="BH47" i="3"/>
  <c r="BF47" i="3"/>
  <c r="I28" i="53"/>
  <c r="F28" i="53"/>
  <c r="D28" i="53"/>
  <c r="C28" i="53"/>
  <c r="E5" i="53" l="1"/>
  <c r="G5" i="53" s="1"/>
  <c r="H5" i="53" s="1"/>
  <c r="E6" i="53"/>
  <c r="G6" i="53" s="1"/>
  <c r="H6" i="53" s="1"/>
  <c r="E7" i="53"/>
  <c r="G7" i="53" s="1"/>
  <c r="H7" i="53" s="1"/>
  <c r="E8" i="53"/>
  <c r="G8" i="53" s="1"/>
  <c r="H8" i="53" s="1"/>
  <c r="E9" i="53"/>
  <c r="G9" i="53" s="1"/>
  <c r="H9" i="53" s="1"/>
  <c r="E10" i="53"/>
  <c r="G10" i="53" s="1"/>
  <c r="H10" i="53" s="1"/>
  <c r="E11" i="53"/>
  <c r="G11" i="53" s="1"/>
  <c r="H11" i="53" s="1"/>
  <c r="E12" i="53"/>
  <c r="G12" i="53" s="1"/>
  <c r="H12" i="53" s="1"/>
  <c r="E13" i="53"/>
  <c r="G13" i="53" s="1"/>
  <c r="H13" i="53" s="1"/>
  <c r="E14" i="53"/>
  <c r="G14" i="53" s="1"/>
  <c r="H14" i="53" s="1"/>
  <c r="E15" i="53"/>
  <c r="G15" i="53" s="1"/>
  <c r="H15" i="53" s="1"/>
  <c r="E16" i="53"/>
  <c r="G16" i="53" s="1"/>
  <c r="H16" i="53" s="1"/>
  <c r="E17" i="53"/>
  <c r="G17" i="53" s="1"/>
  <c r="H17" i="53" s="1"/>
  <c r="E18" i="53"/>
  <c r="G18" i="53" s="1"/>
  <c r="H18" i="53" s="1"/>
  <c r="E19" i="53"/>
  <c r="G19" i="53" s="1"/>
  <c r="H19" i="53" s="1"/>
  <c r="E20" i="53"/>
  <c r="G20" i="53" s="1"/>
  <c r="H20" i="53" s="1"/>
  <c r="E21" i="53"/>
  <c r="G21" i="53" s="1"/>
  <c r="H21" i="53" s="1"/>
  <c r="E22" i="53"/>
  <c r="G22" i="53" s="1"/>
  <c r="H22" i="53" s="1"/>
  <c r="E23" i="53"/>
  <c r="G23" i="53" s="1"/>
  <c r="H23" i="53" s="1"/>
  <c r="E24" i="53"/>
  <c r="G24" i="53" s="1"/>
  <c r="H24" i="53" s="1"/>
  <c r="E25" i="53"/>
  <c r="G25" i="53" s="1"/>
  <c r="H25" i="53" s="1"/>
  <c r="E26" i="53"/>
  <c r="G26" i="53" s="1"/>
  <c r="E27" i="53"/>
  <c r="G27" i="53" s="1"/>
  <c r="E4" i="53"/>
  <c r="G4" i="53" s="1"/>
  <c r="H4" i="53" s="1"/>
  <c r="J5" i="53" l="1"/>
  <c r="K5" i="53" s="1"/>
  <c r="J21" i="53"/>
  <c r="K21" i="53" s="1"/>
  <c r="J20" i="53"/>
  <c r="K20" i="53" s="1"/>
  <c r="J9" i="53"/>
  <c r="K9" i="53" s="1"/>
  <c r="J7" i="53"/>
  <c r="K7" i="53" s="1"/>
  <c r="J19" i="53"/>
  <c r="K19" i="53" s="1"/>
  <c r="J8" i="53"/>
  <c r="K8" i="53" s="1"/>
  <c r="J6" i="53"/>
  <c r="K6" i="53" s="1"/>
  <c r="H27" i="53"/>
  <c r="J27" i="53"/>
  <c r="K27" i="53" s="1"/>
  <c r="H26" i="53"/>
  <c r="J26" i="53"/>
  <c r="K26" i="53" s="1"/>
  <c r="J25" i="53"/>
  <c r="K25" i="53" s="1"/>
  <c r="J24" i="53"/>
  <c r="K24" i="53" s="1"/>
  <c r="J23" i="53"/>
  <c r="K23" i="53" s="1"/>
  <c r="J22" i="53"/>
  <c r="K22" i="53" s="1"/>
  <c r="J18" i="53"/>
  <c r="K18" i="53" s="1"/>
  <c r="J17" i="53"/>
  <c r="K17" i="53" s="1"/>
  <c r="J16" i="53"/>
  <c r="K16" i="53" s="1"/>
  <c r="J4" i="53"/>
  <c r="K4" i="53" s="1"/>
  <c r="J15" i="53"/>
  <c r="K15" i="53" s="1"/>
  <c r="J14" i="53"/>
  <c r="K14" i="53" s="1"/>
  <c r="J13" i="53"/>
  <c r="K13" i="53" s="1"/>
  <c r="J12" i="53"/>
  <c r="K12" i="53" s="1"/>
  <c r="J11" i="53"/>
  <c r="K11" i="53" s="1"/>
  <c r="J10" i="53"/>
  <c r="K10" i="53" s="1"/>
  <c r="B28" i="53" l="1"/>
  <c r="E28" i="53" l="1"/>
  <c r="G28" i="53" s="1"/>
  <c r="D13" i="51"/>
  <c r="D14" i="51"/>
  <c r="D15" i="51"/>
  <c r="H28" i="53" l="1"/>
  <c r="J28" i="53"/>
  <c r="K28" i="53" s="1"/>
  <c r="E4" i="52"/>
  <c r="E5" i="52"/>
  <c r="E6" i="52"/>
  <c r="E7" i="52"/>
  <c r="E8" i="52"/>
  <c r="E9" i="52"/>
  <c r="E10" i="52"/>
  <c r="E11" i="52"/>
  <c r="E12" i="52"/>
  <c r="E13" i="52"/>
  <c r="E14" i="52"/>
  <c r="E15" i="52"/>
  <c r="E17" i="52"/>
  <c r="E18" i="52"/>
  <c r="E19" i="52"/>
  <c r="E20" i="52"/>
  <c r="E21" i="52"/>
  <c r="E22" i="52"/>
  <c r="E23" i="52"/>
  <c r="E24" i="52"/>
  <c r="E25" i="52"/>
  <c r="E26" i="52"/>
  <c r="E28" i="52"/>
  <c r="E29" i="52"/>
  <c r="E32" i="52"/>
  <c r="E3" i="52"/>
  <c r="D27" i="52"/>
  <c r="D30" i="52"/>
  <c r="D16" i="52"/>
  <c r="C32" i="52"/>
  <c r="B32" i="52"/>
  <c r="D4" i="52"/>
  <c r="D5" i="52"/>
  <c r="D6" i="52"/>
  <c r="D7" i="52"/>
  <c r="D8" i="52"/>
  <c r="D9" i="52"/>
  <c r="D10" i="52"/>
  <c r="D11" i="52"/>
  <c r="D12" i="52"/>
  <c r="D13" i="52"/>
  <c r="D14" i="52"/>
  <c r="D15" i="52"/>
  <c r="D17" i="52"/>
  <c r="D18" i="52"/>
  <c r="D19" i="52"/>
  <c r="D20" i="52"/>
  <c r="D21" i="52"/>
  <c r="D22" i="52"/>
  <c r="D23" i="52"/>
  <c r="D24" i="52"/>
  <c r="D25" i="52"/>
  <c r="D26" i="52"/>
  <c r="D28" i="52"/>
  <c r="D29" i="52"/>
  <c r="D31" i="52"/>
  <c r="D3" i="52"/>
  <c r="D32" i="52" l="1"/>
  <c r="AY34" i="3" l="1"/>
  <c r="AX34" i="3" l="1"/>
  <c r="AW34" i="3" l="1"/>
  <c r="D11" i="51" l="1"/>
  <c r="D12" i="51"/>
  <c r="AV34" i="3" l="1"/>
  <c r="AU34" i="3" l="1"/>
  <c r="D5" i="51" l="1"/>
  <c r="D6" i="51"/>
  <c r="D7" i="51"/>
  <c r="D8" i="51"/>
  <c r="D9" i="51"/>
  <c r="D10" i="51"/>
  <c r="D4" i="51"/>
  <c r="C16" i="51"/>
  <c r="B16" i="51"/>
  <c r="D16" i="51" l="1"/>
  <c r="C18" i="51"/>
  <c r="AT34" i="3"/>
  <c r="AS34" i="3" l="1"/>
  <c r="AR34" i="3" l="1"/>
  <c r="AQ34" i="3" l="1"/>
  <c r="AP34" i="3" l="1"/>
  <c r="Q34" i="3" l="1"/>
  <c r="AC34" i="3"/>
  <c r="AO34" i="3" l="1"/>
  <c r="AN34" i="3" l="1"/>
  <c r="AA34" i="3" l="1"/>
  <c r="AM34" i="3" l="1"/>
  <c r="Z34" i="3" l="1"/>
  <c r="AL34" i="3" l="1"/>
  <c r="AK34" i="3" l="1"/>
  <c r="X34" i="3" l="1"/>
  <c r="AJ34" i="3" l="1"/>
  <c r="W34" i="3" l="1"/>
  <c r="AI34" i="3" l="1"/>
  <c r="AH34" i="3" l="1"/>
  <c r="V34" i="3"/>
  <c r="U34" i="3" l="1"/>
  <c r="AG34" i="3" l="1"/>
  <c r="AF34" i="3" l="1"/>
  <c r="S34" i="3" l="1"/>
  <c r="AE34" i="3" l="1"/>
  <c r="AD34" i="3"/>
  <c r="T34" i="3" l="1"/>
  <c r="Y34" i="3"/>
  <c r="AB34" i="3"/>
  <c r="R34" i="3" l="1"/>
  <c r="P34" i="3" l="1"/>
  <c r="C34" i="3" l="1"/>
  <c r="D34" i="3"/>
  <c r="E34" i="3"/>
  <c r="F34" i="3"/>
  <c r="G34" i="3"/>
  <c r="H34" i="3"/>
  <c r="I34" i="3"/>
  <c r="J34" i="3"/>
  <c r="K34" i="3"/>
  <c r="L34" i="3"/>
  <c r="M34" i="3"/>
  <c r="N34" i="3"/>
  <c r="O34" i="3"/>
  <c r="B34" i="3"/>
  <c r="J24" i="1" l="1"/>
  <c r="J25" i="1"/>
  <c r="J55" i="1"/>
  <c r="J59" i="1"/>
  <c r="J62" i="1"/>
  <c r="J88" i="1"/>
  <c r="J94" i="1"/>
  <c r="J96" i="1"/>
  <c r="J124" i="1"/>
</calcChain>
</file>

<file path=xl/sharedStrings.xml><?xml version="1.0" encoding="utf-8"?>
<sst xmlns="http://schemas.openxmlformats.org/spreadsheetml/2006/main" count="6714" uniqueCount="172">
  <si>
    <t>Data</t>
  </si>
  <si>
    <t>Unidade</t>
  </si>
  <si>
    <t>Consultas</t>
  </si>
  <si>
    <t>Consultas Online</t>
  </si>
  <si>
    <t>Retornos</t>
  </si>
  <si>
    <t>Cirurgias</t>
  </si>
  <si>
    <t>Cirurgias realizadas no CC</t>
  </si>
  <si>
    <t>Profissional</t>
  </si>
  <si>
    <t>Carolina Guimarães</t>
  </si>
  <si>
    <t>ABC</t>
  </si>
  <si>
    <t>Valor dos Serviços</t>
  </si>
  <si>
    <t>Erika Freire</t>
  </si>
  <si>
    <t>Frederico Gontijo</t>
  </si>
  <si>
    <t>Gabriel Oliveira</t>
  </si>
  <si>
    <t>Harielle Asega</t>
  </si>
  <si>
    <t>Isaura Fasciani</t>
  </si>
  <si>
    <t>Leonardo Andrade</t>
  </si>
  <si>
    <t>Thaiana Botarelli</t>
  </si>
  <si>
    <t>Belo Horizonte</t>
  </si>
  <si>
    <t>Brasília</t>
  </si>
  <si>
    <t>Campinas</t>
  </si>
  <si>
    <t>Curitiba</t>
  </si>
  <si>
    <t>Goiânia</t>
  </si>
  <si>
    <t>Guarulhos</t>
  </si>
  <si>
    <t>Anália Franco</t>
  </si>
  <si>
    <t>São José dos Campos</t>
  </si>
  <si>
    <t>Sorocaba</t>
  </si>
  <si>
    <t>Ribeirão Preto</t>
  </si>
  <si>
    <t>Total Geral</t>
  </si>
  <si>
    <t>'Consultas</t>
  </si>
  <si>
    <t>'Unidade</t>
  </si>
  <si>
    <t>'Consultas Online</t>
  </si>
  <si>
    <t>'Retornos</t>
  </si>
  <si>
    <t>'Cirurgias</t>
  </si>
  <si>
    <t>'Valor dos Serviços</t>
  </si>
  <si>
    <t>Retornos Online</t>
  </si>
  <si>
    <t>Leticia Ambrosano</t>
  </si>
  <si>
    <t>Itaim Bibi</t>
  </si>
  <si>
    <t>Leonardo Almeida</t>
  </si>
  <si>
    <t>Leticia Pinheiro</t>
  </si>
  <si>
    <t>Natalia Medeiros</t>
  </si>
  <si>
    <t>Suellen Oliveira</t>
  </si>
  <si>
    <t>Taiane Terra</t>
  </si>
  <si>
    <t>Arthur Basile</t>
  </si>
  <si>
    <t>Leads</t>
  </si>
  <si>
    <t>'Retornos Online</t>
  </si>
  <si>
    <t>'Taxa Conversão Consultas x Leads</t>
  </si>
  <si>
    <t>'Taxa Conversão Cirurgias x Consultas</t>
  </si>
  <si>
    <t>'Valor Médio dos Serviços</t>
  </si>
  <si>
    <t>Larissa Crestani</t>
  </si>
  <si>
    <t>Haline Pires</t>
  </si>
  <si>
    <t>'% Retornos x Consultas</t>
  </si>
  <si>
    <t>Total</t>
  </si>
  <si>
    <t>'Leads</t>
  </si>
  <si>
    <t>Recife</t>
  </si>
  <si>
    <t>Salvador</t>
  </si>
  <si>
    <t>Marina Neves</t>
  </si>
  <si>
    <t>Gustavo Machado</t>
  </si>
  <si>
    <t>Porto Alegre</t>
  </si>
  <si>
    <t>Natalia Mildner</t>
  </si>
  <si>
    <t>N/A</t>
  </si>
  <si>
    <t>Rio de Janeiro</t>
  </si>
  <si>
    <t>Fortaleza</t>
  </si>
  <si>
    <t>Uberlândia</t>
  </si>
  <si>
    <t>Roberta Kataoka</t>
  </si>
  <si>
    <t>Ivan Sidiney</t>
  </si>
  <si>
    <t>Larissa Segato</t>
  </si>
  <si>
    <t>Samuel Viana</t>
  </si>
  <si>
    <t>Ariane Sponchiado</t>
  </si>
  <si>
    <t>Nathalia Avila</t>
  </si>
  <si>
    <t>Lara Riguete</t>
  </si>
  <si>
    <t>Bruna Senna</t>
  </si>
  <si>
    <t>Mariana Iglesias</t>
  </si>
  <si>
    <t>Florianópolis</t>
  </si>
  <si>
    <t>Barbara Ximenes</t>
  </si>
  <si>
    <t>Marina Fonte</t>
  </si>
  <si>
    <t>Joinville</t>
  </si>
  <si>
    <t>Thiago Lenoir</t>
  </si>
  <si>
    <t>Julia Beber</t>
  </si>
  <si>
    <t>Camila Prado</t>
  </si>
  <si>
    <t>Lais Raquel Ribeiro</t>
  </si>
  <si>
    <t>Jundiaí</t>
  </si>
  <si>
    <t>Samantha Camunhas</t>
  </si>
  <si>
    <t>Campo Grande</t>
  </si>
  <si>
    <t>Daniel Antonialli</t>
  </si>
  <si>
    <t>Layana Smiderle</t>
  </si>
  <si>
    <t>Laura Amaral</t>
  </si>
  <si>
    <t>Manaus</t>
  </si>
  <si>
    <t>Manoel Gomes</t>
  </si>
  <si>
    <t>Jessica Pompeu</t>
  </si>
  <si>
    <t>João Pessoa</t>
  </si>
  <si>
    <t>Barra-RJ</t>
  </si>
  <si>
    <t>Vitória</t>
  </si>
  <si>
    <t>Duana Maia</t>
  </si>
  <si>
    <t>Santos</t>
  </si>
  <si>
    <t>Francyelle Mesquita</t>
  </si>
  <si>
    <t>Renan Bernardes</t>
  </si>
  <si>
    <t>Ana Coelho</t>
  </si>
  <si>
    <t>Thaiza Simal</t>
  </si>
  <si>
    <t>Isabelli Orletti</t>
  </si>
  <si>
    <t>Aline Anflor</t>
  </si>
  <si>
    <t>Ariane Molinari</t>
  </si>
  <si>
    <t>Izabela teixeira</t>
  </si>
  <si>
    <t>São Luís</t>
  </si>
  <si>
    <t>Gabriela Oliveira</t>
  </si>
  <si>
    <t>Isabella Caiado</t>
  </si>
  <si>
    <t>Lara Tavares</t>
  </si>
  <si>
    <t>Alice Dias</t>
  </si>
  <si>
    <t>João Felipe</t>
  </si>
  <si>
    <t>Londrina</t>
  </si>
  <si>
    <t>Isadora Gilli</t>
  </si>
  <si>
    <t>Cuiabá</t>
  </si>
  <si>
    <t>Leticia Souza Duque</t>
  </si>
  <si>
    <t>Adriana Ramos Beltrão</t>
  </si>
  <si>
    <t>Rafaela Sandrin</t>
  </si>
  <si>
    <t>Piracicaba</t>
  </si>
  <si>
    <t>Rayssa Malachias</t>
  </si>
  <si>
    <t>Maria Thaiane</t>
  </si>
  <si>
    <t>Paula Peruchi</t>
  </si>
  <si>
    <t>Tiago Peres</t>
  </si>
  <si>
    <t>Augusto Strapassola</t>
  </si>
  <si>
    <t>Debora Gomes Virira</t>
  </si>
  <si>
    <t>Daniel Lauer</t>
  </si>
  <si>
    <t>Alexia Lima</t>
  </si>
  <si>
    <t/>
  </si>
  <si>
    <t>Thais Trevisan</t>
  </si>
  <si>
    <t>Talita Licariao</t>
  </si>
  <si>
    <t>Juliana Peruzzo</t>
  </si>
  <si>
    <t>Nicolas Ciruelos</t>
  </si>
  <si>
    <t>Vitoria Muller</t>
  </si>
  <si>
    <t>Juliana Engelbrecht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</si>
  <si>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</si>
  <si>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</si>
  <si>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</si>
  <si>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</si>
  <si>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</si>
  <si>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</si>
  <si>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</si>
  <si>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</si>
  <si>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</si>
  <si>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</si>
  <si>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</si>
  <si>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</si>
  <si>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Vendas</t>
  </si>
  <si>
    <t>NF</t>
  </si>
  <si>
    <t>Mês</t>
  </si>
  <si>
    <t>%</t>
  </si>
  <si>
    <t>Ana Carolina</t>
  </si>
  <si>
    <t>Leônidas Santos</t>
  </si>
  <si>
    <t>Kauane Lobas</t>
  </si>
  <si>
    <t xml:space="preserve">                                                                                  </t>
  </si>
  <si>
    <t>Faturamento</t>
  </si>
  <si>
    <t>LL</t>
  </si>
  <si>
    <t>São Luis</t>
  </si>
  <si>
    <t>TOTAL</t>
  </si>
  <si>
    <t>ISS/PIS/COFINS</t>
  </si>
  <si>
    <t>DEVOLUÇÕES</t>
  </si>
  <si>
    <t>IRPJ/CSLL</t>
  </si>
  <si>
    <t>EBITDA</t>
  </si>
  <si>
    <t>MARGEM EBITDA</t>
  </si>
  <si>
    <t>MARGEM LIQUIDA</t>
  </si>
  <si>
    <t>RECEITA BRUTA</t>
  </si>
  <si>
    <t>RECEITA LIQUIDA</t>
  </si>
  <si>
    <t>UNIDADE</t>
  </si>
  <si>
    <t>CUSTOS / DESPESAS</t>
  </si>
  <si>
    <t>Marina Palhano</t>
  </si>
  <si>
    <t>Coluna1</t>
  </si>
  <si>
    <t>.</t>
  </si>
  <si>
    <t xml:space="preserve">Despesas totais (com impostos) </t>
  </si>
  <si>
    <t>Matriz (ref todas unidades)</t>
  </si>
  <si>
    <t>Operacional - 2025</t>
  </si>
  <si>
    <t>MMP 19233 em março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</si>
</sst>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R$&quot;\ #,##0;[Red]\-&quot;R$&quot;\ #,##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_-[$R$-416]\ * #,##0.00_-;\-[$R$-416]\ * #,##0.00_-;_-[$R$-416]\ * &quot;-&quot;??_-;_-@_-"/>
    <numFmt numFmtId="166" formatCode="&quot;R$&quot;\ #,##0.00"/>
    <numFmt numFmtId="167" formatCode="_-[$R$-416]\ * #,##0_-;\-[$R$-416]\ * #,##0_-;_-[$R$-416]\ * &quot;-&quot;??_-;_-@_-"/>
    <numFmt numFmtId="168" formatCode="_-&quot;R$&quot;\ * #,##0_-;\-&quot;R$&quot;\ * #,##0_-;_-&quot;R$&quot;\ * &quot;-&quot;??_-;_-@_-"/>
    <numFmt numFmtId="169" formatCode="0.0000%"/>
    <numFmt numFmtId="170" formatCode="_-&quot;R$&quot;\ * #,##0.0_-;\-&quot;R$&quot;\ * #,##0.0_-;_-&quot;R$&quot;\ * &quot;-&quot;??_-;_-@_-"/>
    <numFmt numFmtId="171" formatCode="_-&quot;R$&quot;\ * #,##0_-;\-&quot;R$&quot;\ * #,##0_-;_-&quot;R$&quot;\ * &quot;-&quot;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92D05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rgb="FF00B0F0"/>
      <name val="Calibri"/>
      <family val="2"/>
      <scheme val="minor"/>
    </font>
    <font>
      <sz val="11"/>
      <color rgb="FFFF0000"/>
      <name val="Calibri Light"/>
      <family val="2"/>
      <scheme val="major"/>
    </font>
    <font>
      <b/>
      <sz val="11"/>
      <color rgb="FFFF0000"/>
      <name val="Calibri Light"/>
      <family val="2"/>
      <scheme val="major"/>
    </font>
    <font>
      <sz val="11"/>
      <name val="Calibri Light"/>
      <family val="2"/>
      <scheme val="major"/>
    </font>
    <font>
      <b/>
      <sz val="11"/>
      <name val="Calibri Light"/>
      <family val="2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2">
    <xf numFmtId="0" fontId="0" fillId="0" borderId="0" xfId="0"/>
    <xf numFmtId="0" fontId="0" fillId="0" borderId="0" xfId="0" applyAlignment="1">
      <alignment horizontal="center" vertical="top" wrapText="1"/>
    </xf>
    <xf numFmtId="14" fontId="0" fillId="0" borderId="0" xfId="0" applyNumberFormat="1"/>
    <xf numFmtId="164" fontId="0" fillId="0" borderId="0" xfId="2" applyNumberFormat="1" applyFont="1"/>
    <xf numFmtId="0" fontId="0" fillId="0" borderId="0" xfId="0" applyAlignment="1">
      <alignment horizontal="center" vertical="center" wrapText="1"/>
    </xf>
    <xf numFmtId="165" fontId="0" fillId="0" borderId="0" xfId="3" applyNumberFormat="1" applyFont="1"/>
    <xf numFmtId="14" fontId="0" fillId="0" borderId="0" xfId="0" applyNumberFormat="1" applyAlignment="1">
      <alignment horizontal="center" vertical="center" wrapText="1"/>
    </xf>
    <xf numFmtId="44" fontId="0" fillId="0" borderId="0" xfId="3" applyFont="1"/>
    <xf numFmtId="0" fontId="3" fillId="0" borderId="0" xfId="0" applyFont="1" applyAlignment="1">
      <alignment horizontal="left"/>
    </xf>
    <xf numFmtId="0" fontId="0" fillId="3" borderId="0" xfId="0" applyFill="1"/>
    <xf numFmtId="44" fontId="0" fillId="0" borderId="0" xfId="3" applyFont="1" applyAlignment="1">
      <alignment horizontal="center" vertical="top" wrapText="1"/>
    </xf>
    <xf numFmtId="44" fontId="4" fillId="0" borderId="0" xfId="3" applyFont="1"/>
    <xf numFmtId="0" fontId="4" fillId="0" borderId="0" xfId="0" applyFont="1"/>
    <xf numFmtId="0" fontId="3" fillId="2" borderId="0" xfId="0" applyFont="1" applyFill="1" applyAlignment="1">
      <alignment horizontal="center" vertical="center"/>
    </xf>
    <xf numFmtId="0" fontId="0" fillId="2" borderId="0" xfId="0" applyFill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164" fontId="7" fillId="0" borderId="0" xfId="2" applyNumberFormat="1" applyFont="1"/>
    <xf numFmtId="165" fontId="7" fillId="0" borderId="0" xfId="3" applyNumberFormat="1" applyFont="1"/>
    <xf numFmtId="0" fontId="7" fillId="0" borderId="0" xfId="0" applyFont="1"/>
    <xf numFmtId="17" fontId="3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right"/>
    </xf>
    <xf numFmtId="0" fontId="0" fillId="3" borderId="0" xfId="0" applyFill="1" applyAlignment="1">
      <alignment horizontal="right"/>
    </xf>
    <xf numFmtId="0" fontId="3" fillId="0" borderId="0" xfId="0" applyFont="1"/>
    <xf numFmtId="166" fontId="8" fillId="0" borderId="0" xfId="1" applyNumberFormat="1" applyFont="1"/>
    <xf numFmtId="0" fontId="8" fillId="0" borderId="0" xfId="0" applyFont="1"/>
    <xf numFmtId="166" fontId="9" fillId="0" borderId="0" xfId="1" applyNumberFormat="1" applyFont="1"/>
    <xf numFmtId="0" fontId="9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3" fillId="3" borderId="0" xfId="0" applyFont="1" applyFill="1" applyAlignment="1">
      <alignment horizontal="right"/>
    </xf>
    <xf numFmtId="0" fontId="10" fillId="0" borderId="0" xfId="0" applyFont="1"/>
    <xf numFmtId="44" fontId="7" fillId="0" borderId="0" xfId="3" applyFont="1"/>
    <xf numFmtId="14" fontId="0" fillId="4" borderId="0" xfId="0" applyNumberFormat="1" applyFill="1"/>
    <xf numFmtId="0" fontId="0" fillId="4" borderId="0" xfId="0" applyFill="1"/>
    <xf numFmtId="14" fontId="0" fillId="3" borderId="0" xfId="0" applyNumberFormat="1" applyFill="1"/>
    <xf numFmtId="14" fontId="0" fillId="2" borderId="0" xfId="0" applyNumberFormat="1" applyFill="1"/>
    <xf numFmtId="44" fontId="0" fillId="3" borderId="0" xfId="3" applyFont="1" applyFill="1"/>
    <xf numFmtId="0" fontId="3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44" fontId="0" fillId="0" borderId="0" xfId="3" applyFont="1" applyAlignment="1">
      <alignment horizontal="center"/>
    </xf>
    <xf numFmtId="0" fontId="5" fillId="0" borderId="0" xfId="0" applyFont="1"/>
    <xf numFmtId="0" fontId="12" fillId="0" borderId="0" xfId="0" applyFont="1" applyAlignment="1">
      <alignment horizontal="center"/>
    </xf>
    <xf numFmtId="0" fontId="12" fillId="2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3" borderId="0" xfId="0" applyFont="1" applyFill="1" applyAlignment="1">
      <alignment horizontal="center"/>
    </xf>
    <xf numFmtId="0" fontId="10" fillId="2" borderId="0" xfId="0" applyFont="1" applyFill="1"/>
    <xf numFmtId="14" fontId="0" fillId="0" borderId="0" xfId="0" applyNumberFormat="1" applyAlignment="1">
      <alignment horizontal="right"/>
    </xf>
    <xf numFmtId="166" fontId="3" fillId="0" borderId="0" xfId="1" applyNumberFormat="1" applyFont="1"/>
    <xf numFmtId="0" fontId="12" fillId="0" borderId="0" xfId="0" applyFont="1"/>
    <xf numFmtId="0" fontId="3" fillId="7" borderId="0" xfId="0" applyFont="1" applyFill="1" applyAlignment="1">
      <alignment horizontal="left"/>
    </xf>
    <xf numFmtId="0" fontId="3" fillId="7" borderId="0" xfId="0" applyFont="1" applyFill="1"/>
    <xf numFmtId="0" fontId="0" fillId="0" borderId="0" xfId="0" applyAlignment="1">
      <alignment horizontal="left"/>
    </xf>
    <xf numFmtId="166" fontId="12" fillId="0" borderId="0" xfId="1" applyNumberFormat="1" applyFont="1"/>
    <xf numFmtId="166" fontId="13" fillId="0" borderId="0" xfId="1" applyNumberFormat="1" applyFont="1"/>
    <xf numFmtId="166" fontId="6" fillId="0" borderId="0" xfId="1" applyNumberFormat="1" applyFont="1"/>
    <xf numFmtId="166" fontId="3" fillId="4" borderId="0" xfId="1" applyNumberFormat="1" applyFont="1" applyFill="1"/>
    <xf numFmtId="166" fontId="3" fillId="3" borderId="0" xfId="1" applyNumberFormat="1" applyFont="1" applyFill="1"/>
    <xf numFmtId="166" fontId="3" fillId="2" borderId="0" xfId="1" applyNumberFormat="1" applyFont="1" applyFill="1"/>
    <xf numFmtId="0" fontId="14" fillId="3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9" fontId="0" fillId="0" borderId="0" xfId="2" applyFont="1"/>
    <xf numFmtId="9" fontId="7" fillId="0" borderId="0" xfId="2" applyFont="1"/>
    <xf numFmtId="0" fontId="11" fillId="6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/>
    </xf>
    <xf numFmtId="164" fontId="11" fillId="6" borderId="0" xfId="0" applyNumberFormat="1" applyFont="1" applyFill="1" applyAlignment="1">
      <alignment horizontal="center" vertical="center" wrapText="1"/>
    </xf>
    <xf numFmtId="165" fontId="11" fillId="6" borderId="0" xfId="0" applyNumberFormat="1" applyFont="1" applyFill="1" applyAlignment="1">
      <alignment horizontal="center" vertical="center" wrapText="1"/>
    </xf>
    <xf numFmtId="9" fontId="3" fillId="0" borderId="0" xfId="2" applyFont="1" applyAlignment="1">
      <alignment horizontal="center"/>
    </xf>
    <xf numFmtId="9" fontId="3" fillId="0" borderId="0" xfId="2" applyFont="1" applyBorder="1" applyAlignment="1">
      <alignment horizontal="center"/>
    </xf>
    <xf numFmtId="167" fontId="0" fillId="0" borderId="0" xfId="0" applyNumberFormat="1"/>
    <xf numFmtId="10" fontId="0" fillId="0" borderId="0" xfId="2" applyNumberFormat="1" applyFont="1" applyAlignment="1">
      <alignment horizontal="center"/>
    </xf>
    <xf numFmtId="17" fontId="3" fillId="3" borderId="0" xfId="0" applyNumberFormat="1" applyFont="1" applyFill="1" applyAlignment="1">
      <alignment horizontal="center"/>
    </xf>
    <xf numFmtId="164" fontId="7" fillId="0" borderId="0" xfId="2" applyNumberFormat="1" applyFont="1" applyAlignment="1">
      <alignment horizontal="center"/>
    </xf>
    <xf numFmtId="164" fontId="0" fillId="0" borderId="0" xfId="2" applyNumberFormat="1" applyFont="1" applyAlignment="1">
      <alignment horizontal="center"/>
    </xf>
    <xf numFmtId="0" fontId="11" fillId="6" borderId="0" xfId="0" applyFont="1" applyFill="1" applyAlignment="1">
      <alignment horizontal="left"/>
    </xf>
    <xf numFmtId="9" fontId="11" fillId="6" borderId="0" xfId="0" applyNumberFormat="1" applyFont="1" applyFill="1" applyAlignment="1">
      <alignment horizontal="center"/>
    </xf>
    <xf numFmtId="0" fontId="3" fillId="7" borderId="0" xfId="0" applyFont="1" applyFill="1" applyAlignment="1">
      <alignment horizontal="center"/>
    </xf>
    <xf numFmtId="166" fontId="13" fillId="3" borderId="0" xfId="1" applyNumberFormat="1" applyFont="1" applyFill="1"/>
    <xf numFmtId="0" fontId="3" fillId="0" borderId="0" xfId="0" quotePrefix="1" applyFont="1"/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165" fontId="0" fillId="3" borderId="0" xfId="0" applyNumberFormat="1" applyFill="1"/>
    <xf numFmtId="165" fontId="1" fillId="3" borderId="0" xfId="2" applyNumberFormat="1" applyFont="1" applyFill="1" applyBorder="1"/>
    <xf numFmtId="164" fontId="3" fillId="3" borderId="0" xfId="2" applyNumberFormat="1" applyFont="1" applyFill="1" applyAlignment="1">
      <alignment horizontal="center"/>
    </xf>
    <xf numFmtId="165" fontId="0" fillId="3" borderId="0" xfId="2" applyNumberFormat="1" applyFont="1" applyFill="1"/>
    <xf numFmtId="9" fontId="0" fillId="3" borderId="0" xfId="2" applyFont="1" applyFill="1"/>
    <xf numFmtId="44" fontId="1" fillId="3" borderId="0" xfId="3" applyFont="1" applyFill="1"/>
    <xf numFmtId="17" fontId="3" fillId="3" borderId="0" xfId="0" applyNumberFormat="1" applyFont="1" applyFill="1"/>
    <xf numFmtId="9" fontId="3" fillId="3" borderId="0" xfId="2" applyFont="1" applyFill="1" applyAlignment="1">
      <alignment horizontal="center"/>
    </xf>
    <xf numFmtId="164" fontId="0" fillId="3" borderId="0" xfId="2" applyNumberFormat="1" applyFont="1" applyFill="1"/>
    <xf numFmtId="44" fontId="3" fillId="3" borderId="0" xfId="3" applyFont="1" applyFill="1"/>
    <xf numFmtId="168" fontId="3" fillId="3" borderId="0" xfId="2" applyNumberFormat="1" applyFont="1" applyFill="1"/>
    <xf numFmtId="0" fontId="15" fillId="0" borderId="0" xfId="0" applyFont="1" applyAlignment="1">
      <alignment horizontal="center"/>
    </xf>
    <xf numFmtId="168" fontId="15" fillId="0" borderId="0" xfId="3" applyNumberFormat="1" applyFont="1" applyAlignment="1">
      <alignment horizontal="center"/>
    </xf>
    <xf numFmtId="9" fontId="16" fillId="0" borderId="0" xfId="2" applyFont="1"/>
    <xf numFmtId="0" fontId="16" fillId="0" borderId="0" xfId="0" applyFont="1"/>
    <xf numFmtId="168" fontId="16" fillId="0" borderId="0" xfId="3" applyNumberFormat="1" applyFont="1"/>
    <xf numFmtId="0" fontId="16" fillId="0" borderId="0" xfId="0" applyFont="1" applyAlignment="1">
      <alignment horizontal="center"/>
    </xf>
    <xf numFmtId="168" fontId="15" fillId="8" borderId="0" xfId="3" applyNumberFormat="1" applyFont="1" applyFill="1"/>
    <xf numFmtId="9" fontId="15" fillId="8" borderId="0" xfId="2" applyFont="1" applyFill="1"/>
    <xf numFmtId="9" fontId="15" fillId="0" borderId="0" xfId="2" applyFont="1" applyAlignment="1">
      <alignment horizontal="center"/>
    </xf>
    <xf numFmtId="9" fontId="16" fillId="0" borderId="0" xfId="2" applyFont="1" applyAlignment="1">
      <alignment horizontal="center"/>
    </xf>
    <xf numFmtId="44" fontId="16" fillId="0" borderId="0" xfId="3" applyFont="1"/>
    <xf numFmtId="168" fontId="16" fillId="0" borderId="0" xfId="0" applyNumberFormat="1" applyFont="1"/>
    <xf numFmtId="10" fontId="16" fillId="0" borderId="0" xfId="2" applyNumberFormat="1" applyFont="1"/>
    <xf numFmtId="167" fontId="11" fillId="6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166" fontId="17" fillId="0" borderId="0" xfId="1" applyNumberFormat="1" applyFont="1"/>
    <xf numFmtId="10" fontId="0" fillId="3" borderId="0" xfId="2" applyNumberFormat="1" applyFont="1" applyFill="1"/>
    <xf numFmtId="169" fontId="0" fillId="3" borderId="0" xfId="2" applyNumberFormat="1" applyFont="1" applyFill="1"/>
    <xf numFmtId="44" fontId="16" fillId="0" borderId="0" xfId="0" applyNumberFormat="1" applyFont="1"/>
    <xf numFmtId="170" fontId="16" fillId="0" borderId="0" xfId="0" applyNumberFormat="1" applyFont="1"/>
    <xf numFmtId="0" fontId="15" fillId="0" borderId="0" xfId="0" applyFont="1" applyAlignment="1">
      <alignment horizontal="left"/>
    </xf>
    <xf numFmtId="171" fontId="16" fillId="0" borderId="0" xfId="0" applyNumberFormat="1" applyFont="1"/>
    <xf numFmtId="0" fontId="15" fillId="3" borderId="0" xfId="0" applyFont="1" applyFill="1" applyAlignment="1">
      <alignment horizontal="left"/>
    </xf>
    <xf numFmtId="0" fontId="15" fillId="0" borderId="0" xfId="0" applyFont="1"/>
    <xf numFmtId="0" fontId="15" fillId="9" borderId="0" xfId="0" applyFont="1" applyFill="1"/>
    <xf numFmtId="168" fontId="15" fillId="9" borderId="0" xfId="0" applyNumberFormat="1" applyFont="1" applyFill="1"/>
    <xf numFmtId="171" fontId="15" fillId="9" borderId="0" xfId="0" applyNumberFormat="1" applyFont="1" applyFill="1"/>
    <xf numFmtId="164" fontId="15" fillId="9" borderId="0" xfId="2" applyNumberFormat="1" applyFont="1" applyFill="1" applyAlignment="1">
      <alignment horizontal="center"/>
    </xf>
    <xf numFmtId="10" fontId="15" fillId="0" borderId="0" xfId="2" applyNumberFormat="1" applyFont="1" applyAlignment="1">
      <alignment horizontal="center"/>
    </xf>
    <xf numFmtId="10" fontId="15" fillId="9" borderId="0" xfId="2" applyNumberFormat="1" applyFont="1" applyFill="1" applyAlignment="1">
      <alignment horizontal="center"/>
    </xf>
    <xf numFmtId="167" fontId="16" fillId="0" borderId="1" xfId="0" applyNumberFormat="1" applyFont="1" applyBorder="1"/>
    <xf numFmtId="0" fontId="15" fillId="9" borderId="0" xfId="0" applyFont="1" applyFill="1" applyAlignment="1">
      <alignment horizontal="center" vertical="center" wrapText="1"/>
    </xf>
    <xf numFmtId="44" fontId="15" fillId="9" borderId="0" xfId="0" applyNumberFormat="1" applyFont="1" applyFill="1" applyAlignment="1">
      <alignment horizontal="center" vertical="center" wrapText="1"/>
    </xf>
    <xf numFmtId="9" fontId="15" fillId="9" borderId="0" xfId="2" applyFont="1" applyFill="1" applyAlignment="1">
      <alignment horizontal="center" vertical="center" wrapText="1"/>
    </xf>
    <xf numFmtId="168" fontId="18" fillId="0" borderId="0" xfId="0" applyNumberFormat="1" applyFont="1"/>
    <xf numFmtId="10" fontId="19" fillId="0" borderId="0" xfId="2" applyNumberFormat="1" applyFont="1" applyAlignment="1">
      <alignment horizontal="center"/>
    </xf>
    <xf numFmtId="9" fontId="15" fillId="9" borderId="0" xfId="2" applyFont="1" applyFill="1"/>
    <xf numFmtId="44" fontId="15" fillId="9" borderId="0" xfId="0" applyNumberFormat="1" applyFont="1" applyFill="1"/>
    <xf numFmtId="0" fontId="3" fillId="10" borderId="0" xfId="0" applyFont="1" applyFill="1" applyAlignment="1">
      <alignment horizontal="center" vertical="center"/>
    </xf>
    <xf numFmtId="0" fontId="3" fillId="10" borderId="0" xfId="0" applyFont="1" applyFill="1"/>
    <xf numFmtId="0" fontId="3" fillId="10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167" fontId="16" fillId="0" borderId="2" xfId="0" applyNumberFormat="1" applyFont="1" applyBorder="1"/>
    <xf numFmtId="167" fontId="16" fillId="0" borderId="0" xfId="0" applyNumberFormat="1" applyFont="1"/>
    <xf numFmtId="167" fontId="16" fillId="0" borderId="3" xfId="0" applyNumberFormat="1" applyFont="1" applyBorder="1"/>
    <xf numFmtId="167" fontId="16" fillId="0" borderId="4" xfId="0" applyNumberFormat="1" applyFont="1" applyBorder="1"/>
    <xf numFmtId="44" fontId="16" fillId="0" borderId="3" xfId="0" applyNumberFormat="1" applyFont="1" applyBorder="1"/>
    <xf numFmtId="168" fontId="20" fillId="0" borderId="0" xfId="0" applyNumberFormat="1" applyFont="1"/>
    <xf numFmtId="10" fontId="21" fillId="0" borderId="0" xfId="2" applyNumberFormat="1" applyFont="1" applyAlignment="1">
      <alignment horizontal="center"/>
    </xf>
    <xf numFmtId="9" fontId="16" fillId="0" borderId="0" xfId="2" applyFont="1" applyAlignment="1">
      <alignment horizontal="right"/>
    </xf>
    <xf numFmtId="0" fontId="0" fillId="3" borderId="0" xfId="2" applyNumberFormat="1" applyFont="1" applyFill="1"/>
    <xf numFmtId="44" fontId="15" fillId="9" borderId="0" xfId="0" applyNumberFormat="1" applyFont="1" applyFill="1" applyAlignment="1">
      <alignment horizontal="center" vertical="center"/>
    </xf>
    <xf numFmtId="170" fontId="15" fillId="9" borderId="0" xfId="0" applyNumberFormat="1" applyFont="1" applyFill="1" applyAlignment="1">
      <alignment horizontal="center" vertical="center" wrapText="1"/>
    </xf>
    <xf numFmtId="0" fontId="15" fillId="9" borderId="0" xfId="0" applyFont="1" applyFill="1" applyAlignment="1">
      <alignment horizontal="center" vertical="center"/>
    </xf>
    <xf numFmtId="9" fontId="15" fillId="9" borderId="0" xfId="2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0" fillId="3" borderId="0" xfId="2" applyFont="1" applyFill="1" applyAlignment="1">
      <alignment horizontal="center"/>
    </xf>
    <xf numFmtId="44" fontId="0" fillId="3" borderId="0" xfId="3" applyFont="1" applyFill="1" applyAlignment="1">
      <alignment horizontal="center"/>
    </xf>
    <xf numFmtId="44" fontId="3" fillId="3" borderId="0" xfId="3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44" fontId="3" fillId="3" borderId="0" xfId="3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164" fontId="0" fillId="3" borderId="0" xfId="2" applyNumberFormat="1" applyFont="1" applyFill="1" applyAlignment="1">
      <alignment horizontal="center"/>
    </xf>
    <xf numFmtId="6" fontId="0" fillId="3" borderId="0" xfId="3" applyNumberFormat="1" applyFont="1" applyFill="1" applyAlignment="1">
      <alignment horizontal="center"/>
    </xf>
    <xf numFmtId="0" fontId="0" fillId="3" borderId="0" xfId="3" applyNumberFormat="1" applyFont="1" applyFill="1" applyAlignment="1">
      <alignment horizontal="center"/>
    </xf>
    <xf numFmtId="1" fontId="0" fillId="3" borderId="0" xfId="3" applyNumberFormat="1" applyFont="1" applyFill="1" applyAlignment="1">
      <alignment horizontal="center"/>
    </xf>
    <xf numFmtId="166" fontId="13" fillId="0" borderId="0" xfId="3" applyNumberFormat="1" applyFont="1"/>
    <xf numFmtId="167" fontId="3" fillId="0" borderId="1" xfId="0" applyNumberFormat="1" applyFont="1" applyBorder="1"/>
    <xf numFmtId="9" fontId="0" fillId="5" borderId="0" xfId="2" applyFont="1" applyFill="1"/>
    <xf numFmtId="0" fontId="1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1" fillId="6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48">
    <dxf>
      <font>
        <b/>
      </font>
      <numFmt numFmtId="166" formatCode="&quot;R$&quot;\ #,##0.00"/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/>
    </dxf>
    <dxf>
      <alignment horizontal="center"/>
    </dxf>
    <dxf>
      <alignment horizontal="center"/>
    </dxf>
    <dxf>
      <numFmt numFmtId="167" formatCode="_-[$R$-416]\ * #,##0_-;\-[$R$-416]\ * #,##0_-;_-[$R$-416]\ * &quot;-&quot;??_-;_-@_-"/>
    </dxf>
    <dxf>
      <numFmt numFmtId="13" formatCode="0%"/>
    </dxf>
    <dxf>
      <numFmt numFmtId="13" formatCode="0%"/>
    </dxf>
    <dxf>
      <font>
        <color theme="0"/>
      </font>
    </dxf>
    <dxf>
      <fill>
        <patternFill>
          <bgColor theme="4" tint="-0.499984740745262"/>
        </patternFill>
      </fill>
    </dxf>
    <dxf>
      <numFmt numFmtId="13" formatCode="0%"/>
    </dxf>
    <dxf>
      <numFmt numFmtId="13" formatCode="0%"/>
    </dxf>
    <dxf>
      <numFmt numFmtId="13" formatCode="0%"/>
    </dxf>
    <dxf>
      <alignment horizontal="center"/>
    </dxf>
    <dxf>
      <alignment horizontal="center"/>
    </dxf>
    <dxf>
      <fill>
        <patternFill patternType="solid">
          <bgColor theme="4" tint="-0.499984740745262"/>
        </patternFill>
      </fill>
    </dxf>
    <dxf>
      <fill>
        <patternFill patternType="solid">
          <bgColor theme="4" tint="-0.499984740745262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alignment vertical="center"/>
    </dxf>
    <dxf>
      <alignment vertical="center"/>
    </dxf>
    <dxf>
      <alignment horizontal="center"/>
    </dxf>
    <dxf>
      <alignment horizontal="center"/>
    </dxf>
    <dxf>
      <alignment wrapText="1"/>
    </dxf>
    <dxf>
      <numFmt numFmtId="164" formatCode="0.0%"/>
    </dxf>
    <dxf>
      <numFmt numFmtId="14" formatCode="0.00%"/>
    </dxf>
    <dxf>
      <alignment wrapText="1"/>
    </dxf>
    <dxf>
      <alignment horizontal="center"/>
    </dxf>
    <dxf>
      <alignment vertical="center"/>
    </dxf>
    <dxf>
      <numFmt numFmtId="165" formatCode="_-[$R$-416]\ * #,##0.00_-;\-[$R$-416]\ * #,##0.00_-;_-[$R$-416]\ * &quot;-&quot;??_-;_-@_-"/>
    </dxf>
    <dxf>
      <numFmt numFmtId="165" formatCode="_-[$R$-416]\ * #,##0.00_-;\-[$R$-416]\ * #,##0.00_-;_-[$R$-416]\ * &quot;-&quot;??_-;_-@_-"/>
    </dxf>
    <dxf>
      <numFmt numFmtId="164" formatCode="0.0%"/>
    </dxf>
    <dxf>
      <numFmt numFmtId="164" formatCode="0.0%"/>
    </dxf>
    <dxf>
      <alignment wrapText="1"/>
    </dxf>
    <dxf>
      <alignment wrapText="1"/>
    </dxf>
    <dxf>
      <numFmt numFmtId="164" formatCode="0.0%"/>
    </dxf>
    <dxf>
      <numFmt numFmtId="13" formatCode="0%"/>
    </dxf>
    <dxf>
      <alignment horizontal="center"/>
    </dxf>
    <dxf>
      <alignment vertical="center"/>
    </dxf>
    <dxf>
      <alignment wrapText="1"/>
    </dxf>
    <dxf>
      <alignment horizontal="center"/>
    </dxf>
    <dxf>
      <alignment vertical="top"/>
    </dxf>
    <dxf>
      <alignment wrapText="1"/>
    </dxf>
    <dxf>
      <alignment wrapText="1"/>
    </dxf>
    <dxf>
      <numFmt numFmtId="19" formatCode="dd/mm/yyyy"/>
    </dxf>
  </dxfs>
  <tableStyles count="0" defaultTableStyle="TableStyleMedium2" defaultPivotStyle="PivotStyleLight16"/>
  <colors>
    <mruColors>
      <color rgb="FFFF0000"/>
      <color rgb="FFFF9595"/>
      <color rgb="FFFF3300"/>
      <color rgb="FFFF9933"/>
      <color rgb="FFFFCC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microsoft.com/office/2011/relationships/timelineCache" Target="timelineCaches/timelineCach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415396</xdr:colOff>
      <xdr:row>0</xdr:row>
      <xdr:rowOff>80509</xdr:rowOff>
    </xdr:from>
    <xdr:to>
      <xdr:col>4</xdr:col>
      <xdr:colOff>617815</xdr:colOff>
      <xdr:row>6</xdr:row>
      <xdr:rowOff>14288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Data">
              <a:extLst>
                <a:ext uri="{FF2B5EF4-FFF2-40B4-BE49-F238E27FC236}">
                  <a16:creationId xmlns:a16="http://schemas.microsoft.com/office/drawing/2014/main" id="{48649F1C-1203-4988-8B3C-F069C76D3D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5396" y="80509"/>
              <a:ext cx="2950104" cy="14355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Linha do tempo: Funciona em Excel 2013 ou superior. Não mover ou redimensionar.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ferson Rodrigues" refreshedDate="46113.694685532406" createdVersion="6" refreshedVersion="8" minRefreshableVersion="3" recordCount="3712" xr:uid="{A361A1AA-EBAF-43D8-87CB-6C731D23439D}">
  <cacheSource type="worksheet">
    <worksheetSource name="Tabela1"/>
  </cacheSource>
  <cacheFields count="21">
    <cacheField name="Data" numFmtId="14">
      <sharedItems containsSemiMixedTypes="0" containsNonDate="0" containsDate="1" containsString="0" minDate="2021-01-31T00:00:00" maxDate="2026-04-01T00:00:00" count="68">
        <d v="2021-01-31T00:00:00"/>
        <d v="2021-02-28T00:00:00"/>
        <d v="2021-03-31T00:00:00"/>
        <d v="2021-04-30T00:00:00"/>
        <d v="2021-05-30T00:00:00"/>
        <d v="2021-06-30T00:00:00"/>
        <d v="2021-07-31T00:00:00"/>
        <d v="2021-08-31T00:00:00"/>
        <d v="2021-09-30T00:00:00"/>
        <d v="2021-10-30T00:00:00"/>
        <d v="2021-11-30T00:00:00"/>
        <d v="2021-12-30T00:00:00"/>
        <d v="2022-01-30T00:00:00"/>
        <d v="2022-02-28T00:00:00"/>
        <d v="2022-03-31T00:00:00"/>
        <d v="2022-04-30T00:00:00"/>
        <d v="2022-05-30T00:00:00"/>
        <d v="2022-06-30T00:00:00"/>
        <d v="2022-07-30T00:00:00"/>
        <d v="2022-08-30T00:00:00"/>
        <d v="2022-09-30T00:00:00"/>
        <d v="2022-10-30T00:00:00"/>
        <d v="2022-11-30T00:00:00"/>
        <d v="2022-12-30T00:00:00"/>
        <d v="2023-01-30T00:00:00"/>
        <d v="2023-02-28T00:00:00"/>
        <d v="2023-03-31T00:00:00"/>
        <d v="2023-04-30T00:00:00"/>
        <d v="2023-04-01T00:00:00"/>
        <d v="2023-05-30T00:00:00"/>
        <d v="2023-06-30T00:00:00"/>
        <d v="2023-07-30T00:00:00"/>
        <d v="2023-08-30T00:00:00"/>
        <d v="2023-09-30T00:00:00"/>
        <d v="2023-10-30T00:00:00"/>
        <d v="2023-11-30T00:00:00"/>
        <d v="2023-12-30T00:00:00"/>
        <d v="2024-01-30T00:00:00"/>
        <d v="2024-01-31T00:00:00"/>
        <d v="2024-02-28T00:00:00"/>
        <d v="2024-03-31T00:00:00"/>
        <d v="2024-04-30T00:00:00"/>
        <d v="2024-05-30T00:00:00"/>
        <d v="2024-06-30T00:00:00"/>
        <d v="2024-07-30T00:00:00"/>
        <d v="2024-07-31T00:00:00"/>
        <d v="2024-08-30T00:00:00"/>
        <d v="2024-08-31T00:00:00"/>
        <d v="2024-09-30T00:00:00"/>
        <d v="2024-10-30T00:00:00"/>
        <d v="2024-10-31T00:00:00"/>
        <d v="2024-11-30T00:00:00"/>
        <d v="2024-12-30T00:00:00"/>
        <d v="2025-01-30T00:00:00"/>
        <d v="2025-02-28T00:00:00"/>
        <d v="2025-03-31T00:00:00"/>
        <d v="2025-04-30T00:00:00"/>
        <d v="2025-05-30T00:00:00"/>
        <d v="2025-06-30T00:00:00"/>
        <d v="2025-07-30T00:00:00"/>
        <d v="2025-08-30T00:00:00"/>
        <d v="2025-09-30T00:00:00"/>
        <d v="2025-10-30T00:00:00"/>
        <d v="2025-11-30T00:00:00"/>
        <d v="2025-12-30T00:00:00"/>
        <d v="2026-01-31T00:00:00"/>
        <d v="2026-02-28T00:00:00"/>
        <d v="2026-03-31T00:00:00"/>
      </sharedItems>
      <fieldGroup par="20" base="0">
        <rangePr groupBy="months" startDate="2021-01-31T00:00:00" endDate="2026-04-01T00:00:00"/>
        <groupItems count="14">
          <s v="&lt;31/01/2021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4/2026"/>
        </groupItems>
      </fieldGroup>
    </cacheField>
    <cacheField name="Profissional" numFmtId="0">
      <sharedItems containsBlank="1" count="79">
        <s v="Leticia Ambrosano"/>
        <s v="Carolina Guimarães"/>
        <s v="Erika Freire"/>
        <s v="Frederico Gontijo"/>
        <s v="Gabriel Oliveira"/>
        <s v="Harielle Asega"/>
        <s v="Isaura Fasciani"/>
        <s v="Leonardo Almeida"/>
        <s v="Leonardo Andrade"/>
        <s v="Leticia Pinheiro"/>
        <s v="Natalia Medeiros"/>
        <s v="Suellen Oliveira"/>
        <s v="Taiane Terra"/>
        <s v="Thaiana Botarelli"/>
        <s v="Arthur Basile"/>
        <m/>
        <s v="Haline Pires"/>
        <s v="Larissa Crestani"/>
        <s v="Marina Neves"/>
        <s v="Gustavo Machado"/>
        <s v="Natalia Mildner"/>
        <s v="Roberta Kataoka"/>
        <s v="Marina Fonte"/>
        <s v="Larissa Segato"/>
        <s v="Ivan Sidiney"/>
        <s v="Samuel Viana"/>
        <s v="Ariane Sponchiado"/>
        <s v="Nathalia Avila"/>
        <s v="Lara Riguete"/>
        <s v="Bruna Senna"/>
        <s v="Mariana Iglesias"/>
        <s v="Barbara Ximenes"/>
        <s v="Julia Beber"/>
        <s v="Thiago Lenoir"/>
        <s v="Camila Prado"/>
        <s v="Lais Raquel Ribeiro"/>
        <s v="Samantha Camunhas"/>
        <s v="Daniel Antonialli"/>
        <s v="Layana Smiderle"/>
        <s v="Laura Amaral"/>
        <s v="Manoel Gomes"/>
        <s v="Jessica Pompeu"/>
        <s v="Duana Maia"/>
        <s v="Renan Bernardes"/>
        <s v="Francyelle Mesquita"/>
        <s v="Ana Coelho"/>
        <s v="Ariane Molinari"/>
        <s v="Aline Anflor"/>
        <s v="Isabelli Orletti"/>
        <s v="Thaiza Simal"/>
        <s v="Izabela teixeira"/>
        <s v="Gabriela Oliveira"/>
        <s v="Isabella Caiado"/>
        <s v="Alice Dias"/>
        <s v="Lara Tavares"/>
        <s v="João Felipe"/>
        <s v="Isadora Gilli"/>
        <s v="Adriana Ramos Beltrão"/>
        <s v="Leticia Souza Duque"/>
        <s v="Rafaela Sandrin"/>
        <s v="Rayssa Malachias"/>
        <s v="Maria Thaiane"/>
        <s v="Paula Peruchi"/>
        <s v="Tiago Peres"/>
        <s v="Augusto Strapassola"/>
        <s v="Debora Gomes Virira"/>
        <s v="Daniel Lauer"/>
        <s v="Alexia Lima"/>
        <s v="Thais Trevisan"/>
        <s v="Talita Licariao"/>
        <s v="Juliana Peruzzo"/>
        <s v="Nicolas Ciruelos"/>
        <s v="Vitoria Muller"/>
        <s v="Juliana Engelbrecht"/>
        <s v="Ana Carolina"/>
        <s v="Leônidas Santos"/>
        <s v="Kauane Lobas"/>
        <s v="Marina Palhano"/>
        <s v="Haline Meneses" u="1"/>
      </sharedItems>
    </cacheField>
    <cacheField name="Unidade" numFmtId="0">
      <sharedItems containsBlank="1" count="34">
        <s v="Campinas"/>
        <s v="Goiânia"/>
        <s v="Belo Horizonte"/>
        <s v="Anália Franco"/>
        <s v="Itaim Bibi"/>
        <s v="São José dos Campos"/>
        <s v="Guarulhos"/>
        <s v="Curitiba"/>
        <s v="ABC"/>
        <s v="Brasília"/>
        <s v="Sorocaba"/>
        <s v="Ribeirão Preto"/>
        <s v="Recife"/>
        <s v="Salvador"/>
        <s v="Porto Alegre"/>
        <s v="Fortaleza"/>
        <s v="Rio de Janeiro"/>
        <s v="Uberlândia"/>
        <s v="Florianópolis"/>
        <s v="Joinville"/>
        <s v="Jundiaí"/>
        <s v="Campo Grande"/>
        <s v="Manaus"/>
        <s v="João Pessoa"/>
        <s v="Barra-RJ"/>
        <s v="Vitória"/>
        <s v="Santos"/>
        <s v="São Luís"/>
        <s v="Londrina"/>
        <s v="Cuiabá"/>
        <s v="Piracicaba"/>
        <m u="1"/>
        <s v="Itaim" u="1"/>
        <s v="Barra" u="1"/>
      </sharedItems>
    </cacheField>
    <cacheField name="Leads" numFmtId="0">
      <sharedItems containsString="0" containsBlank="1" containsNumber="1" containsInteger="1" minValue="2" maxValue="1146"/>
    </cacheField>
    <cacheField name="Consultas" numFmtId="0">
      <sharedItems containsString="0" containsBlank="1" containsNumber="1" containsInteger="1" minValue="0" maxValue="91"/>
    </cacheField>
    <cacheField name="Consultas Online" numFmtId="0">
      <sharedItems containsString="0" containsBlank="1" containsNumber="1" containsInteger="1" minValue="0" maxValue="54"/>
    </cacheField>
    <cacheField name="Retornos" numFmtId="0">
      <sharedItems containsString="0" containsBlank="1" containsNumber="1" containsInteger="1" minValue="0" maxValue="102"/>
    </cacheField>
    <cacheField name="Retornos Online" numFmtId="0">
      <sharedItems containsString="0" containsBlank="1" containsNumber="1" containsInteger="1" minValue="0" maxValue="57"/>
    </cacheField>
    <cacheField name="Cirurgias" numFmtId="0">
      <sharedItems containsString="0" containsBlank="1" containsNumber="1" containsInteger="1" minValue="0" maxValue="38"/>
    </cacheField>
    <cacheField name="Valor dos Serviços" numFmtId="166">
      <sharedItems containsString="0" containsBlank="1" containsNumber="1" minValue="0" maxValue="705150"/>
    </cacheField>
    <cacheField name="Coluna1" numFmtId="0">
      <sharedItems containsNonDate="0" containsString="0" containsBlank="1"/>
    </cacheField>
    <cacheField name="% Consulta Online" numFmtId="0" formula="IF('Consultas Online'=0,0,('Consultas Online'/(Consultas+'Consultas Online')))" databaseField="0"/>
    <cacheField name="% Consultas Online" numFmtId="0" formula="'Consultas Online'/('Consultas Online'+Consultas)" databaseField="0"/>
    <cacheField name="% Retornos Online" numFmtId="0" formula="'Retornos Online'/Retornos" databaseField="0"/>
    <cacheField name="Taxa Conversão Leads x Consultas" numFmtId="0" formula="(Consultas+'Consultas Online')/Leads" databaseField="0"/>
    <cacheField name="Campo1" numFmtId="0" formula="'Valor dos Serviços'/Cirurgias" databaseField="0"/>
    <cacheField name="Taxa Conversão Cirurgias x Consultas" numFmtId="0" formula="Cirurgias/('Consultas Online'+Consultas)" databaseField="0"/>
    <cacheField name="% Retornos x Consultas" numFmtId="0" formula="(Retornos+'Retornos Online')/(Consultas+'Consultas Online'+Retornos+'Retornos Online')" databaseField="0"/>
    <cacheField name="Nº atendimentos por hora" numFmtId="0" formula=" (Consultas+'Consultas Online'+Retornos+'Retornos Online')/#NAME?" databaseField="0"/>
    <cacheField name="Trimestres" numFmtId="0" databaseField="0">
      <fieldGroup base="0">
        <rangePr groupBy="quarters" startDate="2021-01-31T00:00:00" endDate="2026-04-01T00:00:00"/>
        <groupItems count="6">
          <s v="&lt;31/01/2021"/>
          <s v="Trim1"/>
          <s v="Trim2"/>
          <s v="Trim3"/>
          <s v="Trim4"/>
          <s v="&gt;01/04/2026"/>
        </groupItems>
      </fieldGroup>
    </cacheField>
    <cacheField name="Anos" numFmtId="0" databaseField="0">
      <fieldGroup base="0">
        <rangePr groupBy="years" startDate="2021-01-31T00:00:00" endDate="2026-04-01T00:00:00"/>
        <groupItems count="8">
          <s v="&lt;31/01/2021"/>
          <s v="2021"/>
          <s v="2022"/>
          <s v="2023"/>
          <s v="2024"/>
          <s v="2025"/>
          <s v="2026"/>
          <s v="&gt;01/04/2026"/>
        </groupItems>
      </fieldGroup>
    </cacheField>
  </cacheFields>
  <extLst>
    <ext xmlns:x14="http://schemas.microsoft.com/office/spreadsheetml/2009/9/main" uri="{725AE2AE-9491-48be-B2B4-4EB974FC3084}">
      <x14:pivotCacheDefinition pivotCacheId="180031049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2">
  <r>
    <x v="0"/>
    <x v="0"/>
    <x v="0"/>
    <m/>
    <n v="45"/>
    <n v="2"/>
    <n v="55"/>
    <n v="0"/>
    <n v="19"/>
    <m/>
    <m/>
  </r>
  <r>
    <x v="0"/>
    <x v="1"/>
    <x v="1"/>
    <m/>
    <n v="18"/>
    <n v="3"/>
    <n v="13"/>
    <m/>
    <n v="9"/>
    <m/>
    <m/>
  </r>
  <r>
    <x v="0"/>
    <x v="2"/>
    <x v="2"/>
    <m/>
    <n v="16"/>
    <n v="2"/>
    <n v="24"/>
    <n v="10"/>
    <n v="15"/>
    <m/>
    <m/>
  </r>
  <r>
    <x v="0"/>
    <x v="3"/>
    <x v="3"/>
    <m/>
    <n v="19"/>
    <n v="2"/>
    <n v="13"/>
    <m/>
    <n v="8"/>
    <m/>
    <m/>
  </r>
  <r>
    <x v="0"/>
    <x v="3"/>
    <x v="4"/>
    <m/>
    <n v="9"/>
    <n v="2"/>
    <n v="11"/>
    <n v="2"/>
    <n v="8"/>
    <m/>
    <m/>
  </r>
  <r>
    <x v="0"/>
    <x v="4"/>
    <x v="5"/>
    <m/>
    <n v="49"/>
    <n v="7"/>
    <n v="34"/>
    <n v="0"/>
    <n v="10"/>
    <m/>
    <m/>
  </r>
  <r>
    <x v="0"/>
    <x v="4"/>
    <x v="6"/>
    <m/>
    <n v="31"/>
    <n v="0"/>
    <n v="16"/>
    <n v="2"/>
    <n v="6"/>
    <m/>
    <m/>
  </r>
  <r>
    <x v="0"/>
    <x v="5"/>
    <x v="7"/>
    <m/>
    <n v="44"/>
    <n v="13"/>
    <n v="4"/>
    <n v="0"/>
    <n v="3"/>
    <m/>
    <m/>
  </r>
  <r>
    <x v="0"/>
    <x v="6"/>
    <x v="8"/>
    <m/>
    <n v="70"/>
    <n v="1"/>
    <n v="59"/>
    <n v="3"/>
    <n v="11"/>
    <m/>
    <m/>
  </r>
  <r>
    <x v="0"/>
    <x v="7"/>
    <x v="2"/>
    <m/>
    <n v="19"/>
    <n v="10"/>
    <n v="20"/>
    <n v="6"/>
    <n v="9"/>
    <m/>
    <m/>
  </r>
  <r>
    <x v="0"/>
    <x v="8"/>
    <x v="4"/>
    <m/>
    <n v="27"/>
    <n v="2"/>
    <n v="38"/>
    <n v="5"/>
    <n v="19"/>
    <m/>
    <m/>
  </r>
  <r>
    <x v="0"/>
    <x v="9"/>
    <x v="1"/>
    <m/>
    <n v="27"/>
    <n v="3"/>
    <n v="19"/>
    <m/>
    <n v="10"/>
    <m/>
    <m/>
  </r>
  <r>
    <x v="0"/>
    <x v="10"/>
    <x v="9"/>
    <m/>
    <n v="32"/>
    <n v="5"/>
    <n v="3"/>
    <n v="0"/>
    <n v="5"/>
    <m/>
    <m/>
  </r>
  <r>
    <x v="0"/>
    <x v="11"/>
    <x v="3"/>
    <m/>
    <n v="28"/>
    <n v="0"/>
    <n v="10"/>
    <m/>
    <n v="12"/>
    <m/>
    <m/>
  </r>
  <r>
    <x v="0"/>
    <x v="11"/>
    <x v="6"/>
    <m/>
    <n v="15"/>
    <n v="2"/>
    <n v="4"/>
    <n v="0"/>
    <n v="4"/>
    <m/>
    <m/>
  </r>
  <r>
    <x v="0"/>
    <x v="12"/>
    <x v="9"/>
    <m/>
    <n v="34"/>
    <n v="6"/>
    <n v="13"/>
    <n v="0"/>
    <n v="10"/>
    <m/>
    <m/>
  </r>
  <r>
    <x v="0"/>
    <x v="13"/>
    <x v="0"/>
    <m/>
    <n v="25"/>
    <n v="3"/>
    <n v="12"/>
    <n v="0"/>
    <n v="7"/>
    <m/>
    <m/>
  </r>
  <r>
    <x v="0"/>
    <x v="13"/>
    <x v="10"/>
    <m/>
    <n v="26"/>
    <n v="20"/>
    <n v="25"/>
    <n v="0"/>
    <n v="11"/>
    <m/>
    <m/>
  </r>
  <r>
    <x v="0"/>
    <x v="14"/>
    <x v="11"/>
    <m/>
    <n v="53"/>
    <n v="0"/>
    <n v="37"/>
    <n v="0"/>
    <n v="27"/>
    <m/>
    <m/>
  </r>
  <r>
    <x v="0"/>
    <x v="15"/>
    <x v="3"/>
    <n v="517"/>
    <m/>
    <m/>
    <m/>
    <m/>
    <m/>
    <n v="276150"/>
    <m/>
  </r>
  <r>
    <x v="0"/>
    <x v="15"/>
    <x v="8"/>
    <n v="340"/>
    <m/>
    <m/>
    <m/>
    <m/>
    <m/>
    <n v="151850"/>
    <m/>
  </r>
  <r>
    <x v="0"/>
    <x v="15"/>
    <x v="4"/>
    <n v="713"/>
    <m/>
    <m/>
    <m/>
    <m/>
    <m/>
    <n v="384750"/>
    <m/>
  </r>
  <r>
    <x v="0"/>
    <x v="15"/>
    <x v="6"/>
    <n v="299"/>
    <m/>
    <m/>
    <m/>
    <m/>
    <m/>
    <n v="135800"/>
    <m/>
  </r>
  <r>
    <x v="0"/>
    <x v="15"/>
    <x v="11"/>
    <n v="438"/>
    <m/>
    <m/>
    <m/>
    <m/>
    <m/>
    <n v="383200"/>
    <m/>
  </r>
  <r>
    <x v="0"/>
    <x v="15"/>
    <x v="10"/>
    <n v="277"/>
    <m/>
    <m/>
    <m/>
    <m/>
    <m/>
    <n v="164500"/>
    <m/>
  </r>
  <r>
    <x v="0"/>
    <x v="15"/>
    <x v="0"/>
    <n v="672"/>
    <m/>
    <m/>
    <m/>
    <m/>
    <m/>
    <n v="315400"/>
    <m/>
  </r>
  <r>
    <x v="0"/>
    <x v="15"/>
    <x v="5"/>
    <n v="251"/>
    <m/>
    <m/>
    <m/>
    <m/>
    <m/>
    <n v="141500"/>
    <m/>
  </r>
  <r>
    <x v="0"/>
    <x v="15"/>
    <x v="9"/>
    <n v="360"/>
    <m/>
    <m/>
    <m/>
    <m/>
    <m/>
    <n v="199950"/>
    <m/>
  </r>
  <r>
    <x v="0"/>
    <x v="15"/>
    <x v="7"/>
    <n v="436"/>
    <m/>
    <m/>
    <m/>
    <m/>
    <m/>
    <n v="43400"/>
    <m/>
  </r>
  <r>
    <x v="0"/>
    <x v="15"/>
    <x v="2"/>
    <n v="1000"/>
    <m/>
    <m/>
    <m/>
    <m/>
    <m/>
    <n v="340100"/>
    <m/>
  </r>
  <r>
    <x v="0"/>
    <x v="15"/>
    <x v="1"/>
    <n v="412"/>
    <m/>
    <m/>
    <m/>
    <m/>
    <m/>
    <n v="244000"/>
    <m/>
  </r>
  <r>
    <x v="1"/>
    <x v="0"/>
    <x v="0"/>
    <m/>
    <n v="47"/>
    <n v="8"/>
    <n v="52"/>
    <n v="2"/>
    <n v="22"/>
    <m/>
    <m/>
  </r>
  <r>
    <x v="1"/>
    <x v="13"/>
    <x v="0"/>
    <m/>
    <n v="32"/>
    <n v="8"/>
    <n v="23"/>
    <n v="0"/>
    <n v="4"/>
    <m/>
    <m/>
  </r>
  <r>
    <x v="1"/>
    <x v="13"/>
    <x v="10"/>
    <m/>
    <n v="52"/>
    <n v="16"/>
    <n v="18"/>
    <n v="0"/>
    <n v="10"/>
    <m/>
    <m/>
  </r>
  <r>
    <x v="1"/>
    <x v="2"/>
    <x v="2"/>
    <m/>
    <n v="19"/>
    <n v="3"/>
    <n v="24"/>
    <n v="12"/>
    <n v="12"/>
    <m/>
    <m/>
  </r>
  <r>
    <x v="1"/>
    <x v="7"/>
    <x v="2"/>
    <m/>
    <n v="7"/>
    <n v="3"/>
    <n v="7"/>
    <n v="6"/>
    <n v="10"/>
    <m/>
    <m/>
  </r>
  <r>
    <x v="1"/>
    <x v="4"/>
    <x v="5"/>
    <m/>
    <n v="34"/>
    <n v="8"/>
    <n v="26"/>
    <n v="0"/>
    <n v="11"/>
    <m/>
    <m/>
  </r>
  <r>
    <x v="1"/>
    <x v="4"/>
    <x v="6"/>
    <m/>
    <n v="26"/>
    <n v="0"/>
    <n v="11"/>
    <n v="1"/>
    <n v="6"/>
    <m/>
    <m/>
  </r>
  <r>
    <x v="1"/>
    <x v="11"/>
    <x v="6"/>
    <m/>
    <n v="21"/>
    <n v="17"/>
    <n v="6"/>
    <n v="1"/>
    <n v="7"/>
    <m/>
    <m/>
  </r>
  <r>
    <x v="1"/>
    <x v="11"/>
    <x v="3"/>
    <m/>
    <n v="0"/>
    <n v="0"/>
    <n v="13"/>
    <m/>
    <n v="8"/>
    <m/>
    <m/>
  </r>
  <r>
    <x v="1"/>
    <x v="3"/>
    <x v="3"/>
    <m/>
    <n v="82"/>
    <n v="11"/>
    <n v="21"/>
    <m/>
    <n v="12"/>
    <m/>
    <m/>
  </r>
  <r>
    <x v="1"/>
    <x v="3"/>
    <x v="4"/>
    <m/>
    <n v="7"/>
    <n v="0"/>
    <n v="5"/>
    <n v="0"/>
    <n v="2"/>
    <m/>
    <m/>
  </r>
  <r>
    <x v="1"/>
    <x v="8"/>
    <x v="4"/>
    <m/>
    <n v="61"/>
    <n v="9"/>
    <n v="63"/>
    <n v="8"/>
    <n v="17"/>
    <m/>
    <m/>
  </r>
  <r>
    <x v="1"/>
    <x v="10"/>
    <x v="9"/>
    <m/>
    <n v="42"/>
    <n v="5"/>
    <n v="6"/>
    <n v="0"/>
    <n v="6"/>
    <m/>
    <m/>
  </r>
  <r>
    <x v="1"/>
    <x v="12"/>
    <x v="9"/>
    <m/>
    <n v="29"/>
    <n v="1"/>
    <n v="7"/>
    <n v="0"/>
    <n v="10"/>
    <m/>
    <m/>
  </r>
  <r>
    <x v="1"/>
    <x v="9"/>
    <x v="1"/>
    <m/>
    <n v="9"/>
    <n v="8"/>
    <n v="19"/>
    <m/>
    <n v="11"/>
    <m/>
    <m/>
  </r>
  <r>
    <x v="1"/>
    <x v="1"/>
    <x v="1"/>
    <m/>
    <n v="19"/>
    <n v="1"/>
    <n v="16"/>
    <m/>
    <n v="8"/>
    <m/>
    <m/>
  </r>
  <r>
    <x v="1"/>
    <x v="14"/>
    <x v="11"/>
    <m/>
    <n v="56"/>
    <n v="0"/>
    <n v="30"/>
    <n v="0"/>
    <n v="22"/>
    <m/>
    <m/>
  </r>
  <r>
    <x v="1"/>
    <x v="6"/>
    <x v="8"/>
    <m/>
    <n v="31"/>
    <n v="2"/>
    <n v="55"/>
    <n v="2"/>
    <n v="11"/>
    <m/>
    <m/>
  </r>
  <r>
    <x v="1"/>
    <x v="5"/>
    <x v="7"/>
    <m/>
    <n v="16"/>
    <n v="3"/>
    <n v="25"/>
    <n v="11"/>
    <n v="19"/>
    <m/>
    <m/>
  </r>
  <r>
    <x v="1"/>
    <x v="15"/>
    <x v="3"/>
    <n v="473"/>
    <m/>
    <m/>
    <m/>
    <m/>
    <m/>
    <n v="280960"/>
    <m/>
  </r>
  <r>
    <x v="1"/>
    <x v="15"/>
    <x v="8"/>
    <n v="320"/>
    <m/>
    <m/>
    <m/>
    <m/>
    <m/>
    <n v="151800"/>
    <m/>
  </r>
  <r>
    <x v="1"/>
    <x v="15"/>
    <x v="4"/>
    <n v="858"/>
    <m/>
    <m/>
    <m/>
    <m/>
    <m/>
    <n v="265800"/>
    <m/>
  </r>
  <r>
    <x v="1"/>
    <x v="15"/>
    <x v="6"/>
    <n v="360"/>
    <m/>
    <m/>
    <m/>
    <m/>
    <m/>
    <n v="181150"/>
    <m/>
  </r>
  <r>
    <x v="1"/>
    <x v="15"/>
    <x v="11"/>
    <n v="460"/>
    <m/>
    <m/>
    <m/>
    <m/>
    <m/>
    <n v="323450"/>
    <m/>
  </r>
  <r>
    <x v="1"/>
    <x v="15"/>
    <x v="10"/>
    <n v="223"/>
    <m/>
    <m/>
    <m/>
    <m/>
    <m/>
    <n v="128700"/>
    <m/>
  </r>
  <r>
    <x v="1"/>
    <x v="15"/>
    <x v="0"/>
    <n v="646"/>
    <m/>
    <m/>
    <m/>
    <m/>
    <m/>
    <n v="340250"/>
    <m/>
  </r>
  <r>
    <x v="1"/>
    <x v="15"/>
    <x v="5"/>
    <n v="282"/>
    <m/>
    <m/>
    <m/>
    <m/>
    <m/>
    <n v="143450"/>
    <m/>
  </r>
  <r>
    <x v="1"/>
    <x v="15"/>
    <x v="9"/>
    <n v="500"/>
    <m/>
    <m/>
    <m/>
    <m/>
    <m/>
    <n v="203300"/>
    <m/>
  </r>
  <r>
    <x v="1"/>
    <x v="15"/>
    <x v="7"/>
    <n v="413"/>
    <m/>
    <m/>
    <m/>
    <m/>
    <m/>
    <n v="249750"/>
    <m/>
  </r>
  <r>
    <x v="1"/>
    <x v="15"/>
    <x v="2"/>
    <n v="1007"/>
    <m/>
    <m/>
    <m/>
    <m/>
    <m/>
    <n v="301550"/>
    <m/>
  </r>
  <r>
    <x v="1"/>
    <x v="15"/>
    <x v="1"/>
    <n v="461"/>
    <m/>
    <m/>
    <m/>
    <m/>
    <m/>
    <n v="238000"/>
    <m/>
  </r>
  <r>
    <x v="2"/>
    <x v="0"/>
    <x v="0"/>
    <m/>
    <n v="37"/>
    <n v="30"/>
    <n v="30"/>
    <n v="3"/>
    <n v="21"/>
    <m/>
    <m/>
  </r>
  <r>
    <x v="2"/>
    <x v="13"/>
    <x v="0"/>
    <m/>
    <n v="20"/>
    <n v="22"/>
    <n v="12"/>
    <n v="0"/>
    <n v="15"/>
    <m/>
    <m/>
  </r>
  <r>
    <x v="2"/>
    <x v="13"/>
    <x v="10"/>
    <m/>
    <n v="30"/>
    <n v="18"/>
    <n v="32"/>
    <n v="6"/>
    <n v="9"/>
    <m/>
    <m/>
  </r>
  <r>
    <x v="2"/>
    <x v="2"/>
    <x v="2"/>
    <m/>
    <n v="16"/>
    <n v="26"/>
    <n v="42"/>
    <n v="30"/>
    <n v="17"/>
    <m/>
    <m/>
  </r>
  <r>
    <x v="2"/>
    <x v="7"/>
    <x v="2"/>
    <m/>
    <n v="45"/>
    <n v="39"/>
    <n v="14"/>
    <n v="12"/>
    <n v="13"/>
    <m/>
    <m/>
  </r>
  <r>
    <x v="2"/>
    <x v="4"/>
    <x v="5"/>
    <m/>
    <n v="54"/>
    <n v="11"/>
    <n v="34"/>
    <n v="2"/>
    <n v="14"/>
    <m/>
    <m/>
  </r>
  <r>
    <x v="2"/>
    <x v="4"/>
    <x v="6"/>
    <m/>
    <n v="23"/>
    <n v="9"/>
    <n v="20"/>
    <m/>
    <n v="5"/>
    <m/>
    <m/>
  </r>
  <r>
    <x v="2"/>
    <x v="11"/>
    <x v="6"/>
    <m/>
    <n v="33"/>
    <n v="17"/>
    <n v="16"/>
    <n v="2"/>
    <n v="5"/>
    <m/>
    <m/>
  </r>
  <r>
    <x v="2"/>
    <x v="11"/>
    <x v="3"/>
    <m/>
    <n v="0"/>
    <n v="0"/>
    <n v="12"/>
    <m/>
    <n v="3"/>
    <m/>
    <m/>
  </r>
  <r>
    <x v="2"/>
    <x v="3"/>
    <x v="3"/>
    <m/>
    <n v="58"/>
    <n v="14"/>
    <n v="31"/>
    <m/>
    <n v="19"/>
    <m/>
    <m/>
  </r>
  <r>
    <x v="2"/>
    <x v="3"/>
    <x v="4"/>
    <m/>
    <n v="3"/>
    <n v="0"/>
    <n v="3"/>
    <m/>
    <n v="5"/>
    <m/>
    <m/>
  </r>
  <r>
    <x v="2"/>
    <x v="8"/>
    <x v="4"/>
    <m/>
    <n v="60"/>
    <n v="20"/>
    <n v="60"/>
    <n v="17"/>
    <n v="21"/>
    <m/>
    <m/>
  </r>
  <r>
    <x v="2"/>
    <x v="16"/>
    <x v="4"/>
    <m/>
    <n v="70"/>
    <n v="39"/>
    <n v="1"/>
    <n v="0"/>
    <n v="0"/>
    <m/>
    <m/>
  </r>
  <r>
    <x v="2"/>
    <x v="10"/>
    <x v="9"/>
    <m/>
    <n v="23"/>
    <n v="8"/>
    <n v="6"/>
    <n v="1"/>
    <n v="8"/>
    <m/>
    <m/>
  </r>
  <r>
    <x v="2"/>
    <x v="12"/>
    <x v="9"/>
    <m/>
    <n v="54"/>
    <n v="7"/>
    <n v="11"/>
    <n v="2"/>
    <n v="12"/>
    <m/>
    <m/>
  </r>
  <r>
    <x v="2"/>
    <x v="9"/>
    <x v="1"/>
    <m/>
    <n v="40"/>
    <n v="15"/>
    <n v="18"/>
    <m/>
    <n v="9"/>
    <m/>
    <m/>
  </r>
  <r>
    <x v="2"/>
    <x v="1"/>
    <x v="1"/>
    <m/>
    <n v="12"/>
    <n v="8"/>
    <n v="20"/>
    <m/>
    <n v="11"/>
    <m/>
    <m/>
  </r>
  <r>
    <x v="2"/>
    <x v="14"/>
    <x v="11"/>
    <m/>
    <n v="46"/>
    <n v="0"/>
    <n v="22"/>
    <n v="0"/>
    <n v="23"/>
    <m/>
    <m/>
  </r>
  <r>
    <x v="2"/>
    <x v="6"/>
    <x v="8"/>
    <m/>
    <n v="0"/>
    <n v="0"/>
    <n v="11"/>
    <n v="0"/>
    <n v="0"/>
    <m/>
    <m/>
  </r>
  <r>
    <x v="2"/>
    <x v="17"/>
    <x v="8"/>
    <m/>
    <n v="73"/>
    <n v="4"/>
    <n v="24"/>
    <n v="0"/>
    <n v="17"/>
    <m/>
    <m/>
  </r>
  <r>
    <x v="2"/>
    <x v="5"/>
    <x v="7"/>
    <m/>
    <n v="22"/>
    <n v="15"/>
    <n v="9"/>
    <n v="8"/>
    <n v="15"/>
    <m/>
    <m/>
  </r>
  <r>
    <x v="2"/>
    <x v="15"/>
    <x v="3"/>
    <n v="448"/>
    <m/>
    <m/>
    <m/>
    <m/>
    <m/>
    <n v="272950"/>
    <m/>
  </r>
  <r>
    <x v="2"/>
    <x v="15"/>
    <x v="8"/>
    <n v="358"/>
    <m/>
    <m/>
    <m/>
    <m/>
    <m/>
    <n v="246640"/>
    <m/>
  </r>
  <r>
    <x v="2"/>
    <x v="15"/>
    <x v="4"/>
    <n v="804"/>
    <m/>
    <m/>
    <m/>
    <m/>
    <m/>
    <n v="379050"/>
    <m/>
  </r>
  <r>
    <x v="2"/>
    <x v="15"/>
    <x v="6"/>
    <n v="517"/>
    <m/>
    <m/>
    <m/>
    <m/>
    <m/>
    <n v="136150"/>
    <m/>
  </r>
  <r>
    <x v="2"/>
    <x v="15"/>
    <x v="11"/>
    <n v="448"/>
    <m/>
    <m/>
    <m/>
    <m/>
    <m/>
    <n v="308150"/>
    <m/>
  </r>
  <r>
    <x v="2"/>
    <x v="15"/>
    <x v="10"/>
    <n v="283"/>
    <m/>
    <m/>
    <m/>
    <m/>
    <m/>
    <n v="114950"/>
    <m/>
  </r>
  <r>
    <x v="2"/>
    <x v="15"/>
    <x v="0"/>
    <n v="615"/>
    <m/>
    <m/>
    <m/>
    <m/>
    <m/>
    <n v="483250"/>
    <m/>
  </r>
  <r>
    <x v="2"/>
    <x v="15"/>
    <x v="5"/>
    <n v="321"/>
    <m/>
    <m/>
    <m/>
    <m/>
    <m/>
    <n v="197415"/>
    <m/>
  </r>
  <r>
    <x v="2"/>
    <x v="15"/>
    <x v="9"/>
    <n v="463"/>
    <m/>
    <m/>
    <m/>
    <m/>
    <m/>
    <n v="280000"/>
    <m/>
  </r>
  <r>
    <x v="2"/>
    <x v="15"/>
    <x v="7"/>
    <n v="438"/>
    <m/>
    <m/>
    <m/>
    <m/>
    <m/>
    <n v="207550"/>
    <m/>
  </r>
  <r>
    <x v="2"/>
    <x v="15"/>
    <x v="2"/>
    <n v="823"/>
    <m/>
    <m/>
    <m/>
    <m/>
    <m/>
    <n v="399450"/>
    <m/>
  </r>
  <r>
    <x v="2"/>
    <x v="15"/>
    <x v="1"/>
    <n v="437"/>
    <m/>
    <m/>
    <m/>
    <m/>
    <m/>
    <n v="259000"/>
    <m/>
  </r>
  <r>
    <x v="3"/>
    <x v="0"/>
    <x v="0"/>
    <m/>
    <n v="59"/>
    <n v="15"/>
    <n v="49"/>
    <n v="6"/>
    <n v="26"/>
    <m/>
    <m/>
  </r>
  <r>
    <x v="3"/>
    <x v="13"/>
    <x v="0"/>
    <m/>
    <n v="22"/>
    <n v="6"/>
    <n v="28"/>
    <n v="1"/>
    <n v="8"/>
    <m/>
    <m/>
  </r>
  <r>
    <x v="3"/>
    <x v="13"/>
    <x v="10"/>
    <m/>
    <n v="53"/>
    <n v="6"/>
    <n v="23"/>
    <n v="4"/>
    <n v="11"/>
    <m/>
    <m/>
  </r>
  <r>
    <x v="3"/>
    <x v="2"/>
    <x v="2"/>
    <m/>
    <n v="19"/>
    <n v="15"/>
    <n v="41"/>
    <n v="9"/>
    <n v="18"/>
    <m/>
    <m/>
  </r>
  <r>
    <x v="3"/>
    <x v="7"/>
    <x v="2"/>
    <m/>
    <n v="19"/>
    <n v="54"/>
    <n v="34"/>
    <n v="2"/>
    <n v="17"/>
    <m/>
    <m/>
  </r>
  <r>
    <x v="3"/>
    <x v="4"/>
    <x v="5"/>
    <m/>
    <n v="31"/>
    <n v="5"/>
    <n v="22"/>
    <n v="3"/>
    <n v="11"/>
    <m/>
    <m/>
  </r>
  <r>
    <x v="3"/>
    <x v="4"/>
    <x v="6"/>
    <m/>
    <n v="6"/>
    <n v="0"/>
    <n v="2"/>
    <n v="0"/>
    <n v="5"/>
    <m/>
    <m/>
  </r>
  <r>
    <x v="3"/>
    <x v="11"/>
    <x v="6"/>
    <m/>
    <n v="59"/>
    <n v="13"/>
    <n v="11"/>
    <n v="2"/>
    <n v="10"/>
    <m/>
    <m/>
  </r>
  <r>
    <x v="3"/>
    <x v="3"/>
    <x v="3"/>
    <m/>
    <n v="50"/>
    <n v="7"/>
    <n v="32"/>
    <n v="3"/>
    <n v="21"/>
    <m/>
    <m/>
  </r>
  <r>
    <x v="3"/>
    <x v="3"/>
    <x v="4"/>
    <m/>
    <n v="0"/>
    <n v="0"/>
    <n v="4"/>
    <n v="1"/>
    <n v="2"/>
    <m/>
    <m/>
  </r>
  <r>
    <x v="3"/>
    <x v="8"/>
    <x v="4"/>
    <m/>
    <n v="51"/>
    <n v="11"/>
    <n v="41"/>
    <n v="10"/>
    <n v="19"/>
    <m/>
    <m/>
  </r>
  <r>
    <x v="3"/>
    <x v="16"/>
    <x v="4"/>
    <m/>
    <n v="32"/>
    <n v="12"/>
    <n v="10"/>
    <n v="1"/>
    <n v="20"/>
    <m/>
    <m/>
  </r>
  <r>
    <x v="3"/>
    <x v="10"/>
    <x v="9"/>
    <m/>
    <n v="46"/>
    <n v="4"/>
    <n v="17"/>
    <n v="1"/>
    <n v="12"/>
    <m/>
    <m/>
  </r>
  <r>
    <x v="3"/>
    <x v="12"/>
    <x v="9"/>
    <m/>
    <n v="36"/>
    <n v="4"/>
    <n v="25"/>
    <n v="0"/>
    <n v="10"/>
    <m/>
    <m/>
  </r>
  <r>
    <x v="3"/>
    <x v="9"/>
    <x v="1"/>
    <m/>
    <n v="16"/>
    <n v="6"/>
    <n v="7"/>
    <n v="7"/>
    <n v="11"/>
    <m/>
    <m/>
  </r>
  <r>
    <x v="3"/>
    <x v="1"/>
    <x v="1"/>
    <m/>
    <n v="5"/>
    <n v="6"/>
    <n v="1"/>
    <n v="3"/>
    <n v="9"/>
    <m/>
    <m/>
  </r>
  <r>
    <x v="3"/>
    <x v="14"/>
    <x v="11"/>
    <m/>
    <n v="51"/>
    <n v="0"/>
    <n v="40"/>
    <n v="0"/>
    <n v="24"/>
    <m/>
    <m/>
  </r>
  <r>
    <x v="3"/>
    <x v="17"/>
    <x v="8"/>
    <m/>
    <n v="63"/>
    <n v="0"/>
    <n v="56"/>
    <n v="0"/>
    <n v="11"/>
    <m/>
    <m/>
  </r>
  <r>
    <x v="3"/>
    <x v="5"/>
    <x v="7"/>
    <m/>
    <n v="19"/>
    <n v="13"/>
    <n v="9"/>
    <n v="6"/>
    <n v="17"/>
    <m/>
    <m/>
  </r>
  <r>
    <x v="3"/>
    <x v="15"/>
    <x v="3"/>
    <n v="462"/>
    <m/>
    <m/>
    <m/>
    <m/>
    <m/>
    <n v="249100"/>
    <m/>
  </r>
  <r>
    <x v="3"/>
    <x v="15"/>
    <x v="8"/>
    <n v="353"/>
    <m/>
    <m/>
    <m/>
    <m/>
    <m/>
    <n v="141350"/>
    <m/>
  </r>
  <r>
    <x v="3"/>
    <x v="15"/>
    <x v="4"/>
    <n v="661"/>
    <m/>
    <m/>
    <m/>
    <m/>
    <m/>
    <n v="552800"/>
    <m/>
  </r>
  <r>
    <x v="3"/>
    <x v="15"/>
    <x v="6"/>
    <n v="467"/>
    <m/>
    <m/>
    <m/>
    <m/>
    <m/>
    <n v="176150"/>
    <m/>
  </r>
  <r>
    <x v="3"/>
    <x v="15"/>
    <x v="11"/>
    <n v="491"/>
    <m/>
    <m/>
    <m/>
    <m/>
    <m/>
    <n v="376200"/>
    <m/>
  </r>
  <r>
    <x v="3"/>
    <x v="15"/>
    <x v="10"/>
    <n v="343"/>
    <m/>
    <m/>
    <m/>
    <m/>
    <m/>
    <n v="132800"/>
    <m/>
  </r>
  <r>
    <x v="3"/>
    <x v="15"/>
    <x v="0"/>
    <n v="633"/>
    <m/>
    <m/>
    <m/>
    <m/>
    <m/>
    <n v="387450"/>
    <m/>
  </r>
  <r>
    <x v="3"/>
    <x v="15"/>
    <x v="5"/>
    <n v="300"/>
    <m/>
    <m/>
    <m/>
    <m/>
    <m/>
    <n v="131450"/>
    <m/>
  </r>
  <r>
    <x v="3"/>
    <x v="15"/>
    <x v="9"/>
    <n v="456"/>
    <m/>
    <m/>
    <m/>
    <m/>
    <m/>
    <n v="313100"/>
    <m/>
  </r>
  <r>
    <x v="3"/>
    <x v="15"/>
    <x v="7"/>
    <n v="461"/>
    <m/>
    <m/>
    <m/>
    <m/>
    <m/>
    <n v="209500"/>
    <m/>
  </r>
  <r>
    <x v="3"/>
    <x v="15"/>
    <x v="2"/>
    <n v="651"/>
    <m/>
    <m/>
    <m/>
    <m/>
    <m/>
    <n v="462990"/>
    <m/>
  </r>
  <r>
    <x v="3"/>
    <x v="15"/>
    <x v="1"/>
    <n v="407"/>
    <m/>
    <m/>
    <m/>
    <m/>
    <m/>
    <n v="255850"/>
    <m/>
  </r>
  <r>
    <x v="4"/>
    <x v="15"/>
    <x v="3"/>
    <n v="452"/>
    <m/>
    <m/>
    <m/>
    <m/>
    <m/>
    <n v="242050"/>
    <m/>
  </r>
  <r>
    <x v="4"/>
    <x v="15"/>
    <x v="8"/>
    <n v="239"/>
    <m/>
    <m/>
    <m/>
    <m/>
    <m/>
    <n v="205150"/>
    <m/>
  </r>
  <r>
    <x v="4"/>
    <x v="15"/>
    <x v="4"/>
    <n v="554"/>
    <m/>
    <m/>
    <m/>
    <m/>
    <m/>
    <n v="542875"/>
    <m/>
  </r>
  <r>
    <x v="4"/>
    <x v="15"/>
    <x v="6"/>
    <n v="345"/>
    <m/>
    <m/>
    <m/>
    <m/>
    <m/>
    <n v="202950"/>
    <m/>
  </r>
  <r>
    <x v="4"/>
    <x v="15"/>
    <x v="11"/>
    <n v="345"/>
    <m/>
    <m/>
    <m/>
    <m/>
    <m/>
    <n v="351200"/>
    <m/>
  </r>
  <r>
    <x v="4"/>
    <x v="15"/>
    <x v="10"/>
    <n v="259"/>
    <m/>
    <m/>
    <m/>
    <m/>
    <m/>
    <n v="159800"/>
    <m/>
  </r>
  <r>
    <x v="4"/>
    <x v="15"/>
    <x v="0"/>
    <n v="500"/>
    <m/>
    <m/>
    <m/>
    <m/>
    <m/>
    <n v="457200"/>
    <m/>
  </r>
  <r>
    <x v="4"/>
    <x v="15"/>
    <x v="5"/>
    <n v="239"/>
    <m/>
    <m/>
    <m/>
    <m/>
    <m/>
    <n v="145950"/>
    <m/>
  </r>
  <r>
    <x v="4"/>
    <x v="15"/>
    <x v="9"/>
    <n v="361"/>
    <m/>
    <m/>
    <m/>
    <m/>
    <m/>
    <n v="345540"/>
    <m/>
  </r>
  <r>
    <x v="4"/>
    <x v="15"/>
    <x v="7"/>
    <n v="306"/>
    <m/>
    <m/>
    <m/>
    <m/>
    <m/>
    <n v="205050"/>
    <m/>
  </r>
  <r>
    <x v="4"/>
    <x v="15"/>
    <x v="2"/>
    <n v="498"/>
    <m/>
    <m/>
    <m/>
    <m/>
    <m/>
    <n v="475400"/>
    <m/>
  </r>
  <r>
    <x v="4"/>
    <x v="15"/>
    <x v="1"/>
    <n v="296"/>
    <m/>
    <m/>
    <m/>
    <m/>
    <m/>
    <n v="220400"/>
    <m/>
  </r>
  <r>
    <x v="4"/>
    <x v="0"/>
    <x v="0"/>
    <m/>
    <n v="49"/>
    <n v="9"/>
    <n v="56"/>
    <n v="5"/>
    <n v="29"/>
    <m/>
    <m/>
  </r>
  <r>
    <x v="4"/>
    <x v="13"/>
    <x v="0"/>
    <m/>
    <n v="32"/>
    <n v="0"/>
    <n v="16"/>
    <n v="0"/>
    <n v="9"/>
    <m/>
    <m/>
  </r>
  <r>
    <x v="4"/>
    <x v="13"/>
    <x v="10"/>
    <m/>
    <n v="26"/>
    <n v="1"/>
    <n v="24"/>
    <n v="3"/>
    <n v="14"/>
    <m/>
    <m/>
  </r>
  <r>
    <x v="4"/>
    <x v="2"/>
    <x v="2"/>
    <m/>
    <n v="24"/>
    <n v="15"/>
    <n v="42"/>
    <n v="9"/>
    <n v="13"/>
    <m/>
    <m/>
  </r>
  <r>
    <x v="4"/>
    <x v="7"/>
    <x v="2"/>
    <m/>
    <n v="36"/>
    <n v="14"/>
    <n v="23"/>
    <n v="6"/>
    <n v="21"/>
    <m/>
    <m/>
  </r>
  <r>
    <x v="4"/>
    <x v="4"/>
    <x v="5"/>
    <m/>
    <n v="49"/>
    <n v="11"/>
    <n v="24"/>
    <n v="3"/>
    <n v="11"/>
    <m/>
    <m/>
  </r>
  <r>
    <x v="4"/>
    <x v="4"/>
    <x v="6"/>
    <m/>
    <n v="18"/>
    <n v="3"/>
    <n v="22"/>
    <n v="1"/>
    <n v="3"/>
    <m/>
    <m/>
  </r>
  <r>
    <x v="4"/>
    <x v="11"/>
    <x v="6"/>
    <m/>
    <n v="38"/>
    <n v="3"/>
    <n v="11"/>
    <n v="1"/>
    <n v="13"/>
    <m/>
    <m/>
  </r>
  <r>
    <x v="4"/>
    <x v="3"/>
    <x v="3"/>
    <m/>
    <n v="32"/>
    <n v="8"/>
    <n v="17"/>
    <n v="0"/>
    <n v="21"/>
    <m/>
    <m/>
  </r>
  <r>
    <x v="4"/>
    <x v="3"/>
    <x v="4"/>
    <m/>
    <n v="0"/>
    <n v="2"/>
    <n v="3"/>
    <n v="1"/>
    <n v="0"/>
    <m/>
    <m/>
  </r>
  <r>
    <x v="4"/>
    <x v="8"/>
    <x v="4"/>
    <m/>
    <n v="46"/>
    <n v="11"/>
    <n v="60"/>
    <n v="7"/>
    <n v="26"/>
    <m/>
    <m/>
  </r>
  <r>
    <x v="4"/>
    <x v="16"/>
    <x v="4"/>
    <m/>
    <n v="42"/>
    <n v="11"/>
    <n v="16"/>
    <n v="3"/>
    <n v="17"/>
    <m/>
    <m/>
  </r>
  <r>
    <x v="4"/>
    <x v="10"/>
    <x v="9"/>
    <m/>
    <n v="37"/>
    <n v="4"/>
    <n v="12"/>
    <n v="2"/>
    <n v="15"/>
    <m/>
    <m/>
  </r>
  <r>
    <x v="4"/>
    <x v="12"/>
    <x v="9"/>
    <m/>
    <n v="44"/>
    <n v="2"/>
    <n v="12"/>
    <n v="0"/>
    <n v="10"/>
    <m/>
    <m/>
  </r>
  <r>
    <x v="4"/>
    <x v="9"/>
    <x v="1"/>
    <m/>
    <n v="21"/>
    <n v="16"/>
    <n v="9"/>
    <n v="6"/>
    <n v="10"/>
    <m/>
    <m/>
  </r>
  <r>
    <x v="4"/>
    <x v="1"/>
    <x v="1"/>
    <m/>
    <n v="21"/>
    <n v="7"/>
    <n v="9"/>
    <n v="3"/>
    <n v="10"/>
    <m/>
    <m/>
  </r>
  <r>
    <x v="4"/>
    <x v="14"/>
    <x v="11"/>
    <m/>
    <n v="40"/>
    <n v="0"/>
    <n v="42"/>
    <n v="0"/>
    <n v="23"/>
    <m/>
    <m/>
  </r>
  <r>
    <x v="4"/>
    <x v="17"/>
    <x v="8"/>
    <m/>
    <n v="62"/>
    <n v="3"/>
    <n v="41"/>
    <n v="3"/>
    <n v="15"/>
    <m/>
    <m/>
  </r>
  <r>
    <x v="4"/>
    <x v="5"/>
    <x v="7"/>
    <m/>
    <n v="30"/>
    <n v="26"/>
    <n v="15"/>
    <n v="12"/>
    <n v="16"/>
    <m/>
    <m/>
  </r>
  <r>
    <x v="5"/>
    <x v="15"/>
    <x v="3"/>
    <n v="532"/>
    <m/>
    <m/>
    <m/>
    <m/>
    <m/>
    <n v="190050"/>
    <m/>
  </r>
  <r>
    <x v="5"/>
    <x v="15"/>
    <x v="8"/>
    <n v="344"/>
    <m/>
    <m/>
    <m/>
    <m/>
    <m/>
    <n v="357600"/>
    <m/>
  </r>
  <r>
    <x v="5"/>
    <x v="15"/>
    <x v="4"/>
    <n v="777"/>
    <m/>
    <m/>
    <m/>
    <m/>
    <m/>
    <n v="667600"/>
    <m/>
  </r>
  <r>
    <x v="5"/>
    <x v="15"/>
    <x v="6"/>
    <n v="445"/>
    <m/>
    <m/>
    <m/>
    <m/>
    <m/>
    <n v="218050"/>
    <m/>
  </r>
  <r>
    <x v="5"/>
    <x v="15"/>
    <x v="11"/>
    <n v="426"/>
    <m/>
    <m/>
    <m/>
    <m/>
    <m/>
    <n v="346450"/>
    <m/>
  </r>
  <r>
    <x v="5"/>
    <x v="15"/>
    <x v="10"/>
    <n v="282"/>
    <m/>
    <m/>
    <m/>
    <m/>
    <m/>
    <n v="258250"/>
    <m/>
  </r>
  <r>
    <x v="5"/>
    <x v="15"/>
    <x v="0"/>
    <n v="586"/>
    <m/>
    <m/>
    <m/>
    <m/>
    <m/>
    <n v="371150"/>
    <m/>
  </r>
  <r>
    <x v="5"/>
    <x v="15"/>
    <x v="5"/>
    <n v="316"/>
    <m/>
    <m/>
    <m/>
    <m/>
    <m/>
    <n v="257950"/>
    <m/>
  </r>
  <r>
    <x v="5"/>
    <x v="15"/>
    <x v="9"/>
    <n v="451"/>
    <m/>
    <m/>
    <m/>
    <m/>
    <m/>
    <n v="367150"/>
    <m/>
  </r>
  <r>
    <x v="5"/>
    <x v="15"/>
    <x v="7"/>
    <n v="446"/>
    <m/>
    <m/>
    <m/>
    <m/>
    <m/>
    <n v="288900"/>
    <m/>
  </r>
  <r>
    <x v="5"/>
    <x v="15"/>
    <x v="2"/>
    <n v="558"/>
    <m/>
    <m/>
    <m/>
    <m/>
    <m/>
    <n v="498400"/>
    <m/>
  </r>
  <r>
    <x v="5"/>
    <x v="15"/>
    <x v="1"/>
    <n v="303"/>
    <m/>
    <m/>
    <m/>
    <m/>
    <m/>
    <n v="237950"/>
    <m/>
  </r>
  <r>
    <x v="5"/>
    <x v="15"/>
    <x v="12"/>
    <n v="416"/>
    <m/>
    <m/>
    <m/>
    <m/>
    <m/>
    <n v="78850"/>
    <m/>
  </r>
  <r>
    <x v="5"/>
    <x v="15"/>
    <x v="13"/>
    <n v="513"/>
    <m/>
    <m/>
    <m/>
    <m/>
    <m/>
    <n v="38500"/>
    <m/>
  </r>
  <r>
    <x v="5"/>
    <x v="0"/>
    <x v="0"/>
    <m/>
    <n v="23"/>
    <n v="5"/>
    <n v="30"/>
    <n v="2"/>
    <n v="21"/>
    <m/>
    <m/>
  </r>
  <r>
    <x v="5"/>
    <x v="13"/>
    <x v="0"/>
    <m/>
    <n v="25"/>
    <n v="1"/>
    <n v="20"/>
    <n v="0"/>
    <n v="8"/>
    <m/>
    <m/>
  </r>
  <r>
    <x v="5"/>
    <x v="13"/>
    <x v="10"/>
    <m/>
    <n v="24"/>
    <n v="2"/>
    <n v="36"/>
    <n v="6"/>
    <n v="20"/>
    <m/>
    <m/>
  </r>
  <r>
    <x v="5"/>
    <x v="2"/>
    <x v="2"/>
    <m/>
    <n v="40"/>
    <n v="10"/>
    <n v="49"/>
    <n v="11"/>
    <n v="16"/>
    <m/>
    <m/>
  </r>
  <r>
    <x v="5"/>
    <x v="7"/>
    <x v="2"/>
    <m/>
    <n v="47"/>
    <n v="21"/>
    <n v="28"/>
    <n v="6"/>
    <n v="19"/>
    <m/>
    <m/>
  </r>
  <r>
    <x v="5"/>
    <x v="4"/>
    <x v="5"/>
    <m/>
    <n v="40"/>
    <n v="9"/>
    <n v="38"/>
    <n v="5"/>
    <n v="20"/>
    <m/>
    <m/>
  </r>
  <r>
    <x v="5"/>
    <x v="4"/>
    <x v="6"/>
    <m/>
    <n v="25"/>
    <n v="4"/>
    <n v="17"/>
    <n v="2"/>
    <n v="7"/>
    <m/>
    <m/>
  </r>
  <r>
    <x v="5"/>
    <x v="11"/>
    <x v="6"/>
    <m/>
    <n v="52"/>
    <n v="12"/>
    <n v="16"/>
    <n v="3"/>
    <n v="9"/>
    <m/>
    <m/>
  </r>
  <r>
    <x v="5"/>
    <x v="3"/>
    <x v="3"/>
    <m/>
    <n v="77"/>
    <n v="8"/>
    <n v="31"/>
    <n v="0"/>
    <n v="14"/>
    <m/>
    <m/>
  </r>
  <r>
    <x v="5"/>
    <x v="3"/>
    <x v="4"/>
    <m/>
    <n v="5"/>
    <n v="1"/>
    <n v="4"/>
    <n v="1"/>
    <n v="0"/>
    <m/>
    <m/>
  </r>
  <r>
    <x v="5"/>
    <x v="8"/>
    <x v="4"/>
    <m/>
    <n v="39"/>
    <n v="7"/>
    <n v="63"/>
    <n v="2"/>
    <n v="25"/>
    <m/>
    <m/>
  </r>
  <r>
    <x v="5"/>
    <x v="16"/>
    <x v="4"/>
    <m/>
    <n v="43"/>
    <n v="11"/>
    <n v="22"/>
    <n v="1"/>
    <n v="19"/>
    <m/>
    <m/>
  </r>
  <r>
    <x v="5"/>
    <x v="10"/>
    <x v="9"/>
    <m/>
    <n v="27"/>
    <n v="2"/>
    <n v="14"/>
    <n v="0"/>
    <n v="11"/>
    <m/>
    <m/>
  </r>
  <r>
    <x v="5"/>
    <x v="12"/>
    <x v="9"/>
    <m/>
    <n v="24"/>
    <n v="11"/>
    <n v="24"/>
    <n v="2"/>
    <n v="15"/>
    <m/>
    <m/>
  </r>
  <r>
    <x v="5"/>
    <x v="9"/>
    <x v="1"/>
    <m/>
    <n v="25"/>
    <n v="10"/>
    <n v="17"/>
    <n v="5"/>
    <n v="9"/>
    <m/>
    <m/>
  </r>
  <r>
    <x v="5"/>
    <x v="1"/>
    <x v="1"/>
    <m/>
    <n v="37"/>
    <n v="0"/>
    <n v="18"/>
    <n v="4"/>
    <n v="9"/>
    <m/>
    <m/>
  </r>
  <r>
    <x v="5"/>
    <x v="14"/>
    <x v="11"/>
    <m/>
    <n v="60"/>
    <n v="2"/>
    <n v="41"/>
    <n v="0"/>
    <n v="24"/>
    <m/>
    <m/>
  </r>
  <r>
    <x v="5"/>
    <x v="17"/>
    <x v="8"/>
    <m/>
    <n v="61"/>
    <n v="2"/>
    <n v="39"/>
    <n v="7"/>
    <n v="24"/>
    <m/>
    <m/>
  </r>
  <r>
    <x v="5"/>
    <x v="5"/>
    <x v="7"/>
    <m/>
    <n v="27"/>
    <n v="19"/>
    <n v="16"/>
    <n v="11"/>
    <n v="20"/>
    <m/>
    <m/>
  </r>
  <r>
    <x v="5"/>
    <x v="18"/>
    <x v="12"/>
    <m/>
    <n v="42"/>
    <n v="14"/>
    <n v="3"/>
    <n v="1"/>
    <n v="6"/>
    <m/>
    <m/>
  </r>
  <r>
    <x v="5"/>
    <x v="19"/>
    <x v="13"/>
    <m/>
    <n v="22"/>
    <n v="12"/>
    <n v="1"/>
    <n v="1"/>
    <n v="3"/>
    <m/>
    <m/>
  </r>
  <r>
    <x v="6"/>
    <x v="15"/>
    <x v="3"/>
    <n v="332"/>
    <m/>
    <m/>
    <m/>
    <m/>
    <m/>
    <n v="308510"/>
    <m/>
  </r>
  <r>
    <x v="6"/>
    <x v="15"/>
    <x v="8"/>
    <n v="252"/>
    <m/>
    <m/>
    <m/>
    <m/>
    <m/>
    <n v="252210"/>
    <m/>
  </r>
  <r>
    <x v="6"/>
    <x v="15"/>
    <x v="4"/>
    <n v="535"/>
    <m/>
    <m/>
    <m/>
    <m/>
    <m/>
    <n v="698680"/>
    <m/>
  </r>
  <r>
    <x v="6"/>
    <x v="15"/>
    <x v="6"/>
    <n v="345"/>
    <m/>
    <m/>
    <m/>
    <m/>
    <m/>
    <n v="223300"/>
    <m/>
  </r>
  <r>
    <x v="6"/>
    <x v="15"/>
    <x v="11"/>
    <n v="398"/>
    <m/>
    <m/>
    <m/>
    <m/>
    <m/>
    <n v="470950"/>
    <m/>
  </r>
  <r>
    <x v="6"/>
    <x v="15"/>
    <x v="10"/>
    <n v="274"/>
    <m/>
    <m/>
    <m/>
    <m/>
    <m/>
    <n v="119800"/>
    <m/>
  </r>
  <r>
    <x v="6"/>
    <x v="15"/>
    <x v="0"/>
    <n v="427"/>
    <m/>
    <m/>
    <m/>
    <m/>
    <m/>
    <n v="242200"/>
    <m/>
  </r>
  <r>
    <x v="6"/>
    <x v="15"/>
    <x v="5"/>
    <n v="231"/>
    <m/>
    <m/>
    <m/>
    <m/>
    <m/>
    <n v="287450"/>
    <m/>
  </r>
  <r>
    <x v="6"/>
    <x v="15"/>
    <x v="9"/>
    <n v="406"/>
    <m/>
    <m/>
    <m/>
    <m/>
    <m/>
    <n v="365350"/>
    <m/>
  </r>
  <r>
    <x v="6"/>
    <x v="15"/>
    <x v="7"/>
    <n v="349"/>
    <m/>
    <m/>
    <m/>
    <m/>
    <m/>
    <n v="237900"/>
    <m/>
  </r>
  <r>
    <x v="6"/>
    <x v="15"/>
    <x v="2"/>
    <n v="490"/>
    <m/>
    <m/>
    <m/>
    <m/>
    <m/>
    <n v="521551"/>
    <m/>
  </r>
  <r>
    <x v="6"/>
    <x v="15"/>
    <x v="1"/>
    <n v="175"/>
    <m/>
    <m/>
    <m/>
    <m/>
    <m/>
    <n v="277000"/>
    <m/>
  </r>
  <r>
    <x v="6"/>
    <x v="15"/>
    <x v="12"/>
    <n v="348"/>
    <m/>
    <m/>
    <m/>
    <m/>
    <m/>
    <n v="137400"/>
    <m/>
  </r>
  <r>
    <x v="6"/>
    <x v="15"/>
    <x v="13"/>
    <n v="453"/>
    <m/>
    <m/>
    <m/>
    <m/>
    <m/>
    <n v="68000"/>
    <m/>
  </r>
  <r>
    <x v="6"/>
    <x v="0"/>
    <x v="0"/>
    <m/>
    <n v="46"/>
    <n v="1"/>
    <n v="58"/>
    <n v="6"/>
    <n v="14"/>
    <m/>
    <m/>
  </r>
  <r>
    <x v="6"/>
    <x v="13"/>
    <x v="0"/>
    <m/>
    <n v="39"/>
    <n v="1"/>
    <n v="25"/>
    <n v="3"/>
    <n v="8"/>
    <m/>
    <m/>
  </r>
  <r>
    <x v="6"/>
    <x v="13"/>
    <x v="10"/>
    <m/>
    <n v="20"/>
    <n v="8"/>
    <n v="30"/>
    <n v="3"/>
    <n v="9"/>
    <m/>
    <m/>
  </r>
  <r>
    <x v="6"/>
    <x v="2"/>
    <x v="2"/>
    <m/>
    <n v="37"/>
    <n v="22"/>
    <n v="47"/>
    <n v="13"/>
    <n v="14"/>
    <m/>
    <m/>
  </r>
  <r>
    <x v="6"/>
    <x v="7"/>
    <x v="2"/>
    <m/>
    <n v="35"/>
    <n v="12"/>
    <n v="41"/>
    <n v="11"/>
    <n v="23"/>
    <m/>
    <m/>
  </r>
  <r>
    <x v="6"/>
    <x v="4"/>
    <x v="5"/>
    <m/>
    <n v="55"/>
    <n v="4"/>
    <n v="4"/>
    <n v="31"/>
    <n v="22"/>
    <m/>
    <m/>
  </r>
  <r>
    <x v="6"/>
    <x v="4"/>
    <x v="6"/>
    <m/>
    <n v="10"/>
    <n v="4"/>
    <n v="7"/>
    <n v="2"/>
    <n v="3"/>
    <m/>
    <m/>
  </r>
  <r>
    <x v="6"/>
    <x v="11"/>
    <x v="6"/>
    <m/>
    <n v="55"/>
    <n v="5"/>
    <n v="18"/>
    <n v="4"/>
    <n v="13"/>
    <m/>
    <m/>
  </r>
  <r>
    <x v="6"/>
    <x v="3"/>
    <x v="3"/>
    <m/>
    <n v="72"/>
    <n v="12"/>
    <n v="42"/>
    <n v="2"/>
    <n v="22"/>
    <m/>
    <m/>
  </r>
  <r>
    <x v="6"/>
    <x v="3"/>
    <x v="4"/>
    <m/>
    <n v="9"/>
    <n v="8"/>
    <n v="1"/>
    <n v="0"/>
    <n v="2"/>
    <m/>
    <m/>
  </r>
  <r>
    <x v="6"/>
    <x v="8"/>
    <x v="4"/>
    <m/>
    <n v="13"/>
    <n v="1"/>
    <n v="33"/>
    <n v="5"/>
    <n v="35"/>
    <m/>
    <m/>
  </r>
  <r>
    <x v="6"/>
    <x v="16"/>
    <x v="4"/>
    <m/>
    <n v="45"/>
    <n v="9"/>
    <n v="15"/>
    <n v="4"/>
    <n v="12"/>
    <m/>
    <m/>
  </r>
  <r>
    <x v="6"/>
    <x v="10"/>
    <x v="9"/>
    <m/>
    <n v="51"/>
    <n v="3"/>
    <n v="23"/>
    <n v="1"/>
    <n v="13"/>
    <m/>
    <m/>
  </r>
  <r>
    <x v="6"/>
    <x v="12"/>
    <x v="9"/>
    <m/>
    <n v="29"/>
    <n v="3"/>
    <n v="15"/>
    <n v="0"/>
    <n v="12"/>
    <m/>
    <m/>
  </r>
  <r>
    <x v="6"/>
    <x v="9"/>
    <x v="1"/>
    <m/>
    <n v="14"/>
    <n v="10"/>
    <n v="8"/>
    <n v="8"/>
    <n v="10"/>
    <m/>
    <m/>
  </r>
  <r>
    <x v="6"/>
    <x v="1"/>
    <x v="1"/>
    <m/>
    <n v="24"/>
    <n v="5"/>
    <n v="6"/>
    <n v="3"/>
    <n v="12"/>
    <m/>
    <m/>
  </r>
  <r>
    <x v="6"/>
    <x v="14"/>
    <x v="11"/>
    <m/>
    <n v="62"/>
    <n v="0"/>
    <n v="42"/>
    <n v="0"/>
    <n v="33"/>
    <m/>
    <m/>
  </r>
  <r>
    <x v="6"/>
    <x v="17"/>
    <x v="8"/>
    <m/>
    <n v="91"/>
    <n v="1"/>
    <n v="58"/>
    <n v="2"/>
    <n v="19"/>
    <m/>
    <m/>
  </r>
  <r>
    <x v="6"/>
    <x v="5"/>
    <x v="7"/>
    <m/>
    <n v="23"/>
    <n v="37"/>
    <n v="17"/>
    <n v="15"/>
    <n v="23"/>
    <m/>
    <m/>
  </r>
  <r>
    <x v="6"/>
    <x v="18"/>
    <x v="12"/>
    <m/>
    <n v="34"/>
    <n v="7"/>
    <n v="3"/>
    <n v="5"/>
    <n v="10"/>
    <m/>
    <m/>
  </r>
  <r>
    <x v="6"/>
    <x v="19"/>
    <x v="13"/>
    <m/>
    <n v="45"/>
    <n v="10"/>
    <n v="4"/>
    <n v="4"/>
    <n v="5"/>
    <m/>
    <m/>
  </r>
  <r>
    <x v="7"/>
    <x v="15"/>
    <x v="3"/>
    <n v="306"/>
    <m/>
    <m/>
    <m/>
    <m/>
    <m/>
    <n v="351900"/>
    <m/>
  </r>
  <r>
    <x v="7"/>
    <x v="15"/>
    <x v="8"/>
    <n v="317"/>
    <m/>
    <m/>
    <m/>
    <m/>
    <m/>
    <n v="217400"/>
    <m/>
  </r>
  <r>
    <x v="7"/>
    <x v="15"/>
    <x v="4"/>
    <n v="356"/>
    <m/>
    <m/>
    <m/>
    <m/>
    <m/>
    <n v="592900"/>
    <m/>
  </r>
  <r>
    <x v="7"/>
    <x v="15"/>
    <x v="6"/>
    <n v="339"/>
    <m/>
    <m/>
    <m/>
    <m/>
    <m/>
    <n v="213250"/>
    <m/>
  </r>
  <r>
    <x v="7"/>
    <x v="15"/>
    <x v="11"/>
    <n v="398"/>
    <m/>
    <m/>
    <m/>
    <m/>
    <m/>
    <n v="411200"/>
    <m/>
  </r>
  <r>
    <x v="7"/>
    <x v="15"/>
    <x v="10"/>
    <n v="254"/>
    <m/>
    <m/>
    <m/>
    <m/>
    <m/>
    <n v="161800"/>
    <m/>
  </r>
  <r>
    <x v="7"/>
    <x v="15"/>
    <x v="0"/>
    <n v="415"/>
    <m/>
    <m/>
    <m/>
    <m/>
    <m/>
    <n v="428200"/>
    <m/>
  </r>
  <r>
    <x v="7"/>
    <x v="15"/>
    <x v="5"/>
    <n v="228"/>
    <m/>
    <m/>
    <m/>
    <m/>
    <m/>
    <n v="244200"/>
    <m/>
  </r>
  <r>
    <x v="7"/>
    <x v="15"/>
    <x v="9"/>
    <n v="360"/>
    <m/>
    <m/>
    <m/>
    <m/>
    <m/>
    <n v="455350"/>
    <m/>
  </r>
  <r>
    <x v="7"/>
    <x v="15"/>
    <x v="7"/>
    <n v="330"/>
    <m/>
    <m/>
    <m/>
    <m/>
    <m/>
    <n v="248550"/>
    <m/>
  </r>
  <r>
    <x v="7"/>
    <x v="15"/>
    <x v="2"/>
    <n v="528"/>
    <m/>
    <m/>
    <m/>
    <m/>
    <m/>
    <n v="493885"/>
    <m/>
  </r>
  <r>
    <x v="7"/>
    <x v="15"/>
    <x v="1"/>
    <n v="303"/>
    <m/>
    <m/>
    <m/>
    <m/>
    <m/>
    <n v="264500"/>
    <m/>
  </r>
  <r>
    <x v="7"/>
    <x v="15"/>
    <x v="12"/>
    <n v="353"/>
    <m/>
    <m/>
    <m/>
    <m/>
    <m/>
    <n v="141200"/>
    <m/>
  </r>
  <r>
    <x v="7"/>
    <x v="15"/>
    <x v="13"/>
    <n v="458"/>
    <m/>
    <m/>
    <m/>
    <m/>
    <m/>
    <n v="133000"/>
    <m/>
  </r>
  <r>
    <x v="7"/>
    <x v="15"/>
    <x v="14"/>
    <n v="265"/>
    <m/>
    <m/>
    <m/>
    <m/>
    <m/>
    <n v="26000"/>
    <m/>
  </r>
  <r>
    <x v="7"/>
    <x v="0"/>
    <x v="0"/>
    <m/>
    <n v="50"/>
    <n v="4"/>
    <n v="54"/>
    <n v="5"/>
    <n v="23"/>
    <m/>
    <m/>
  </r>
  <r>
    <x v="7"/>
    <x v="13"/>
    <x v="0"/>
    <m/>
    <n v="29"/>
    <n v="1"/>
    <n v="35"/>
    <n v="1"/>
    <n v="11"/>
    <m/>
    <m/>
  </r>
  <r>
    <x v="7"/>
    <x v="13"/>
    <x v="10"/>
    <m/>
    <n v="24"/>
    <n v="0"/>
    <n v="27"/>
    <n v="4"/>
    <n v="12"/>
    <m/>
    <m/>
  </r>
  <r>
    <x v="7"/>
    <x v="2"/>
    <x v="2"/>
    <m/>
    <n v="30"/>
    <n v="16"/>
    <n v="50"/>
    <n v="10"/>
    <n v="16"/>
    <m/>
    <m/>
  </r>
  <r>
    <x v="7"/>
    <x v="7"/>
    <x v="2"/>
    <m/>
    <n v="40"/>
    <n v="15"/>
    <n v="35"/>
    <n v="8"/>
    <n v="19"/>
    <m/>
    <m/>
  </r>
  <r>
    <x v="7"/>
    <x v="4"/>
    <x v="5"/>
    <m/>
    <n v="58"/>
    <n v="6"/>
    <n v="40"/>
    <n v="9"/>
    <n v="18"/>
    <m/>
    <m/>
  </r>
  <r>
    <x v="7"/>
    <x v="4"/>
    <x v="6"/>
    <m/>
    <n v="27"/>
    <n v="3"/>
    <n v="20"/>
    <n v="0"/>
    <n v="9"/>
    <m/>
    <m/>
  </r>
  <r>
    <x v="7"/>
    <x v="11"/>
    <x v="6"/>
    <m/>
    <n v="16"/>
    <n v="8"/>
    <n v="12"/>
    <n v="0"/>
    <n v="7"/>
    <m/>
    <m/>
  </r>
  <r>
    <x v="7"/>
    <x v="3"/>
    <x v="3"/>
    <m/>
    <n v="32"/>
    <n v="1"/>
    <n v="24"/>
    <n v="0"/>
    <n v="25"/>
    <m/>
    <m/>
  </r>
  <r>
    <x v="7"/>
    <x v="3"/>
    <x v="4"/>
    <m/>
    <n v="8"/>
    <n v="28"/>
    <n v="12"/>
    <n v="3"/>
    <n v="13"/>
    <m/>
    <m/>
  </r>
  <r>
    <x v="7"/>
    <x v="8"/>
    <x v="4"/>
    <m/>
    <n v="10"/>
    <n v="3"/>
    <n v="43"/>
    <n v="5"/>
    <n v="10"/>
    <m/>
    <m/>
  </r>
  <r>
    <x v="7"/>
    <x v="16"/>
    <x v="4"/>
    <m/>
    <n v="45"/>
    <n v="14"/>
    <n v="41"/>
    <n v="11"/>
    <n v="17"/>
    <m/>
    <m/>
  </r>
  <r>
    <x v="7"/>
    <x v="10"/>
    <x v="9"/>
    <m/>
    <n v="25"/>
    <n v="5"/>
    <n v="22"/>
    <n v="1"/>
    <n v="13"/>
    <m/>
    <m/>
  </r>
  <r>
    <x v="7"/>
    <x v="12"/>
    <x v="9"/>
    <m/>
    <n v="35"/>
    <n v="2"/>
    <n v="31"/>
    <n v="1"/>
    <n v="19"/>
    <m/>
    <m/>
  </r>
  <r>
    <x v="7"/>
    <x v="9"/>
    <x v="1"/>
    <m/>
    <n v="26"/>
    <n v="17"/>
    <n v="19"/>
    <n v="8"/>
    <n v="10"/>
    <m/>
    <m/>
  </r>
  <r>
    <x v="7"/>
    <x v="1"/>
    <x v="1"/>
    <m/>
    <n v="17"/>
    <n v="7"/>
    <n v="13"/>
    <n v="2"/>
    <n v="10"/>
    <m/>
    <m/>
  </r>
  <r>
    <x v="7"/>
    <x v="14"/>
    <x v="11"/>
    <m/>
    <n v="44"/>
    <n v="0"/>
    <n v="43"/>
    <n v="0"/>
    <n v="28"/>
    <m/>
    <m/>
  </r>
  <r>
    <x v="7"/>
    <x v="17"/>
    <x v="8"/>
    <m/>
    <n v="77"/>
    <n v="2"/>
    <n v="51"/>
    <n v="2"/>
    <n v="15"/>
    <m/>
    <m/>
  </r>
  <r>
    <x v="7"/>
    <x v="5"/>
    <x v="7"/>
    <m/>
    <n v="23"/>
    <n v="21"/>
    <n v="18"/>
    <n v="22"/>
    <n v="18"/>
    <m/>
    <m/>
  </r>
  <r>
    <x v="7"/>
    <x v="18"/>
    <x v="12"/>
    <m/>
    <n v="23"/>
    <n v="6"/>
    <n v="10"/>
    <n v="4"/>
    <n v="10"/>
    <m/>
    <m/>
  </r>
  <r>
    <x v="7"/>
    <x v="19"/>
    <x v="13"/>
    <m/>
    <n v="22"/>
    <n v="6"/>
    <n v="8"/>
    <n v="3"/>
    <n v="10"/>
    <m/>
    <m/>
  </r>
  <r>
    <x v="7"/>
    <x v="20"/>
    <x v="14"/>
    <m/>
    <n v="17"/>
    <n v="19"/>
    <n v="2"/>
    <n v="0"/>
    <n v="2"/>
    <m/>
    <m/>
  </r>
  <r>
    <x v="8"/>
    <x v="15"/>
    <x v="3"/>
    <n v="393"/>
    <m/>
    <m/>
    <m/>
    <m/>
    <m/>
    <n v="385550"/>
    <m/>
  </r>
  <r>
    <x v="8"/>
    <x v="15"/>
    <x v="8"/>
    <n v="339"/>
    <m/>
    <m/>
    <m/>
    <m/>
    <m/>
    <n v="357900"/>
    <m/>
  </r>
  <r>
    <x v="8"/>
    <x v="15"/>
    <x v="4"/>
    <n v="484"/>
    <m/>
    <m/>
    <m/>
    <m/>
    <m/>
    <n v="458320"/>
    <m/>
  </r>
  <r>
    <x v="8"/>
    <x v="15"/>
    <x v="6"/>
    <n v="417"/>
    <m/>
    <m/>
    <m/>
    <m/>
    <m/>
    <n v="224450"/>
    <m/>
  </r>
  <r>
    <x v="8"/>
    <x v="15"/>
    <x v="11"/>
    <n v="481"/>
    <m/>
    <m/>
    <m/>
    <m/>
    <m/>
    <n v="328350"/>
    <m/>
  </r>
  <r>
    <x v="8"/>
    <x v="15"/>
    <x v="10"/>
    <n v="325"/>
    <m/>
    <m/>
    <m/>
    <m/>
    <m/>
    <n v="228950"/>
    <m/>
  </r>
  <r>
    <x v="8"/>
    <x v="15"/>
    <x v="0"/>
    <n v="579"/>
    <m/>
    <m/>
    <m/>
    <m/>
    <m/>
    <n v="405050"/>
    <m/>
  </r>
  <r>
    <x v="8"/>
    <x v="15"/>
    <x v="5"/>
    <n v="259"/>
    <m/>
    <m/>
    <m/>
    <m/>
    <m/>
    <n v="349650"/>
    <m/>
  </r>
  <r>
    <x v="8"/>
    <x v="15"/>
    <x v="9"/>
    <n v="521"/>
    <m/>
    <m/>
    <m/>
    <m/>
    <m/>
    <n v="317700"/>
    <m/>
  </r>
  <r>
    <x v="8"/>
    <x v="15"/>
    <x v="7"/>
    <n v="455"/>
    <m/>
    <m/>
    <m/>
    <m/>
    <m/>
    <n v="282850"/>
    <m/>
  </r>
  <r>
    <x v="8"/>
    <x v="15"/>
    <x v="2"/>
    <n v="675"/>
    <m/>
    <m/>
    <m/>
    <m/>
    <m/>
    <n v="437150"/>
    <m/>
  </r>
  <r>
    <x v="8"/>
    <x v="15"/>
    <x v="1"/>
    <n v="353"/>
    <m/>
    <m/>
    <m/>
    <m/>
    <m/>
    <n v="296000"/>
    <m/>
  </r>
  <r>
    <x v="8"/>
    <x v="15"/>
    <x v="12"/>
    <n v="444"/>
    <m/>
    <m/>
    <m/>
    <m/>
    <m/>
    <n v="100750"/>
    <m/>
  </r>
  <r>
    <x v="8"/>
    <x v="15"/>
    <x v="13"/>
    <n v="641"/>
    <m/>
    <m/>
    <m/>
    <m/>
    <m/>
    <n v="149850"/>
    <m/>
  </r>
  <r>
    <x v="8"/>
    <x v="15"/>
    <x v="14"/>
    <n v="405"/>
    <m/>
    <m/>
    <m/>
    <m/>
    <m/>
    <n v="98600"/>
    <m/>
  </r>
  <r>
    <x v="8"/>
    <x v="0"/>
    <x v="0"/>
    <m/>
    <n v="55"/>
    <n v="8"/>
    <n v="75"/>
    <n v="8"/>
    <n v="21"/>
    <m/>
    <m/>
  </r>
  <r>
    <x v="8"/>
    <x v="13"/>
    <x v="0"/>
    <m/>
    <n v="20"/>
    <n v="2"/>
    <n v="18"/>
    <n v="1"/>
    <n v="10"/>
    <m/>
    <m/>
  </r>
  <r>
    <x v="8"/>
    <x v="13"/>
    <x v="10"/>
    <m/>
    <n v="26"/>
    <n v="0"/>
    <n v="44"/>
    <n v="6"/>
    <n v="17"/>
    <m/>
    <m/>
  </r>
  <r>
    <x v="8"/>
    <x v="2"/>
    <x v="2"/>
    <m/>
    <n v="35"/>
    <n v="15"/>
    <n v="57"/>
    <n v="6"/>
    <n v="13"/>
    <m/>
    <m/>
  </r>
  <r>
    <x v="8"/>
    <x v="7"/>
    <x v="2"/>
    <m/>
    <n v="35"/>
    <n v="19"/>
    <n v="40"/>
    <n v="10"/>
    <n v="18"/>
    <m/>
    <m/>
  </r>
  <r>
    <x v="8"/>
    <x v="4"/>
    <x v="5"/>
    <m/>
    <n v="22"/>
    <n v="6"/>
    <n v="24"/>
    <n v="5"/>
    <n v="26"/>
    <m/>
    <m/>
  </r>
  <r>
    <x v="8"/>
    <x v="4"/>
    <x v="6"/>
    <m/>
    <n v="27"/>
    <n v="1"/>
    <n v="15"/>
    <n v="0"/>
    <n v="9"/>
    <m/>
    <m/>
  </r>
  <r>
    <x v="8"/>
    <x v="11"/>
    <x v="6"/>
    <m/>
    <n v="44"/>
    <n v="6"/>
    <n v="27"/>
    <n v="2"/>
    <n v="8"/>
    <m/>
    <m/>
  </r>
  <r>
    <x v="8"/>
    <x v="3"/>
    <x v="3"/>
    <m/>
    <n v="49"/>
    <n v="8"/>
    <n v="40"/>
    <n v="4"/>
    <n v="27"/>
    <m/>
    <m/>
  </r>
  <r>
    <x v="8"/>
    <x v="3"/>
    <x v="4"/>
    <m/>
    <n v="51"/>
    <n v="9"/>
    <n v="37"/>
    <n v="7"/>
    <n v="17"/>
    <m/>
    <m/>
  </r>
  <r>
    <x v="8"/>
    <x v="16"/>
    <x v="4"/>
    <m/>
    <n v="33"/>
    <n v="7"/>
    <n v="50"/>
    <n v="4"/>
    <n v="14"/>
    <m/>
    <m/>
  </r>
  <r>
    <x v="8"/>
    <x v="10"/>
    <x v="9"/>
    <m/>
    <n v="41"/>
    <n v="5"/>
    <n v="30"/>
    <n v="2"/>
    <n v="12"/>
    <m/>
    <m/>
  </r>
  <r>
    <x v="8"/>
    <x v="12"/>
    <x v="9"/>
    <m/>
    <n v="54"/>
    <n v="3"/>
    <n v="30"/>
    <n v="3"/>
    <n v="10"/>
    <m/>
    <m/>
  </r>
  <r>
    <x v="8"/>
    <x v="9"/>
    <x v="1"/>
    <m/>
    <n v="12"/>
    <n v="6"/>
    <n v="13"/>
    <n v="4"/>
    <n v="13"/>
    <m/>
    <m/>
  </r>
  <r>
    <x v="8"/>
    <x v="1"/>
    <x v="1"/>
    <m/>
    <n v="18"/>
    <n v="1"/>
    <n v="10"/>
    <n v="2"/>
    <n v="9"/>
    <m/>
    <m/>
  </r>
  <r>
    <x v="8"/>
    <x v="14"/>
    <x v="11"/>
    <m/>
    <n v="48"/>
    <n v="2"/>
    <n v="38"/>
    <n v="0"/>
    <n v="23"/>
    <m/>
    <m/>
  </r>
  <r>
    <x v="8"/>
    <x v="17"/>
    <x v="8"/>
    <m/>
    <n v="18"/>
    <n v="1"/>
    <n v="37"/>
    <n v="2"/>
    <n v="25"/>
    <m/>
    <m/>
  </r>
  <r>
    <x v="8"/>
    <x v="5"/>
    <x v="7"/>
    <m/>
    <n v="24"/>
    <n v="23"/>
    <n v="20"/>
    <n v="10"/>
    <n v="20"/>
    <m/>
    <m/>
  </r>
  <r>
    <x v="8"/>
    <x v="18"/>
    <x v="12"/>
    <m/>
    <n v="15"/>
    <n v="2"/>
    <n v="9"/>
    <n v="0"/>
    <n v="7"/>
    <m/>
    <m/>
  </r>
  <r>
    <x v="8"/>
    <x v="19"/>
    <x v="13"/>
    <m/>
    <n v="24"/>
    <n v="3"/>
    <n v="11"/>
    <n v="5"/>
    <n v="11"/>
    <m/>
    <m/>
  </r>
  <r>
    <x v="8"/>
    <x v="20"/>
    <x v="14"/>
    <m/>
    <n v="11"/>
    <n v="6"/>
    <n v="5"/>
    <n v="1"/>
    <n v="8"/>
    <m/>
    <m/>
  </r>
  <r>
    <x v="9"/>
    <x v="15"/>
    <x v="3"/>
    <n v="385"/>
    <m/>
    <m/>
    <m/>
    <m/>
    <m/>
    <n v="368924.2"/>
    <m/>
  </r>
  <r>
    <x v="9"/>
    <x v="15"/>
    <x v="8"/>
    <n v="343"/>
    <m/>
    <m/>
    <m/>
    <m/>
    <m/>
    <n v="141730"/>
    <m/>
  </r>
  <r>
    <x v="9"/>
    <x v="15"/>
    <x v="4"/>
    <n v="597"/>
    <m/>
    <m/>
    <m/>
    <m/>
    <m/>
    <n v="692800"/>
    <m/>
  </r>
  <r>
    <x v="9"/>
    <x v="15"/>
    <x v="6"/>
    <n v="445"/>
    <m/>
    <m/>
    <m/>
    <m/>
    <m/>
    <n v="224900"/>
    <m/>
  </r>
  <r>
    <x v="9"/>
    <x v="15"/>
    <x v="11"/>
    <n v="477"/>
    <m/>
    <m/>
    <m/>
    <m/>
    <m/>
    <n v="399250"/>
    <m/>
  </r>
  <r>
    <x v="9"/>
    <x v="15"/>
    <x v="10"/>
    <n v="325"/>
    <m/>
    <m/>
    <m/>
    <m/>
    <m/>
    <n v="223750"/>
    <m/>
  </r>
  <r>
    <x v="9"/>
    <x v="15"/>
    <x v="0"/>
    <n v="587"/>
    <m/>
    <m/>
    <m/>
    <m/>
    <m/>
    <n v="578900"/>
    <m/>
  </r>
  <r>
    <x v="9"/>
    <x v="15"/>
    <x v="5"/>
    <n v="329"/>
    <m/>
    <m/>
    <m/>
    <m/>
    <m/>
    <n v="171850"/>
    <m/>
  </r>
  <r>
    <x v="9"/>
    <x v="15"/>
    <x v="9"/>
    <n v="464"/>
    <m/>
    <m/>
    <m/>
    <m/>
    <m/>
    <n v="362850"/>
    <m/>
  </r>
  <r>
    <x v="9"/>
    <x v="15"/>
    <x v="7"/>
    <n v="379"/>
    <m/>
    <m/>
    <m/>
    <m/>
    <m/>
    <n v="267250"/>
    <m/>
  </r>
  <r>
    <x v="9"/>
    <x v="15"/>
    <x v="2"/>
    <n v="669"/>
    <m/>
    <m/>
    <m/>
    <m/>
    <m/>
    <n v="419960"/>
    <m/>
  </r>
  <r>
    <x v="9"/>
    <x v="15"/>
    <x v="1"/>
    <n v="341"/>
    <m/>
    <m/>
    <m/>
    <m/>
    <m/>
    <n v="328000"/>
    <m/>
  </r>
  <r>
    <x v="9"/>
    <x v="15"/>
    <x v="12"/>
    <n v="379"/>
    <m/>
    <m/>
    <m/>
    <m/>
    <m/>
    <n v="110570"/>
    <m/>
  </r>
  <r>
    <x v="9"/>
    <x v="15"/>
    <x v="13"/>
    <n v="560"/>
    <m/>
    <m/>
    <m/>
    <m/>
    <m/>
    <n v="152900"/>
    <m/>
  </r>
  <r>
    <x v="9"/>
    <x v="15"/>
    <x v="14"/>
    <n v="400"/>
    <m/>
    <m/>
    <m/>
    <m/>
    <m/>
    <n v="128000"/>
    <m/>
  </r>
  <r>
    <x v="9"/>
    <x v="15"/>
    <x v="15"/>
    <n v="334"/>
    <m/>
    <m/>
    <m/>
    <m/>
    <m/>
    <n v="42450"/>
    <m/>
  </r>
  <r>
    <x v="9"/>
    <x v="15"/>
    <x v="16"/>
    <n v="561"/>
    <m/>
    <m/>
    <m/>
    <m/>
    <m/>
    <n v="0"/>
    <m/>
  </r>
  <r>
    <x v="9"/>
    <x v="0"/>
    <x v="0"/>
    <m/>
    <n v="60"/>
    <n v="9"/>
    <n v="55"/>
    <n v="3"/>
    <n v="31"/>
    <m/>
    <m/>
  </r>
  <r>
    <x v="9"/>
    <x v="13"/>
    <x v="0"/>
    <m/>
    <n v="22"/>
    <n v="1"/>
    <n v="31"/>
    <n v="1"/>
    <n v="12"/>
    <m/>
    <m/>
  </r>
  <r>
    <x v="9"/>
    <x v="13"/>
    <x v="10"/>
    <m/>
    <n v="30"/>
    <n v="0"/>
    <n v="24"/>
    <n v="7"/>
    <n v="17"/>
    <m/>
    <m/>
  </r>
  <r>
    <x v="9"/>
    <x v="2"/>
    <x v="2"/>
    <m/>
    <n v="28"/>
    <n v="14"/>
    <n v="50"/>
    <n v="15"/>
    <n v="15"/>
    <m/>
    <m/>
  </r>
  <r>
    <x v="9"/>
    <x v="7"/>
    <x v="2"/>
    <m/>
    <n v="28"/>
    <n v="11"/>
    <n v="24"/>
    <n v="14"/>
    <n v="15"/>
    <m/>
    <m/>
  </r>
  <r>
    <x v="9"/>
    <x v="4"/>
    <x v="5"/>
    <m/>
    <n v="43"/>
    <n v="9"/>
    <n v="36"/>
    <n v="9"/>
    <n v="13"/>
    <m/>
    <m/>
  </r>
  <r>
    <x v="9"/>
    <x v="4"/>
    <x v="6"/>
    <m/>
    <n v="28"/>
    <n v="6"/>
    <n v="17"/>
    <n v="1"/>
    <n v="9"/>
    <m/>
    <m/>
  </r>
  <r>
    <x v="9"/>
    <x v="11"/>
    <x v="6"/>
    <m/>
    <n v="42"/>
    <n v="10"/>
    <n v="19"/>
    <n v="1"/>
    <n v="8"/>
    <m/>
    <m/>
  </r>
  <r>
    <x v="9"/>
    <x v="3"/>
    <x v="3"/>
    <m/>
    <n v="59"/>
    <n v="11"/>
    <n v="44"/>
    <n v="6"/>
    <n v="26"/>
    <m/>
    <m/>
  </r>
  <r>
    <x v="9"/>
    <x v="3"/>
    <x v="4"/>
    <m/>
    <n v="18"/>
    <n v="10"/>
    <n v="40"/>
    <n v="9"/>
    <n v="26"/>
    <m/>
    <m/>
  </r>
  <r>
    <x v="9"/>
    <x v="16"/>
    <x v="4"/>
    <m/>
    <n v="35"/>
    <n v="14"/>
    <n v="29"/>
    <n v="4"/>
    <n v="21"/>
    <m/>
    <m/>
  </r>
  <r>
    <x v="9"/>
    <x v="10"/>
    <x v="9"/>
    <m/>
    <n v="48"/>
    <n v="1"/>
    <n v="11"/>
    <n v="5"/>
    <n v="10"/>
    <m/>
    <m/>
  </r>
  <r>
    <x v="9"/>
    <x v="12"/>
    <x v="9"/>
    <m/>
    <n v="26"/>
    <n v="7"/>
    <n v="37"/>
    <n v="1"/>
    <n v="15"/>
    <m/>
    <m/>
  </r>
  <r>
    <x v="9"/>
    <x v="9"/>
    <x v="1"/>
    <m/>
    <n v="14"/>
    <n v="9"/>
    <n v="12"/>
    <n v="6"/>
    <n v="10"/>
    <m/>
    <m/>
  </r>
  <r>
    <x v="9"/>
    <x v="1"/>
    <x v="1"/>
    <m/>
    <n v="16"/>
    <n v="12"/>
    <n v="4"/>
    <n v="7"/>
    <n v="15"/>
    <m/>
    <m/>
  </r>
  <r>
    <x v="9"/>
    <x v="14"/>
    <x v="11"/>
    <m/>
    <n v="55"/>
    <n v="6"/>
    <n v="38"/>
    <n v="0"/>
    <n v="28"/>
    <m/>
    <m/>
  </r>
  <r>
    <x v="9"/>
    <x v="17"/>
    <x v="8"/>
    <m/>
    <n v="44"/>
    <n v="4"/>
    <n v="53"/>
    <n v="0"/>
    <n v="11"/>
    <m/>
    <m/>
  </r>
  <r>
    <x v="9"/>
    <x v="5"/>
    <x v="7"/>
    <m/>
    <n v="26"/>
    <n v="30"/>
    <n v="30"/>
    <n v="23"/>
    <n v="19"/>
    <m/>
    <m/>
  </r>
  <r>
    <x v="9"/>
    <x v="18"/>
    <x v="12"/>
    <m/>
    <n v="38"/>
    <n v="11"/>
    <n v="14"/>
    <n v="2"/>
    <n v="8"/>
    <m/>
    <m/>
  </r>
  <r>
    <x v="9"/>
    <x v="19"/>
    <x v="13"/>
    <m/>
    <n v="32"/>
    <n v="3"/>
    <n v="10"/>
    <n v="9"/>
    <n v="11"/>
    <m/>
    <m/>
  </r>
  <r>
    <x v="9"/>
    <x v="20"/>
    <x v="14"/>
    <m/>
    <n v="18"/>
    <n v="27"/>
    <n v="8"/>
    <n v="1"/>
    <n v="10"/>
    <m/>
    <m/>
  </r>
  <r>
    <x v="9"/>
    <x v="21"/>
    <x v="15"/>
    <m/>
    <n v="37"/>
    <n v="14"/>
    <n v="0"/>
    <n v="0"/>
    <n v="3"/>
    <m/>
    <m/>
  </r>
  <r>
    <x v="9"/>
    <x v="22"/>
    <x v="16"/>
    <m/>
    <n v="45"/>
    <n v="17"/>
    <n v="0"/>
    <n v="0"/>
    <n v="0"/>
    <m/>
    <m/>
  </r>
  <r>
    <x v="10"/>
    <x v="15"/>
    <x v="3"/>
    <n v="399"/>
    <m/>
    <m/>
    <m/>
    <m/>
    <m/>
    <n v="331700"/>
    <m/>
  </r>
  <r>
    <x v="10"/>
    <x v="15"/>
    <x v="8"/>
    <n v="292"/>
    <m/>
    <m/>
    <m/>
    <m/>
    <m/>
    <n v="137780"/>
    <m/>
  </r>
  <r>
    <x v="10"/>
    <x v="15"/>
    <x v="4"/>
    <n v="628"/>
    <m/>
    <m/>
    <m/>
    <m/>
    <m/>
    <n v="539500"/>
    <m/>
  </r>
  <r>
    <x v="10"/>
    <x v="15"/>
    <x v="6"/>
    <n v="475"/>
    <m/>
    <m/>
    <m/>
    <m/>
    <m/>
    <n v="222800"/>
    <m/>
  </r>
  <r>
    <x v="10"/>
    <x v="15"/>
    <x v="11"/>
    <n v="445"/>
    <m/>
    <m/>
    <m/>
    <m/>
    <m/>
    <n v="472100"/>
    <m/>
  </r>
  <r>
    <x v="10"/>
    <x v="15"/>
    <x v="10"/>
    <n v="178"/>
    <m/>
    <m/>
    <m/>
    <m/>
    <m/>
    <n v="53000"/>
    <m/>
  </r>
  <r>
    <x v="10"/>
    <x v="15"/>
    <x v="0"/>
    <n v="357"/>
    <m/>
    <m/>
    <m/>
    <m/>
    <m/>
    <n v="577100"/>
    <m/>
  </r>
  <r>
    <x v="10"/>
    <x v="15"/>
    <x v="5"/>
    <n v="325"/>
    <m/>
    <m/>
    <m/>
    <m/>
    <m/>
    <n v="228300"/>
    <m/>
  </r>
  <r>
    <x v="10"/>
    <x v="15"/>
    <x v="9"/>
    <n v="510"/>
    <m/>
    <m/>
    <m/>
    <m/>
    <m/>
    <n v="385200"/>
    <m/>
  </r>
  <r>
    <x v="10"/>
    <x v="15"/>
    <x v="7"/>
    <n v="419"/>
    <m/>
    <m/>
    <m/>
    <m/>
    <m/>
    <n v="297200"/>
    <m/>
  </r>
  <r>
    <x v="10"/>
    <x v="15"/>
    <x v="2"/>
    <n v="646"/>
    <m/>
    <m/>
    <m/>
    <m/>
    <m/>
    <n v="385600"/>
    <m/>
  </r>
  <r>
    <x v="10"/>
    <x v="15"/>
    <x v="1"/>
    <n v="278"/>
    <m/>
    <m/>
    <m/>
    <m/>
    <m/>
    <n v="264500"/>
    <m/>
  </r>
  <r>
    <x v="10"/>
    <x v="15"/>
    <x v="12"/>
    <n v="313"/>
    <m/>
    <m/>
    <m/>
    <m/>
    <m/>
    <n v="157400"/>
    <m/>
  </r>
  <r>
    <x v="10"/>
    <x v="15"/>
    <x v="13"/>
    <n v="565"/>
    <m/>
    <m/>
    <m/>
    <m/>
    <m/>
    <n v="160600"/>
    <m/>
  </r>
  <r>
    <x v="10"/>
    <x v="15"/>
    <x v="14"/>
    <n v="340"/>
    <m/>
    <m/>
    <m/>
    <m/>
    <m/>
    <n v="162900"/>
    <m/>
  </r>
  <r>
    <x v="10"/>
    <x v="15"/>
    <x v="15"/>
    <n v="357"/>
    <m/>
    <m/>
    <m/>
    <m/>
    <m/>
    <n v="81650"/>
    <m/>
  </r>
  <r>
    <x v="10"/>
    <x v="15"/>
    <x v="16"/>
    <n v="477"/>
    <m/>
    <m/>
    <m/>
    <m/>
    <m/>
    <n v="159500"/>
    <m/>
  </r>
  <r>
    <x v="10"/>
    <x v="0"/>
    <x v="0"/>
    <m/>
    <n v="43"/>
    <n v="8"/>
    <n v="53"/>
    <n v="3"/>
    <n v="35"/>
    <m/>
    <m/>
  </r>
  <r>
    <x v="10"/>
    <x v="13"/>
    <x v="0"/>
    <m/>
    <n v="21"/>
    <n v="0"/>
    <n v="23"/>
    <n v="1"/>
    <n v="5"/>
    <m/>
    <m/>
  </r>
  <r>
    <x v="10"/>
    <x v="13"/>
    <x v="10"/>
    <m/>
    <n v="1"/>
    <n v="1"/>
    <n v="1"/>
    <n v="3"/>
    <n v="4"/>
    <m/>
    <m/>
  </r>
  <r>
    <x v="10"/>
    <x v="2"/>
    <x v="2"/>
    <m/>
    <n v="17"/>
    <n v="11"/>
    <n v="44"/>
    <n v="14"/>
    <n v="13"/>
    <m/>
    <m/>
  </r>
  <r>
    <x v="10"/>
    <x v="7"/>
    <x v="2"/>
    <m/>
    <n v="37"/>
    <n v="16"/>
    <n v="25"/>
    <n v="21"/>
    <n v="15"/>
    <m/>
    <m/>
  </r>
  <r>
    <x v="10"/>
    <x v="4"/>
    <x v="5"/>
    <m/>
    <n v="48"/>
    <n v="6"/>
    <n v="27"/>
    <n v="1"/>
    <n v="17"/>
    <m/>
    <m/>
  </r>
  <r>
    <x v="10"/>
    <x v="4"/>
    <x v="6"/>
    <m/>
    <n v="24"/>
    <n v="3"/>
    <n v="20"/>
    <n v="0"/>
    <n v="10"/>
    <m/>
    <m/>
  </r>
  <r>
    <x v="10"/>
    <x v="11"/>
    <x v="6"/>
    <m/>
    <n v="36"/>
    <n v="12"/>
    <n v="13"/>
    <n v="1"/>
    <n v="7"/>
    <m/>
    <m/>
  </r>
  <r>
    <x v="10"/>
    <x v="11"/>
    <x v="3"/>
    <m/>
    <n v="2"/>
    <n v="1"/>
    <n v="2"/>
    <n v="0"/>
    <n v="1"/>
    <m/>
    <m/>
  </r>
  <r>
    <x v="10"/>
    <x v="3"/>
    <x v="3"/>
    <m/>
    <n v="35"/>
    <n v="3"/>
    <n v="24"/>
    <n v="1"/>
    <n v="23"/>
    <m/>
    <m/>
  </r>
  <r>
    <x v="10"/>
    <x v="3"/>
    <x v="4"/>
    <m/>
    <n v="45"/>
    <n v="13"/>
    <n v="35"/>
    <n v="13"/>
    <n v="16"/>
    <m/>
    <m/>
  </r>
  <r>
    <x v="10"/>
    <x v="16"/>
    <x v="4"/>
    <m/>
    <n v="37"/>
    <n v="7"/>
    <n v="46"/>
    <n v="9"/>
    <n v="20"/>
    <m/>
    <m/>
  </r>
  <r>
    <x v="10"/>
    <x v="10"/>
    <x v="9"/>
    <m/>
    <n v="27"/>
    <n v="1"/>
    <n v="34"/>
    <n v="5"/>
    <n v="14"/>
    <m/>
    <m/>
  </r>
  <r>
    <x v="10"/>
    <x v="12"/>
    <x v="9"/>
    <m/>
    <n v="36"/>
    <n v="0"/>
    <n v="32"/>
    <n v="3"/>
    <n v="13"/>
    <m/>
    <m/>
  </r>
  <r>
    <x v="10"/>
    <x v="9"/>
    <x v="1"/>
    <m/>
    <n v="8"/>
    <n v="1"/>
    <n v="10"/>
    <n v="0"/>
    <n v="8"/>
    <m/>
    <m/>
  </r>
  <r>
    <x v="10"/>
    <x v="1"/>
    <x v="1"/>
    <m/>
    <n v="11"/>
    <n v="2"/>
    <n v="9"/>
    <n v="2"/>
    <n v="12"/>
    <m/>
    <m/>
  </r>
  <r>
    <x v="10"/>
    <x v="23"/>
    <x v="1"/>
    <m/>
    <n v="15"/>
    <n v="20"/>
    <n v="0"/>
    <n v="0"/>
    <n v="0"/>
    <m/>
    <m/>
  </r>
  <r>
    <x v="10"/>
    <x v="14"/>
    <x v="11"/>
    <m/>
    <n v="38"/>
    <n v="0"/>
    <n v="46"/>
    <n v="0"/>
    <n v="32"/>
    <m/>
    <m/>
  </r>
  <r>
    <x v="10"/>
    <x v="17"/>
    <x v="8"/>
    <m/>
    <n v="60"/>
    <n v="3"/>
    <n v="46"/>
    <n v="0"/>
    <n v="10"/>
    <m/>
    <m/>
  </r>
  <r>
    <x v="10"/>
    <x v="5"/>
    <x v="7"/>
    <m/>
    <n v="20"/>
    <n v="25"/>
    <n v="35"/>
    <n v="20"/>
    <n v="21"/>
    <m/>
    <m/>
  </r>
  <r>
    <x v="10"/>
    <x v="18"/>
    <x v="12"/>
    <m/>
    <n v="30"/>
    <n v="9"/>
    <n v="15"/>
    <n v="4"/>
    <n v="11"/>
    <m/>
    <m/>
  </r>
  <r>
    <x v="10"/>
    <x v="19"/>
    <x v="13"/>
    <m/>
    <n v="29"/>
    <n v="6"/>
    <n v="16"/>
    <n v="8"/>
    <n v="12"/>
    <m/>
    <m/>
  </r>
  <r>
    <x v="10"/>
    <x v="20"/>
    <x v="14"/>
    <m/>
    <n v="28"/>
    <n v="25"/>
    <n v="7"/>
    <n v="4"/>
    <n v="9"/>
    <m/>
    <m/>
  </r>
  <r>
    <x v="10"/>
    <x v="24"/>
    <x v="14"/>
    <m/>
    <n v="10"/>
    <n v="11"/>
    <n v="0"/>
    <n v="2"/>
    <n v="4"/>
    <m/>
    <m/>
  </r>
  <r>
    <x v="10"/>
    <x v="21"/>
    <x v="15"/>
    <m/>
    <n v="38"/>
    <n v="8"/>
    <n v="5"/>
    <n v="2"/>
    <n v="6"/>
    <m/>
    <m/>
  </r>
  <r>
    <x v="10"/>
    <x v="22"/>
    <x v="16"/>
    <m/>
    <n v="39"/>
    <n v="6"/>
    <n v="3"/>
    <n v="0"/>
    <n v="11"/>
    <m/>
    <m/>
  </r>
  <r>
    <x v="11"/>
    <x v="15"/>
    <x v="3"/>
    <n v="290"/>
    <m/>
    <m/>
    <m/>
    <m/>
    <m/>
    <n v="155100"/>
    <m/>
  </r>
  <r>
    <x v="11"/>
    <x v="15"/>
    <x v="8"/>
    <n v="233"/>
    <m/>
    <m/>
    <m/>
    <m/>
    <m/>
    <n v="200560"/>
    <m/>
  </r>
  <r>
    <x v="11"/>
    <x v="15"/>
    <x v="4"/>
    <n v="503"/>
    <m/>
    <m/>
    <m/>
    <m/>
    <m/>
    <n v="532950"/>
    <m/>
  </r>
  <r>
    <x v="11"/>
    <x v="15"/>
    <x v="6"/>
    <n v="284"/>
    <m/>
    <m/>
    <m/>
    <m/>
    <m/>
    <n v="178450"/>
    <m/>
  </r>
  <r>
    <x v="11"/>
    <x v="15"/>
    <x v="11"/>
    <n v="238"/>
    <m/>
    <m/>
    <m/>
    <m/>
    <m/>
    <n v="234350"/>
    <m/>
  </r>
  <r>
    <x v="11"/>
    <x v="15"/>
    <x v="10"/>
    <n v="226"/>
    <m/>
    <m/>
    <m/>
    <m/>
    <m/>
    <n v="149250"/>
    <m/>
  </r>
  <r>
    <x v="11"/>
    <x v="15"/>
    <x v="0"/>
    <n v="216"/>
    <m/>
    <m/>
    <m/>
    <m/>
    <m/>
    <n v="467000"/>
    <m/>
  </r>
  <r>
    <x v="11"/>
    <x v="15"/>
    <x v="5"/>
    <n v="211"/>
    <m/>
    <m/>
    <m/>
    <m/>
    <m/>
    <n v="264400"/>
    <m/>
  </r>
  <r>
    <x v="11"/>
    <x v="15"/>
    <x v="9"/>
    <n v="296"/>
    <m/>
    <m/>
    <m/>
    <m/>
    <m/>
    <n v="256300"/>
    <m/>
  </r>
  <r>
    <x v="11"/>
    <x v="15"/>
    <x v="7"/>
    <n v="257"/>
    <m/>
    <m/>
    <m/>
    <m/>
    <m/>
    <n v="266400"/>
    <m/>
  </r>
  <r>
    <x v="11"/>
    <x v="15"/>
    <x v="2"/>
    <n v="474"/>
    <m/>
    <m/>
    <m/>
    <m/>
    <m/>
    <n v="381700"/>
    <m/>
  </r>
  <r>
    <x v="11"/>
    <x v="15"/>
    <x v="1"/>
    <n v="178"/>
    <m/>
    <m/>
    <m/>
    <m/>
    <m/>
    <n v="267500"/>
    <m/>
  </r>
  <r>
    <x v="11"/>
    <x v="15"/>
    <x v="12"/>
    <n v="242"/>
    <m/>
    <m/>
    <m/>
    <m/>
    <m/>
    <n v="83800"/>
    <m/>
  </r>
  <r>
    <x v="11"/>
    <x v="15"/>
    <x v="13"/>
    <n v="373"/>
    <m/>
    <m/>
    <m/>
    <m/>
    <m/>
    <n v="155900"/>
    <m/>
  </r>
  <r>
    <x v="11"/>
    <x v="15"/>
    <x v="14"/>
    <n v="241"/>
    <m/>
    <m/>
    <m/>
    <m/>
    <m/>
    <n v="193400"/>
    <m/>
  </r>
  <r>
    <x v="11"/>
    <x v="15"/>
    <x v="15"/>
    <n v="274"/>
    <m/>
    <m/>
    <m/>
    <m/>
    <m/>
    <n v="89600"/>
    <m/>
  </r>
  <r>
    <x v="11"/>
    <x v="15"/>
    <x v="16"/>
    <n v="376"/>
    <m/>
    <m/>
    <m/>
    <m/>
    <m/>
    <n v="110250"/>
    <m/>
  </r>
  <r>
    <x v="11"/>
    <x v="15"/>
    <x v="17"/>
    <n v="155"/>
    <m/>
    <m/>
    <m/>
    <m/>
    <m/>
    <n v="81950"/>
    <m/>
  </r>
  <r>
    <x v="11"/>
    <x v="0"/>
    <x v="0"/>
    <m/>
    <n v="24"/>
    <n v="0"/>
    <n v="34"/>
    <n v="7"/>
    <n v="23"/>
    <m/>
    <m/>
  </r>
  <r>
    <x v="11"/>
    <x v="13"/>
    <x v="0"/>
    <m/>
    <n v="18"/>
    <n v="3"/>
    <n v="18"/>
    <n v="0"/>
    <n v="11"/>
    <m/>
    <m/>
  </r>
  <r>
    <x v="11"/>
    <x v="13"/>
    <x v="10"/>
    <m/>
    <n v="36"/>
    <n v="5"/>
    <n v="27"/>
    <n v="5"/>
    <n v="11"/>
    <m/>
    <m/>
  </r>
  <r>
    <x v="11"/>
    <x v="2"/>
    <x v="2"/>
    <m/>
    <n v="0"/>
    <n v="0"/>
    <n v="20"/>
    <n v="6"/>
    <n v="1"/>
    <m/>
    <m/>
  </r>
  <r>
    <x v="11"/>
    <x v="7"/>
    <x v="2"/>
    <m/>
    <n v="10"/>
    <n v="4"/>
    <n v="23"/>
    <n v="11"/>
    <n v="23"/>
    <m/>
    <m/>
  </r>
  <r>
    <x v="11"/>
    <x v="25"/>
    <x v="2"/>
    <m/>
    <n v="33"/>
    <n v="17"/>
    <n v="5"/>
    <n v="10"/>
    <n v="3"/>
    <m/>
    <m/>
  </r>
  <r>
    <x v="11"/>
    <x v="4"/>
    <x v="5"/>
    <m/>
    <n v="36"/>
    <n v="4"/>
    <n v="26"/>
    <n v="4"/>
    <n v="20"/>
    <m/>
    <m/>
  </r>
  <r>
    <x v="11"/>
    <x v="4"/>
    <x v="6"/>
    <m/>
    <n v="16"/>
    <n v="3"/>
    <n v="10"/>
    <n v="2"/>
    <n v="6"/>
    <m/>
    <m/>
  </r>
  <r>
    <x v="11"/>
    <x v="11"/>
    <x v="6"/>
    <m/>
    <n v="31"/>
    <n v="3"/>
    <n v="18"/>
    <n v="5"/>
    <n v="9"/>
    <m/>
    <m/>
  </r>
  <r>
    <x v="11"/>
    <x v="11"/>
    <x v="3"/>
    <m/>
    <n v="11"/>
    <n v="1"/>
    <n v="7"/>
    <n v="0"/>
    <n v="0"/>
    <m/>
    <m/>
  </r>
  <r>
    <x v="11"/>
    <x v="3"/>
    <x v="3"/>
    <m/>
    <n v="19"/>
    <n v="2"/>
    <n v="40"/>
    <n v="2"/>
    <n v="11"/>
    <m/>
    <m/>
  </r>
  <r>
    <x v="11"/>
    <x v="3"/>
    <x v="4"/>
    <m/>
    <n v="18"/>
    <n v="7"/>
    <n v="38"/>
    <n v="10"/>
    <n v="18"/>
    <m/>
    <m/>
  </r>
  <r>
    <x v="11"/>
    <x v="16"/>
    <x v="4"/>
    <m/>
    <n v="21"/>
    <n v="16"/>
    <n v="33"/>
    <n v="4"/>
    <n v="17"/>
    <m/>
    <m/>
  </r>
  <r>
    <x v="11"/>
    <x v="26"/>
    <x v="4"/>
    <m/>
    <n v="20"/>
    <n v="9"/>
    <n v="4"/>
    <n v="2"/>
    <n v="2"/>
    <m/>
    <m/>
  </r>
  <r>
    <x v="11"/>
    <x v="10"/>
    <x v="9"/>
    <m/>
    <n v="18"/>
    <n v="2"/>
    <n v="24"/>
    <n v="4"/>
    <n v="10"/>
    <m/>
    <m/>
  </r>
  <r>
    <x v="11"/>
    <x v="12"/>
    <x v="9"/>
    <m/>
    <n v="34"/>
    <n v="2"/>
    <n v="35"/>
    <n v="4"/>
    <n v="8"/>
    <m/>
    <m/>
  </r>
  <r>
    <x v="11"/>
    <x v="9"/>
    <x v="1"/>
    <m/>
    <n v="4"/>
    <n v="0"/>
    <n v="24"/>
    <n v="1"/>
    <n v="4"/>
    <m/>
    <m/>
  </r>
  <r>
    <x v="11"/>
    <x v="1"/>
    <x v="1"/>
    <m/>
    <n v="5"/>
    <n v="2"/>
    <n v="16"/>
    <n v="1"/>
    <n v="9"/>
    <m/>
    <m/>
  </r>
  <r>
    <x v="11"/>
    <x v="23"/>
    <x v="1"/>
    <m/>
    <n v="35"/>
    <n v="14"/>
    <n v="3"/>
    <n v="0"/>
    <n v="7"/>
    <m/>
    <m/>
  </r>
  <r>
    <x v="11"/>
    <x v="14"/>
    <x v="11"/>
    <m/>
    <n v="13"/>
    <n v="6"/>
    <n v="17"/>
    <n v="0"/>
    <n v="16"/>
    <m/>
    <m/>
  </r>
  <r>
    <x v="11"/>
    <x v="17"/>
    <x v="8"/>
    <m/>
    <n v="30"/>
    <n v="1"/>
    <n v="41"/>
    <n v="1"/>
    <n v="15"/>
    <m/>
    <m/>
  </r>
  <r>
    <x v="11"/>
    <x v="26"/>
    <x v="8"/>
    <m/>
    <n v="12"/>
    <n v="0"/>
    <n v="0"/>
    <n v="3"/>
    <n v="0"/>
    <m/>
    <m/>
  </r>
  <r>
    <x v="11"/>
    <x v="5"/>
    <x v="7"/>
    <m/>
    <n v="12"/>
    <n v="13"/>
    <n v="24"/>
    <n v="12"/>
    <n v="19"/>
    <m/>
    <m/>
  </r>
  <r>
    <x v="11"/>
    <x v="18"/>
    <x v="12"/>
    <m/>
    <n v="20"/>
    <n v="26"/>
    <n v="14"/>
    <n v="4"/>
    <n v="6"/>
    <m/>
    <m/>
  </r>
  <r>
    <x v="11"/>
    <x v="19"/>
    <x v="13"/>
    <m/>
    <n v="21"/>
    <n v="5"/>
    <n v="9"/>
    <n v="8"/>
    <n v="12"/>
    <m/>
    <m/>
  </r>
  <r>
    <x v="11"/>
    <x v="20"/>
    <x v="14"/>
    <m/>
    <n v="12"/>
    <n v="8"/>
    <n v="8"/>
    <n v="2"/>
    <n v="9"/>
    <m/>
    <m/>
  </r>
  <r>
    <x v="11"/>
    <x v="24"/>
    <x v="14"/>
    <m/>
    <n v="14"/>
    <n v="9"/>
    <n v="3"/>
    <n v="0"/>
    <n v="6"/>
    <m/>
    <m/>
  </r>
  <r>
    <x v="11"/>
    <x v="21"/>
    <x v="15"/>
    <m/>
    <n v="20"/>
    <n v="5"/>
    <n v="8"/>
    <n v="6"/>
    <n v="6"/>
    <m/>
    <m/>
  </r>
  <r>
    <x v="11"/>
    <x v="22"/>
    <x v="16"/>
    <m/>
    <n v="25"/>
    <n v="12"/>
    <n v="10"/>
    <n v="0"/>
    <n v="8"/>
    <m/>
    <m/>
  </r>
  <r>
    <x v="11"/>
    <x v="27"/>
    <x v="17"/>
    <m/>
    <n v="19"/>
    <n v="6"/>
    <n v="3"/>
    <n v="2"/>
    <n v="6"/>
    <m/>
    <m/>
  </r>
  <r>
    <x v="12"/>
    <x v="15"/>
    <x v="3"/>
    <n v="563"/>
    <m/>
    <m/>
    <m/>
    <m/>
    <m/>
    <n v="210400"/>
    <m/>
  </r>
  <r>
    <x v="12"/>
    <x v="15"/>
    <x v="8"/>
    <n v="369"/>
    <m/>
    <m/>
    <m/>
    <m/>
    <m/>
    <n v="267330"/>
    <m/>
  </r>
  <r>
    <x v="12"/>
    <x v="15"/>
    <x v="4"/>
    <n v="843"/>
    <m/>
    <m/>
    <m/>
    <m/>
    <m/>
    <n v="551000"/>
    <m/>
  </r>
  <r>
    <x v="12"/>
    <x v="15"/>
    <x v="6"/>
    <n v="462"/>
    <m/>
    <m/>
    <m/>
    <m/>
    <m/>
    <n v="286700"/>
    <m/>
  </r>
  <r>
    <x v="12"/>
    <x v="15"/>
    <x v="11"/>
    <n v="378"/>
    <m/>
    <m/>
    <m/>
    <m/>
    <m/>
    <n v="338000"/>
    <m/>
  </r>
  <r>
    <x v="12"/>
    <x v="15"/>
    <x v="10"/>
    <n v="393"/>
    <m/>
    <m/>
    <m/>
    <m/>
    <m/>
    <n v="131900"/>
    <m/>
  </r>
  <r>
    <x v="12"/>
    <x v="15"/>
    <x v="0"/>
    <n v="362"/>
    <m/>
    <m/>
    <m/>
    <m/>
    <m/>
    <n v="500400"/>
    <m/>
  </r>
  <r>
    <x v="12"/>
    <x v="15"/>
    <x v="5"/>
    <n v="351"/>
    <m/>
    <m/>
    <m/>
    <m/>
    <m/>
    <n v="287850"/>
    <m/>
  </r>
  <r>
    <x v="12"/>
    <x v="15"/>
    <x v="9"/>
    <n v="480"/>
    <m/>
    <m/>
    <m/>
    <m/>
    <m/>
    <n v="512450"/>
    <m/>
  </r>
  <r>
    <x v="12"/>
    <x v="15"/>
    <x v="7"/>
    <n v="331"/>
    <m/>
    <m/>
    <m/>
    <m/>
    <m/>
    <n v="149800"/>
    <m/>
  </r>
  <r>
    <x v="12"/>
    <x v="15"/>
    <x v="2"/>
    <n v="834"/>
    <m/>
    <m/>
    <m/>
    <m/>
    <m/>
    <n v="505200"/>
    <m/>
  </r>
  <r>
    <x v="12"/>
    <x v="15"/>
    <x v="1"/>
    <n v="271"/>
    <m/>
    <m/>
    <m/>
    <m/>
    <m/>
    <n v="353300"/>
    <m/>
  </r>
  <r>
    <x v="12"/>
    <x v="15"/>
    <x v="12"/>
    <n v="343"/>
    <m/>
    <m/>
    <m/>
    <m/>
    <m/>
    <n v="143900"/>
    <m/>
  </r>
  <r>
    <x v="12"/>
    <x v="15"/>
    <x v="13"/>
    <n v="515"/>
    <m/>
    <m/>
    <m/>
    <m/>
    <m/>
    <n v="107750"/>
    <m/>
  </r>
  <r>
    <x v="12"/>
    <x v="15"/>
    <x v="14"/>
    <n v="457"/>
    <m/>
    <m/>
    <m/>
    <m/>
    <m/>
    <n v="131500"/>
    <m/>
  </r>
  <r>
    <x v="12"/>
    <x v="15"/>
    <x v="15"/>
    <n v="432"/>
    <m/>
    <m/>
    <m/>
    <m/>
    <m/>
    <n v="140600"/>
    <m/>
  </r>
  <r>
    <x v="12"/>
    <x v="15"/>
    <x v="16"/>
    <n v="785"/>
    <m/>
    <m/>
    <m/>
    <m/>
    <m/>
    <n v="85750"/>
    <m/>
  </r>
  <r>
    <x v="12"/>
    <x v="15"/>
    <x v="17"/>
    <n v="266"/>
    <m/>
    <m/>
    <m/>
    <m/>
    <m/>
    <n v="159950"/>
    <m/>
  </r>
  <r>
    <x v="12"/>
    <x v="0"/>
    <x v="0"/>
    <m/>
    <n v="15"/>
    <n v="3"/>
    <n v="35"/>
    <n v="1"/>
    <n v="15"/>
    <m/>
    <m/>
  </r>
  <r>
    <x v="12"/>
    <x v="13"/>
    <x v="0"/>
    <m/>
    <n v="32"/>
    <n v="1"/>
    <n v="41"/>
    <n v="1"/>
    <n v="21"/>
    <m/>
    <m/>
  </r>
  <r>
    <x v="12"/>
    <x v="13"/>
    <x v="10"/>
    <m/>
    <n v="27"/>
    <n v="3"/>
    <n v="29"/>
    <n v="3"/>
    <n v="10"/>
    <m/>
    <m/>
  </r>
  <r>
    <x v="12"/>
    <x v="7"/>
    <x v="2"/>
    <m/>
    <n v="16"/>
    <n v="2"/>
    <n v="29"/>
    <n v="12"/>
    <n v="21"/>
    <m/>
    <m/>
  </r>
  <r>
    <x v="12"/>
    <x v="25"/>
    <x v="2"/>
    <m/>
    <n v="49"/>
    <n v="10"/>
    <n v="21"/>
    <n v="7"/>
    <n v="14"/>
    <m/>
    <m/>
  </r>
  <r>
    <x v="12"/>
    <x v="4"/>
    <x v="5"/>
    <m/>
    <n v="53"/>
    <n v="5"/>
    <n v="50"/>
    <n v="3"/>
    <n v="22"/>
    <m/>
    <m/>
  </r>
  <r>
    <x v="12"/>
    <x v="4"/>
    <x v="6"/>
    <m/>
    <n v="24"/>
    <n v="4"/>
    <n v="15"/>
    <n v="0"/>
    <n v="7"/>
    <m/>
    <m/>
  </r>
  <r>
    <x v="12"/>
    <x v="11"/>
    <x v="6"/>
    <m/>
    <n v="36"/>
    <n v="6"/>
    <n v="28"/>
    <n v="3"/>
    <n v="15"/>
    <m/>
    <m/>
  </r>
  <r>
    <x v="12"/>
    <x v="11"/>
    <x v="3"/>
    <m/>
    <n v="22"/>
    <n v="2"/>
    <n v="15"/>
    <n v="2"/>
    <n v="6"/>
    <m/>
    <m/>
  </r>
  <r>
    <x v="12"/>
    <x v="3"/>
    <x v="3"/>
    <m/>
    <n v="34"/>
    <n v="3"/>
    <n v="30"/>
    <n v="0"/>
    <n v="9"/>
    <m/>
    <m/>
  </r>
  <r>
    <x v="12"/>
    <x v="3"/>
    <x v="4"/>
    <m/>
    <n v="29"/>
    <n v="3"/>
    <n v="28"/>
    <n v="4"/>
    <n v="17"/>
    <m/>
    <m/>
  </r>
  <r>
    <x v="12"/>
    <x v="16"/>
    <x v="4"/>
    <m/>
    <n v="38"/>
    <n v="14"/>
    <n v="39"/>
    <n v="6"/>
    <n v="18"/>
    <m/>
    <m/>
  </r>
  <r>
    <x v="12"/>
    <x v="26"/>
    <x v="4"/>
    <m/>
    <n v="23"/>
    <n v="6"/>
    <n v="6"/>
    <n v="1"/>
    <n v="3"/>
    <m/>
    <m/>
  </r>
  <r>
    <x v="12"/>
    <x v="10"/>
    <x v="9"/>
    <m/>
    <n v="33"/>
    <n v="1"/>
    <n v="40"/>
    <n v="4"/>
    <n v="19"/>
    <m/>
    <m/>
  </r>
  <r>
    <x v="12"/>
    <x v="12"/>
    <x v="9"/>
    <m/>
    <n v="31"/>
    <n v="3"/>
    <n v="40"/>
    <n v="6"/>
    <n v="16"/>
    <m/>
    <m/>
  </r>
  <r>
    <x v="12"/>
    <x v="1"/>
    <x v="1"/>
    <m/>
    <n v="5"/>
    <n v="3"/>
    <n v="9"/>
    <n v="5"/>
    <n v="5"/>
    <m/>
    <m/>
  </r>
  <r>
    <x v="12"/>
    <x v="23"/>
    <x v="1"/>
    <m/>
    <n v="18"/>
    <n v="16"/>
    <n v="13"/>
    <n v="4"/>
    <n v="21"/>
    <m/>
    <m/>
  </r>
  <r>
    <x v="12"/>
    <x v="14"/>
    <x v="11"/>
    <m/>
    <n v="42"/>
    <n v="6"/>
    <n v="29"/>
    <m/>
    <n v="23"/>
    <m/>
    <m/>
  </r>
  <r>
    <x v="12"/>
    <x v="17"/>
    <x v="8"/>
    <m/>
    <n v="28"/>
    <n v="2"/>
    <n v="37"/>
    <n v="2"/>
    <n v="14"/>
    <m/>
    <m/>
  </r>
  <r>
    <x v="12"/>
    <x v="26"/>
    <x v="8"/>
    <m/>
    <n v="17"/>
    <n v="0"/>
    <n v="4"/>
    <n v="0"/>
    <n v="5"/>
    <m/>
    <m/>
  </r>
  <r>
    <x v="12"/>
    <x v="5"/>
    <x v="7"/>
    <m/>
    <n v="14"/>
    <n v="7"/>
    <n v="9"/>
    <n v="13"/>
    <n v="11"/>
    <m/>
    <m/>
  </r>
  <r>
    <x v="12"/>
    <x v="18"/>
    <x v="12"/>
    <m/>
    <n v="10"/>
    <n v="7"/>
    <n v="14"/>
    <n v="5"/>
    <n v="10"/>
    <m/>
    <m/>
  </r>
  <r>
    <x v="12"/>
    <x v="19"/>
    <x v="13"/>
    <m/>
    <n v="24"/>
    <n v="8"/>
    <n v="17"/>
    <n v="7"/>
    <n v="8"/>
    <m/>
    <m/>
  </r>
  <r>
    <x v="12"/>
    <x v="20"/>
    <x v="14"/>
    <m/>
    <n v="24"/>
    <n v="18"/>
    <n v="10"/>
    <n v="6"/>
    <n v="5"/>
    <m/>
    <m/>
  </r>
  <r>
    <x v="12"/>
    <x v="24"/>
    <x v="14"/>
    <m/>
    <n v="7"/>
    <n v="5"/>
    <n v="1"/>
    <n v="0"/>
    <n v="5"/>
    <m/>
    <m/>
  </r>
  <r>
    <x v="12"/>
    <x v="21"/>
    <x v="15"/>
    <m/>
    <n v="31"/>
    <n v="8"/>
    <n v="10"/>
    <n v="5"/>
    <n v="10"/>
    <m/>
    <m/>
  </r>
  <r>
    <x v="12"/>
    <x v="22"/>
    <x v="16"/>
    <m/>
    <n v="39"/>
    <n v="17"/>
    <n v="2"/>
    <n v="1"/>
    <n v="6"/>
    <m/>
    <m/>
  </r>
  <r>
    <x v="12"/>
    <x v="27"/>
    <x v="17"/>
    <m/>
    <n v="15"/>
    <n v="2"/>
    <n v="7"/>
    <n v="4"/>
    <n v="12"/>
    <m/>
    <m/>
  </r>
  <r>
    <x v="13"/>
    <x v="15"/>
    <x v="3"/>
    <n v="392"/>
    <m/>
    <m/>
    <m/>
    <m/>
    <m/>
    <n v="245550"/>
    <m/>
  </r>
  <r>
    <x v="13"/>
    <x v="15"/>
    <x v="8"/>
    <n v="281"/>
    <m/>
    <m/>
    <m/>
    <m/>
    <m/>
    <n v="143960"/>
    <m/>
  </r>
  <r>
    <x v="13"/>
    <x v="15"/>
    <x v="4"/>
    <n v="643"/>
    <m/>
    <m/>
    <m/>
    <m/>
    <m/>
    <n v="452900"/>
    <m/>
  </r>
  <r>
    <x v="13"/>
    <x v="15"/>
    <x v="6"/>
    <n v="371"/>
    <m/>
    <m/>
    <m/>
    <m/>
    <m/>
    <n v="49500"/>
    <m/>
  </r>
  <r>
    <x v="13"/>
    <x v="15"/>
    <x v="11"/>
    <n v="308"/>
    <m/>
    <m/>
    <m/>
    <m/>
    <m/>
    <n v="366300"/>
    <m/>
  </r>
  <r>
    <x v="13"/>
    <x v="15"/>
    <x v="10"/>
    <n v="274"/>
    <m/>
    <m/>
    <m/>
    <m/>
    <m/>
    <n v="169850"/>
    <m/>
  </r>
  <r>
    <x v="13"/>
    <x v="15"/>
    <x v="0"/>
    <n v="249"/>
    <m/>
    <m/>
    <m/>
    <m/>
    <m/>
    <n v="315050"/>
    <m/>
  </r>
  <r>
    <x v="13"/>
    <x v="15"/>
    <x v="5"/>
    <n v="261"/>
    <m/>
    <m/>
    <m/>
    <m/>
    <m/>
    <n v="174400"/>
    <m/>
  </r>
  <r>
    <x v="13"/>
    <x v="15"/>
    <x v="9"/>
    <n v="403"/>
    <m/>
    <m/>
    <m/>
    <m/>
    <m/>
    <n v="468300"/>
    <m/>
  </r>
  <r>
    <x v="13"/>
    <x v="15"/>
    <x v="7"/>
    <n v="354"/>
    <m/>
    <m/>
    <m/>
    <m/>
    <m/>
    <n v="165700"/>
    <m/>
  </r>
  <r>
    <x v="13"/>
    <x v="15"/>
    <x v="2"/>
    <n v="599"/>
    <m/>
    <m/>
    <m/>
    <m/>
    <m/>
    <n v="348949.99"/>
    <m/>
  </r>
  <r>
    <x v="13"/>
    <x v="15"/>
    <x v="1"/>
    <n v="216"/>
    <m/>
    <m/>
    <m/>
    <m/>
    <m/>
    <n v="360600"/>
    <m/>
  </r>
  <r>
    <x v="13"/>
    <x v="15"/>
    <x v="12"/>
    <n v="272"/>
    <m/>
    <m/>
    <m/>
    <m/>
    <m/>
    <n v="125650"/>
    <m/>
  </r>
  <r>
    <x v="13"/>
    <x v="15"/>
    <x v="13"/>
    <n v="408"/>
    <m/>
    <m/>
    <m/>
    <m/>
    <m/>
    <n v="147550"/>
    <m/>
  </r>
  <r>
    <x v="13"/>
    <x v="15"/>
    <x v="14"/>
    <n v="335"/>
    <m/>
    <m/>
    <m/>
    <m/>
    <m/>
    <n v="129445"/>
    <m/>
  </r>
  <r>
    <x v="13"/>
    <x v="15"/>
    <x v="15"/>
    <n v="318"/>
    <m/>
    <m/>
    <m/>
    <m/>
    <m/>
    <n v="109800"/>
    <m/>
  </r>
  <r>
    <x v="13"/>
    <x v="15"/>
    <x v="16"/>
    <n v="566"/>
    <m/>
    <m/>
    <m/>
    <m/>
    <m/>
    <n v="110000"/>
    <m/>
  </r>
  <r>
    <x v="13"/>
    <x v="15"/>
    <x v="17"/>
    <n v="211"/>
    <m/>
    <m/>
    <m/>
    <m/>
    <m/>
    <n v="134800"/>
    <m/>
  </r>
  <r>
    <x v="13"/>
    <x v="13"/>
    <x v="0"/>
    <m/>
    <n v="42"/>
    <n v="8"/>
    <n v="39"/>
    <n v="0"/>
    <n v="19"/>
    <m/>
    <m/>
  </r>
  <r>
    <x v="13"/>
    <x v="13"/>
    <x v="10"/>
    <m/>
    <n v="2"/>
    <n v="0"/>
    <n v="21"/>
    <n v="1"/>
    <n v="9"/>
    <m/>
    <m/>
  </r>
  <r>
    <x v="13"/>
    <x v="28"/>
    <x v="10"/>
    <m/>
    <n v="44"/>
    <n v="6"/>
    <n v="4"/>
    <n v="0"/>
    <n v="4"/>
    <m/>
    <m/>
  </r>
  <r>
    <x v="13"/>
    <x v="28"/>
    <x v="0"/>
    <m/>
    <n v="26"/>
    <n v="5"/>
    <n v="0"/>
    <n v="0"/>
    <n v="3"/>
    <m/>
    <m/>
  </r>
  <r>
    <x v="13"/>
    <x v="7"/>
    <x v="2"/>
    <m/>
    <n v="30"/>
    <n v="6"/>
    <n v="39"/>
    <n v="6"/>
    <n v="18"/>
    <m/>
    <m/>
  </r>
  <r>
    <x v="13"/>
    <x v="25"/>
    <x v="2"/>
    <m/>
    <n v="38"/>
    <n v="16"/>
    <n v="24"/>
    <n v="10"/>
    <n v="7"/>
    <m/>
    <m/>
  </r>
  <r>
    <x v="13"/>
    <x v="4"/>
    <x v="5"/>
    <m/>
    <n v="43"/>
    <n v="2"/>
    <n v="32"/>
    <n v="5"/>
    <n v="13"/>
    <m/>
    <m/>
  </r>
  <r>
    <x v="13"/>
    <x v="4"/>
    <x v="6"/>
    <m/>
    <n v="24"/>
    <n v="2"/>
    <n v="16"/>
    <n v="1"/>
    <n v="0"/>
    <m/>
    <m/>
  </r>
  <r>
    <x v="13"/>
    <x v="11"/>
    <x v="6"/>
    <m/>
    <n v="19"/>
    <n v="5"/>
    <n v="18"/>
    <n v="2"/>
    <n v="4"/>
    <m/>
    <m/>
  </r>
  <r>
    <x v="13"/>
    <x v="11"/>
    <x v="3"/>
    <m/>
    <n v="27"/>
    <n v="5"/>
    <n v="12"/>
    <n v="3"/>
    <n v="7"/>
    <m/>
    <m/>
  </r>
  <r>
    <x v="13"/>
    <x v="3"/>
    <x v="3"/>
    <m/>
    <n v="8"/>
    <n v="3"/>
    <n v="11"/>
    <n v="0"/>
    <n v="11"/>
    <m/>
    <m/>
  </r>
  <r>
    <x v="13"/>
    <x v="3"/>
    <x v="4"/>
    <m/>
    <n v="7"/>
    <n v="1"/>
    <n v="16"/>
    <n v="12"/>
    <n v="14"/>
    <m/>
    <m/>
  </r>
  <r>
    <x v="13"/>
    <x v="16"/>
    <x v="4"/>
    <m/>
    <n v="38"/>
    <n v="11"/>
    <n v="30"/>
    <n v="8"/>
    <n v="14"/>
    <m/>
    <m/>
  </r>
  <r>
    <x v="13"/>
    <x v="26"/>
    <x v="4"/>
    <m/>
    <n v="19"/>
    <n v="11"/>
    <n v="7"/>
    <n v="1"/>
    <n v="3"/>
    <m/>
    <m/>
  </r>
  <r>
    <x v="13"/>
    <x v="10"/>
    <x v="9"/>
    <m/>
    <n v="51"/>
    <n v="7"/>
    <n v="37"/>
    <n v="1"/>
    <n v="19"/>
    <m/>
    <m/>
  </r>
  <r>
    <x v="13"/>
    <x v="12"/>
    <x v="9"/>
    <m/>
    <n v="32"/>
    <n v="3"/>
    <n v="36"/>
    <n v="2"/>
    <n v="13"/>
    <m/>
    <m/>
  </r>
  <r>
    <x v="13"/>
    <x v="1"/>
    <x v="1"/>
    <m/>
    <n v="12"/>
    <n v="2"/>
    <n v="15"/>
    <n v="7"/>
    <n v="5"/>
    <m/>
    <m/>
  </r>
  <r>
    <x v="13"/>
    <x v="23"/>
    <x v="1"/>
    <m/>
    <n v="39"/>
    <n v="17"/>
    <n v="11"/>
    <n v="1"/>
    <n v="21"/>
    <m/>
    <m/>
  </r>
  <r>
    <x v="13"/>
    <x v="14"/>
    <x v="11"/>
    <m/>
    <n v="39"/>
    <m/>
    <n v="19"/>
    <m/>
    <n v="25"/>
    <m/>
    <m/>
  </r>
  <r>
    <x v="13"/>
    <x v="17"/>
    <x v="8"/>
    <m/>
    <n v="39"/>
    <n v="2"/>
    <n v="44"/>
    <n v="2"/>
    <n v="7"/>
    <m/>
    <m/>
  </r>
  <r>
    <x v="13"/>
    <x v="26"/>
    <x v="8"/>
    <m/>
    <n v="23"/>
    <n v="3"/>
    <n v="8"/>
    <n v="1"/>
    <n v="3"/>
    <m/>
    <m/>
  </r>
  <r>
    <x v="13"/>
    <x v="5"/>
    <x v="7"/>
    <m/>
    <n v="23"/>
    <n v="15"/>
    <n v="20"/>
    <n v="19"/>
    <n v="12"/>
    <m/>
    <m/>
  </r>
  <r>
    <x v="13"/>
    <x v="18"/>
    <x v="12"/>
    <m/>
    <n v="28"/>
    <n v="10"/>
    <n v="14"/>
    <n v="1"/>
    <n v="9"/>
    <m/>
    <m/>
  </r>
  <r>
    <x v="13"/>
    <x v="19"/>
    <x v="13"/>
    <m/>
    <n v="39"/>
    <n v="4"/>
    <n v="18"/>
    <n v="13"/>
    <n v="11"/>
    <m/>
    <m/>
  </r>
  <r>
    <x v="13"/>
    <x v="20"/>
    <x v="14"/>
    <m/>
    <n v="12"/>
    <n v="11"/>
    <n v="14"/>
    <n v="4"/>
    <n v="6"/>
    <m/>
    <m/>
  </r>
  <r>
    <x v="13"/>
    <x v="24"/>
    <x v="14"/>
    <m/>
    <n v="21"/>
    <n v="14"/>
    <n v="5"/>
    <n v="5"/>
    <n v="4"/>
    <m/>
    <m/>
  </r>
  <r>
    <x v="13"/>
    <x v="21"/>
    <x v="15"/>
    <m/>
    <n v="32"/>
    <n v="10"/>
    <n v="10"/>
    <n v="6"/>
    <n v="8"/>
    <m/>
    <m/>
  </r>
  <r>
    <x v="13"/>
    <x v="22"/>
    <x v="16"/>
    <m/>
    <n v="38"/>
    <n v="4"/>
    <n v="6"/>
    <n v="2"/>
    <n v="8"/>
    <m/>
    <m/>
  </r>
  <r>
    <x v="13"/>
    <x v="27"/>
    <x v="17"/>
    <m/>
    <n v="18"/>
    <n v="3"/>
    <n v="4"/>
    <n v="1"/>
    <n v="10"/>
    <m/>
    <m/>
  </r>
  <r>
    <x v="14"/>
    <x v="15"/>
    <x v="3"/>
    <n v="633"/>
    <m/>
    <m/>
    <m/>
    <m/>
    <m/>
    <n v="173300"/>
    <m/>
  </r>
  <r>
    <x v="14"/>
    <x v="15"/>
    <x v="8"/>
    <n v="414"/>
    <m/>
    <m/>
    <m/>
    <m/>
    <m/>
    <n v="171995"/>
    <m/>
  </r>
  <r>
    <x v="14"/>
    <x v="15"/>
    <x v="4"/>
    <n v="698"/>
    <m/>
    <m/>
    <m/>
    <m/>
    <m/>
    <n v="445100"/>
    <m/>
  </r>
  <r>
    <x v="14"/>
    <x v="15"/>
    <x v="6"/>
    <n v="392"/>
    <m/>
    <m/>
    <m/>
    <m/>
    <m/>
    <n v="142800"/>
    <m/>
  </r>
  <r>
    <x v="14"/>
    <x v="15"/>
    <x v="11"/>
    <n v="342"/>
    <m/>
    <m/>
    <m/>
    <m/>
    <m/>
    <n v="398650"/>
    <m/>
  </r>
  <r>
    <x v="14"/>
    <x v="15"/>
    <x v="10"/>
    <n v="378"/>
    <m/>
    <m/>
    <m/>
    <m/>
    <m/>
    <n v="162900"/>
    <m/>
  </r>
  <r>
    <x v="14"/>
    <x v="15"/>
    <x v="0"/>
    <n v="435"/>
    <m/>
    <m/>
    <m/>
    <m/>
    <m/>
    <n v="372359"/>
    <m/>
  </r>
  <r>
    <x v="14"/>
    <x v="15"/>
    <x v="5"/>
    <n v="418"/>
    <m/>
    <m/>
    <m/>
    <m/>
    <m/>
    <n v="201550"/>
    <m/>
  </r>
  <r>
    <x v="14"/>
    <x v="15"/>
    <x v="9"/>
    <n v="496"/>
    <m/>
    <m/>
    <m/>
    <m/>
    <m/>
    <n v="514000"/>
    <m/>
  </r>
  <r>
    <x v="14"/>
    <x v="15"/>
    <x v="7"/>
    <n v="444"/>
    <m/>
    <m/>
    <m/>
    <m/>
    <m/>
    <n v="224440"/>
    <m/>
  </r>
  <r>
    <x v="14"/>
    <x v="15"/>
    <x v="2"/>
    <n v="663"/>
    <m/>
    <m/>
    <m/>
    <m/>
    <m/>
    <n v="428950"/>
    <m/>
  </r>
  <r>
    <x v="14"/>
    <x v="15"/>
    <x v="1"/>
    <n v="326"/>
    <m/>
    <m/>
    <m/>
    <m/>
    <m/>
    <n v="406850"/>
    <m/>
  </r>
  <r>
    <x v="14"/>
    <x v="15"/>
    <x v="12"/>
    <n v="354"/>
    <m/>
    <m/>
    <m/>
    <m/>
    <m/>
    <n v="212450"/>
    <m/>
  </r>
  <r>
    <x v="14"/>
    <x v="15"/>
    <x v="13"/>
    <n v="593"/>
    <m/>
    <m/>
    <m/>
    <m/>
    <m/>
    <n v="180900"/>
    <m/>
  </r>
  <r>
    <x v="14"/>
    <x v="15"/>
    <x v="14"/>
    <n v="430"/>
    <m/>
    <m/>
    <m/>
    <m/>
    <m/>
    <n v="264000"/>
    <m/>
  </r>
  <r>
    <x v="14"/>
    <x v="15"/>
    <x v="15"/>
    <n v="437"/>
    <m/>
    <m/>
    <m/>
    <m/>
    <m/>
    <n v="141100"/>
    <m/>
  </r>
  <r>
    <x v="14"/>
    <x v="15"/>
    <x v="16"/>
    <n v="684"/>
    <m/>
    <m/>
    <m/>
    <m/>
    <m/>
    <n v="108420"/>
    <m/>
  </r>
  <r>
    <x v="14"/>
    <x v="15"/>
    <x v="17"/>
    <n v="254"/>
    <m/>
    <m/>
    <m/>
    <m/>
    <m/>
    <n v="148000"/>
    <m/>
  </r>
  <r>
    <x v="14"/>
    <x v="13"/>
    <x v="0"/>
    <m/>
    <n v="39"/>
    <n v="4"/>
    <n v="33"/>
    <n v="1"/>
    <n v="13"/>
    <m/>
    <m/>
  </r>
  <r>
    <x v="14"/>
    <x v="13"/>
    <x v="10"/>
    <m/>
    <n v="1"/>
    <n v="1"/>
    <n v="12"/>
    <n v="4"/>
    <n v="3"/>
    <m/>
    <m/>
  </r>
  <r>
    <x v="14"/>
    <x v="29"/>
    <x v="0"/>
    <m/>
    <n v="30"/>
    <n v="7"/>
    <n v="3"/>
    <n v="0"/>
    <n v="5"/>
    <m/>
    <m/>
  </r>
  <r>
    <x v="14"/>
    <x v="28"/>
    <x v="10"/>
    <m/>
    <n v="44"/>
    <n v="8"/>
    <n v="10"/>
    <n v="1"/>
    <n v="9"/>
    <m/>
    <m/>
  </r>
  <r>
    <x v="14"/>
    <x v="28"/>
    <x v="0"/>
    <m/>
    <n v="11"/>
    <n v="3"/>
    <n v="6"/>
    <n v="0"/>
    <n v="9"/>
    <m/>
    <m/>
  </r>
  <r>
    <x v="14"/>
    <x v="7"/>
    <x v="2"/>
    <m/>
    <n v="59"/>
    <n v="24"/>
    <n v="52"/>
    <n v="29"/>
    <n v="19"/>
    <m/>
    <m/>
  </r>
  <r>
    <x v="14"/>
    <x v="25"/>
    <x v="2"/>
    <m/>
    <n v="46"/>
    <n v="13"/>
    <n v="26"/>
    <n v="7"/>
    <n v="11"/>
    <m/>
    <m/>
  </r>
  <r>
    <x v="14"/>
    <x v="4"/>
    <x v="5"/>
    <m/>
    <n v="45"/>
    <n v="11"/>
    <n v="44"/>
    <n v="5"/>
    <n v="15"/>
    <m/>
    <m/>
  </r>
  <r>
    <x v="14"/>
    <x v="4"/>
    <x v="6"/>
    <m/>
    <n v="25"/>
    <n v="3"/>
    <n v="18"/>
    <n v="0"/>
    <n v="5"/>
    <m/>
    <m/>
  </r>
  <r>
    <x v="14"/>
    <x v="11"/>
    <x v="6"/>
    <m/>
    <n v="25"/>
    <n v="6"/>
    <n v="22"/>
    <n v="4"/>
    <n v="6"/>
    <m/>
    <m/>
  </r>
  <r>
    <x v="14"/>
    <x v="11"/>
    <x v="3"/>
    <m/>
    <n v="21"/>
    <n v="1"/>
    <n v="13"/>
    <n v="1"/>
    <n v="5"/>
    <m/>
    <m/>
  </r>
  <r>
    <x v="14"/>
    <x v="3"/>
    <x v="3"/>
    <m/>
    <n v="39"/>
    <n v="3"/>
    <n v="50"/>
    <n v="5"/>
    <n v="8"/>
    <m/>
    <m/>
  </r>
  <r>
    <x v="14"/>
    <x v="3"/>
    <x v="4"/>
    <m/>
    <n v="37"/>
    <n v="6"/>
    <n v="32"/>
    <n v="6"/>
    <n v="12"/>
    <m/>
    <m/>
  </r>
  <r>
    <x v="14"/>
    <x v="16"/>
    <x v="4"/>
    <m/>
    <n v="34"/>
    <n v="11"/>
    <n v="22"/>
    <n v="3"/>
    <n v="15"/>
    <m/>
    <m/>
  </r>
  <r>
    <x v="14"/>
    <x v="26"/>
    <x v="4"/>
    <m/>
    <n v="2"/>
    <n v="8"/>
    <n v="2"/>
    <n v="0"/>
    <n v="4"/>
    <m/>
    <m/>
  </r>
  <r>
    <x v="14"/>
    <x v="10"/>
    <x v="9"/>
    <m/>
    <n v="42"/>
    <n v="10"/>
    <n v="49"/>
    <n v="5"/>
    <n v="19"/>
    <m/>
    <m/>
  </r>
  <r>
    <x v="14"/>
    <x v="12"/>
    <x v="9"/>
    <m/>
    <n v="34"/>
    <n v="3"/>
    <n v="47"/>
    <n v="3"/>
    <n v="17"/>
    <m/>
    <m/>
  </r>
  <r>
    <x v="14"/>
    <x v="1"/>
    <x v="1"/>
    <m/>
    <n v="1"/>
    <n v="0"/>
    <n v="0"/>
    <n v="0"/>
    <n v="1"/>
    <m/>
    <m/>
  </r>
  <r>
    <x v="14"/>
    <x v="23"/>
    <x v="1"/>
    <m/>
    <n v="47"/>
    <n v="20"/>
    <n v="29"/>
    <n v="10"/>
    <n v="29"/>
    <m/>
    <m/>
  </r>
  <r>
    <x v="14"/>
    <x v="14"/>
    <x v="11"/>
    <m/>
    <n v="63"/>
    <n v="0"/>
    <n v="53"/>
    <n v="0"/>
    <n v="27"/>
    <m/>
    <m/>
  </r>
  <r>
    <x v="14"/>
    <x v="17"/>
    <x v="8"/>
    <m/>
    <n v="43"/>
    <n v="1"/>
    <n v="53"/>
    <n v="0"/>
    <n v="10"/>
    <m/>
    <m/>
  </r>
  <r>
    <x v="14"/>
    <x v="26"/>
    <x v="8"/>
    <m/>
    <n v="1"/>
    <n v="1"/>
    <n v="1"/>
    <n v="0"/>
    <n v="2"/>
    <m/>
    <m/>
  </r>
  <r>
    <x v="14"/>
    <x v="5"/>
    <x v="7"/>
    <m/>
    <n v="21"/>
    <n v="22"/>
    <n v="24"/>
    <n v="21"/>
    <n v="16"/>
    <m/>
    <m/>
  </r>
  <r>
    <x v="14"/>
    <x v="18"/>
    <x v="12"/>
    <m/>
    <n v="26"/>
    <n v="3"/>
    <n v="14"/>
    <n v="10"/>
    <n v="11"/>
    <m/>
    <m/>
  </r>
  <r>
    <x v="14"/>
    <x v="30"/>
    <x v="12"/>
    <m/>
    <n v="45"/>
    <n v="15"/>
    <n v="1"/>
    <n v="0"/>
    <n v="4"/>
    <m/>
    <m/>
  </r>
  <r>
    <x v="14"/>
    <x v="19"/>
    <x v="13"/>
    <m/>
    <n v="32"/>
    <n v="23"/>
    <n v="12"/>
    <n v="0"/>
    <n v="13"/>
    <m/>
    <m/>
  </r>
  <r>
    <x v="14"/>
    <x v="20"/>
    <x v="14"/>
    <m/>
    <n v="16"/>
    <n v="8"/>
    <n v="16"/>
    <n v="5"/>
    <n v="11"/>
    <m/>
    <m/>
  </r>
  <r>
    <x v="14"/>
    <x v="24"/>
    <x v="14"/>
    <m/>
    <n v="20"/>
    <n v="13"/>
    <n v="7"/>
    <n v="5"/>
    <n v="9"/>
    <m/>
    <m/>
  </r>
  <r>
    <x v="14"/>
    <x v="21"/>
    <x v="15"/>
    <m/>
    <n v="40"/>
    <n v="15"/>
    <n v="18"/>
    <n v="5"/>
    <n v="10"/>
    <m/>
    <m/>
  </r>
  <r>
    <x v="14"/>
    <x v="22"/>
    <x v="16"/>
    <m/>
    <n v="67"/>
    <n v="13"/>
    <n v="5"/>
    <n v="1"/>
    <n v="8"/>
    <m/>
    <m/>
  </r>
  <r>
    <x v="14"/>
    <x v="27"/>
    <x v="17"/>
    <m/>
    <n v="17"/>
    <n v="7"/>
    <n v="7"/>
    <n v="3"/>
    <n v="11"/>
    <m/>
    <m/>
  </r>
  <r>
    <x v="15"/>
    <x v="15"/>
    <x v="3"/>
    <n v="459"/>
    <m/>
    <m/>
    <m/>
    <m/>
    <m/>
    <n v="271550"/>
    <m/>
  </r>
  <r>
    <x v="15"/>
    <x v="15"/>
    <x v="8"/>
    <n v="296"/>
    <m/>
    <m/>
    <m/>
    <m/>
    <m/>
    <n v="131110"/>
    <m/>
  </r>
  <r>
    <x v="15"/>
    <x v="15"/>
    <x v="4"/>
    <n v="548"/>
    <m/>
    <m/>
    <m/>
    <m/>
    <m/>
    <n v="491800"/>
    <m/>
  </r>
  <r>
    <x v="15"/>
    <x v="15"/>
    <x v="6"/>
    <n v="306"/>
    <m/>
    <m/>
    <m/>
    <m/>
    <m/>
    <n v="154300"/>
    <m/>
  </r>
  <r>
    <x v="15"/>
    <x v="15"/>
    <x v="11"/>
    <n v="249"/>
    <m/>
    <m/>
    <m/>
    <m/>
    <m/>
    <n v="264500"/>
    <m/>
  </r>
  <r>
    <x v="15"/>
    <x v="15"/>
    <x v="10"/>
    <n v="245"/>
    <m/>
    <m/>
    <m/>
    <m/>
    <m/>
    <n v="144000"/>
    <m/>
  </r>
  <r>
    <x v="15"/>
    <x v="15"/>
    <x v="0"/>
    <n v="366"/>
    <m/>
    <m/>
    <m/>
    <m/>
    <m/>
    <n v="389950"/>
    <m/>
  </r>
  <r>
    <x v="15"/>
    <x v="15"/>
    <x v="5"/>
    <n v="303"/>
    <m/>
    <m/>
    <m/>
    <m/>
    <m/>
    <n v="143250"/>
    <m/>
  </r>
  <r>
    <x v="15"/>
    <x v="15"/>
    <x v="9"/>
    <n v="392"/>
    <m/>
    <m/>
    <m/>
    <m/>
    <m/>
    <n v="375750"/>
    <m/>
  </r>
  <r>
    <x v="15"/>
    <x v="15"/>
    <x v="7"/>
    <n v="396"/>
    <m/>
    <m/>
    <m/>
    <m/>
    <m/>
    <n v="264600"/>
    <m/>
  </r>
  <r>
    <x v="15"/>
    <x v="15"/>
    <x v="2"/>
    <n v="491"/>
    <m/>
    <m/>
    <m/>
    <m/>
    <m/>
    <n v="373450"/>
    <m/>
  </r>
  <r>
    <x v="15"/>
    <x v="15"/>
    <x v="1"/>
    <n v="262"/>
    <m/>
    <m/>
    <m/>
    <m/>
    <m/>
    <n v="404450"/>
    <m/>
  </r>
  <r>
    <x v="15"/>
    <x v="15"/>
    <x v="12"/>
    <n v="294"/>
    <m/>
    <m/>
    <m/>
    <m/>
    <m/>
    <n v="207630"/>
    <m/>
  </r>
  <r>
    <x v="15"/>
    <x v="15"/>
    <x v="13"/>
    <n v="288"/>
    <m/>
    <m/>
    <m/>
    <m/>
    <m/>
    <n v="120950"/>
    <m/>
  </r>
  <r>
    <x v="15"/>
    <x v="15"/>
    <x v="14"/>
    <n v="342"/>
    <m/>
    <m/>
    <m/>
    <m/>
    <m/>
    <n v="142950"/>
    <m/>
  </r>
  <r>
    <x v="15"/>
    <x v="15"/>
    <x v="15"/>
    <n v="304"/>
    <m/>
    <m/>
    <m/>
    <m/>
    <m/>
    <n v="137150"/>
    <m/>
  </r>
  <r>
    <x v="15"/>
    <x v="15"/>
    <x v="16"/>
    <n v="539"/>
    <m/>
    <m/>
    <m/>
    <m/>
    <m/>
    <n v="157440"/>
    <m/>
  </r>
  <r>
    <x v="15"/>
    <x v="15"/>
    <x v="17"/>
    <n v="189"/>
    <m/>
    <m/>
    <m/>
    <m/>
    <m/>
    <n v="111500"/>
    <m/>
  </r>
  <r>
    <x v="15"/>
    <x v="13"/>
    <x v="0"/>
    <m/>
    <n v="26"/>
    <n v="5"/>
    <n v="30"/>
    <n v="1"/>
    <n v="13"/>
    <m/>
    <m/>
  </r>
  <r>
    <x v="15"/>
    <x v="29"/>
    <x v="0"/>
    <m/>
    <n v="35"/>
    <n v="3"/>
    <n v="8"/>
    <n v="1"/>
    <n v="12"/>
    <m/>
    <m/>
  </r>
  <r>
    <x v="15"/>
    <x v="28"/>
    <x v="10"/>
    <m/>
    <n v="35"/>
    <n v="3"/>
    <n v="25"/>
    <n v="3"/>
    <n v="11"/>
    <m/>
    <m/>
  </r>
  <r>
    <x v="15"/>
    <x v="28"/>
    <x v="0"/>
    <m/>
    <n v="8"/>
    <n v="0"/>
    <n v="6"/>
    <n v="0"/>
    <n v="3"/>
    <m/>
    <m/>
  </r>
  <r>
    <x v="15"/>
    <x v="7"/>
    <x v="2"/>
    <m/>
    <n v="42"/>
    <n v="17"/>
    <n v="46"/>
    <n v="17"/>
    <n v="17"/>
    <m/>
    <m/>
  </r>
  <r>
    <x v="15"/>
    <x v="25"/>
    <x v="2"/>
    <m/>
    <n v="31"/>
    <n v="5"/>
    <n v="13"/>
    <n v="4"/>
    <n v="9"/>
    <m/>
    <m/>
  </r>
  <r>
    <x v="15"/>
    <x v="4"/>
    <x v="5"/>
    <m/>
    <n v="27"/>
    <n v="2"/>
    <n v="19"/>
    <n v="4"/>
    <n v="11"/>
    <m/>
    <m/>
  </r>
  <r>
    <x v="15"/>
    <x v="4"/>
    <x v="6"/>
    <m/>
    <n v="20"/>
    <n v="0"/>
    <n v="9"/>
    <n v="1"/>
    <n v="9"/>
    <m/>
    <m/>
  </r>
  <r>
    <x v="15"/>
    <x v="11"/>
    <x v="6"/>
    <m/>
    <n v="13"/>
    <n v="5"/>
    <n v="14"/>
    <n v="3"/>
    <n v="3"/>
    <m/>
    <m/>
  </r>
  <r>
    <x v="15"/>
    <x v="11"/>
    <x v="3"/>
    <m/>
    <n v="20"/>
    <n v="2"/>
    <n v="10"/>
    <n v="4"/>
    <n v="3"/>
    <m/>
    <m/>
  </r>
  <r>
    <x v="15"/>
    <x v="3"/>
    <x v="3"/>
    <m/>
    <n v="36"/>
    <n v="1"/>
    <n v="25"/>
    <n v="4"/>
    <n v="17"/>
    <m/>
    <m/>
  </r>
  <r>
    <x v="15"/>
    <x v="3"/>
    <x v="4"/>
    <m/>
    <n v="26"/>
    <n v="13"/>
    <n v="27"/>
    <n v="6"/>
    <n v="18"/>
    <m/>
    <m/>
  </r>
  <r>
    <x v="15"/>
    <x v="16"/>
    <x v="4"/>
    <m/>
    <n v="57"/>
    <n v="9"/>
    <n v="30"/>
    <n v="10"/>
    <n v="16"/>
    <m/>
    <m/>
  </r>
  <r>
    <x v="15"/>
    <x v="10"/>
    <x v="9"/>
    <m/>
    <n v="35"/>
    <n v="4"/>
    <n v="32"/>
    <n v="3"/>
    <n v="14"/>
    <m/>
    <m/>
  </r>
  <r>
    <x v="15"/>
    <x v="12"/>
    <x v="9"/>
    <m/>
    <n v="40"/>
    <n v="2"/>
    <n v="34"/>
    <n v="3"/>
    <n v="12"/>
    <m/>
    <m/>
  </r>
  <r>
    <x v="15"/>
    <x v="31"/>
    <x v="1"/>
    <m/>
    <n v="23"/>
    <n v="20"/>
    <n v="3"/>
    <n v="4"/>
    <n v="2"/>
    <m/>
    <m/>
  </r>
  <r>
    <x v="15"/>
    <x v="23"/>
    <x v="1"/>
    <m/>
    <n v="31"/>
    <n v="18"/>
    <n v="21"/>
    <n v="10"/>
    <n v="28"/>
    <m/>
    <m/>
  </r>
  <r>
    <x v="15"/>
    <x v="14"/>
    <x v="11"/>
    <m/>
    <n v="38"/>
    <n v="6"/>
    <n v="29"/>
    <n v="0"/>
    <n v="20"/>
    <m/>
    <m/>
  </r>
  <r>
    <x v="15"/>
    <x v="17"/>
    <x v="8"/>
    <m/>
    <n v="41"/>
    <n v="1"/>
    <n v="33"/>
    <n v="1"/>
    <n v="10"/>
    <m/>
    <m/>
  </r>
  <r>
    <x v="15"/>
    <x v="5"/>
    <x v="7"/>
    <m/>
    <n v="20"/>
    <n v="27"/>
    <n v="31"/>
    <n v="17"/>
    <n v="18"/>
    <m/>
    <m/>
  </r>
  <r>
    <x v="15"/>
    <x v="18"/>
    <x v="12"/>
    <m/>
    <n v="19"/>
    <n v="7"/>
    <n v="16"/>
    <n v="7"/>
    <n v="8"/>
    <m/>
    <m/>
  </r>
  <r>
    <x v="15"/>
    <x v="30"/>
    <x v="12"/>
    <m/>
    <n v="35"/>
    <n v="12"/>
    <n v="8"/>
    <n v="1"/>
    <n v="7"/>
    <m/>
    <m/>
  </r>
  <r>
    <x v="15"/>
    <x v="19"/>
    <x v="13"/>
    <m/>
    <n v="34"/>
    <n v="4"/>
    <n v="21"/>
    <n v="5"/>
    <n v="9"/>
    <m/>
    <m/>
  </r>
  <r>
    <x v="15"/>
    <x v="20"/>
    <x v="14"/>
    <m/>
    <n v="4"/>
    <n v="10"/>
    <n v="8"/>
    <n v="13"/>
    <n v="5"/>
    <m/>
    <m/>
  </r>
  <r>
    <x v="15"/>
    <x v="24"/>
    <x v="14"/>
    <m/>
    <n v="23"/>
    <n v="12"/>
    <n v="4"/>
    <n v="7"/>
    <n v="6"/>
    <m/>
    <m/>
  </r>
  <r>
    <x v="15"/>
    <x v="21"/>
    <x v="15"/>
    <m/>
    <n v="16"/>
    <n v="7"/>
    <n v="15"/>
    <n v="8"/>
    <n v="10"/>
    <m/>
    <m/>
  </r>
  <r>
    <x v="15"/>
    <x v="22"/>
    <x v="16"/>
    <m/>
    <n v="39"/>
    <n v="10"/>
    <n v="5"/>
    <n v="5"/>
    <n v="12"/>
    <m/>
    <m/>
  </r>
  <r>
    <x v="15"/>
    <x v="27"/>
    <x v="17"/>
    <m/>
    <n v="20"/>
    <n v="3"/>
    <n v="5"/>
    <n v="2"/>
    <n v="9"/>
    <m/>
    <m/>
  </r>
  <r>
    <x v="16"/>
    <x v="15"/>
    <x v="3"/>
    <n v="584"/>
    <m/>
    <m/>
    <m/>
    <m/>
    <m/>
    <n v="138250"/>
    <m/>
  </r>
  <r>
    <x v="16"/>
    <x v="15"/>
    <x v="8"/>
    <n v="385"/>
    <m/>
    <m/>
    <m/>
    <m/>
    <m/>
    <n v="143060"/>
    <m/>
  </r>
  <r>
    <x v="16"/>
    <x v="15"/>
    <x v="4"/>
    <n v="736"/>
    <m/>
    <m/>
    <m/>
    <m/>
    <m/>
    <n v="601000"/>
    <m/>
  </r>
  <r>
    <x v="16"/>
    <x v="15"/>
    <x v="6"/>
    <n v="358"/>
    <m/>
    <m/>
    <m/>
    <m/>
    <m/>
    <n v="134000"/>
    <m/>
  </r>
  <r>
    <x v="16"/>
    <x v="15"/>
    <x v="11"/>
    <n v="357"/>
    <m/>
    <m/>
    <m/>
    <m/>
    <m/>
    <n v="362550"/>
    <m/>
  </r>
  <r>
    <x v="16"/>
    <x v="15"/>
    <x v="10"/>
    <n v="276"/>
    <m/>
    <m/>
    <m/>
    <m/>
    <m/>
    <n v="177950"/>
    <m/>
  </r>
  <r>
    <x v="16"/>
    <x v="15"/>
    <x v="0"/>
    <n v="436"/>
    <m/>
    <m/>
    <m/>
    <m/>
    <m/>
    <n v="687400"/>
    <m/>
  </r>
  <r>
    <x v="16"/>
    <x v="15"/>
    <x v="5"/>
    <n v="333"/>
    <m/>
    <m/>
    <m/>
    <m/>
    <m/>
    <n v="158400"/>
    <m/>
  </r>
  <r>
    <x v="16"/>
    <x v="15"/>
    <x v="9"/>
    <n v="341"/>
    <m/>
    <m/>
    <m/>
    <m/>
    <m/>
    <n v="335400"/>
    <m/>
  </r>
  <r>
    <x v="16"/>
    <x v="15"/>
    <x v="7"/>
    <n v="381"/>
    <m/>
    <m/>
    <m/>
    <m/>
    <m/>
    <n v="239150"/>
    <m/>
  </r>
  <r>
    <x v="16"/>
    <x v="15"/>
    <x v="2"/>
    <n v="731"/>
    <m/>
    <m/>
    <m/>
    <m/>
    <m/>
    <n v="473950"/>
    <m/>
  </r>
  <r>
    <x v="16"/>
    <x v="15"/>
    <x v="1"/>
    <n v="396"/>
    <m/>
    <m/>
    <m/>
    <m/>
    <m/>
    <n v="338400"/>
    <m/>
  </r>
  <r>
    <x v="16"/>
    <x v="15"/>
    <x v="12"/>
    <n v="392"/>
    <m/>
    <m/>
    <m/>
    <m/>
    <m/>
    <n v="246400"/>
    <m/>
  </r>
  <r>
    <x v="16"/>
    <x v="15"/>
    <x v="13"/>
    <n v="505"/>
    <m/>
    <m/>
    <m/>
    <m/>
    <m/>
    <n v="93300"/>
    <m/>
  </r>
  <r>
    <x v="16"/>
    <x v="15"/>
    <x v="14"/>
    <n v="559"/>
    <m/>
    <m/>
    <m/>
    <m/>
    <m/>
    <n v="150350"/>
    <m/>
  </r>
  <r>
    <x v="16"/>
    <x v="15"/>
    <x v="15"/>
    <n v="441"/>
    <m/>
    <m/>
    <m/>
    <m/>
    <m/>
    <n v="66950"/>
    <m/>
  </r>
  <r>
    <x v="16"/>
    <x v="15"/>
    <x v="16"/>
    <n v="714"/>
    <m/>
    <m/>
    <m/>
    <m/>
    <m/>
    <n v="170420"/>
    <m/>
  </r>
  <r>
    <x v="16"/>
    <x v="15"/>
    <x v="17"/>
    <n v="243"/>
    <m/>
    <m/>
    <m/>
    <m/>
    <m/>
    <n v="149500"/>
    <m/>
  </r>
  <r>
    <x v="16"/>
    <x v="15"/>
    <x v="18"/>
    <n v="249"/>
    <m/>
    <m/>
    <m/>
    <m/>
    <m/>
    <n v="133850"/>
    <m/>
  </r>
  <r>
    <x v="16"/>
    <x v="13"/>
    <x v="0"/>
    <m/>
    <n v="0"/>
    <n v="0"/>
    <n v="4"/>
    <n v="0"/>
    <n v="2"/>
    <m/>
    <m/>
  </r>
  <r>
    <x v="16"/>
    <x v="29"/>
    <x v="0"/>
    <m/>
    <n v="47"/>
    <n v="2"/>
    <n v="20"/>
    <n v="2"/>
    <n v="19"/>
    <m/>
    <m/>
  </r>
  <r>
    <x v="16"/>
    <x v="0"/>
    <x v="0"/>
    <m/>
    <n v="33"/>
    <n v="2"/>
    <n v="68"/>
    <n v="5"/>
    <n v="26"/>
    <m/>
    <m/>
  </r>
  <r>
    <x v="16"/>
    <x v="28"/>
    <x v="10"/>
    <m/>
    <n v="34"/>
    <n v="4"/>
    <n v="40"/>
    <n v="1"/>
    <n v="12"/>
    <m/>
    <m/>
  </r>
  <r>
    <x v="16"/>
    <x v="28"/>
    <x v="0"/>
    <m/>
    <n v="3"/>
    <n v="1"/>
    <n v="2"/>
    <n v="1"/>
    <n v="3"/>
    <m/>
    <m/>
  </r>
  <r>
    <x v="16"/>
    <x v="13"/>
    <x v="10"/>
    <m/>
    <n v="0"/>
    <n v="0"/>
    <n v="0"/>
    <n v="0"/>
    <n v="2"/>
    <m/>
    <m/>
  </r>
  <r>
    <x v="16"/>
    <x v="7"/>
    <x v="2"/>
    <m/>
    <n v="41"/>
    <n v="14"/>
    <n v="38"/>
    <n v="15"/>
    <n v="24"/>
    <m/>
    <m/>
  </r>
  <r>
    <x v="16"/>
    <x v="25"/>
    <x v="2"/>
    <m/>
    <n v="40"/>
    <n v="14"/>
    <n v="33"/>
    <n v="10"/>
    <n v="10"/>
    <m/>
    <m/>
  </r>
  <r>
    <x v="16"/>
    <x v="4"/>
    <x v="5"/>
    <m/>
    <n v="36"/>
    <n v="10"/>
    <n v="37"/>
    <n v="2"/>
    <n v="12"/>
    <m/>
    <m/>
  </r>
  <r>
    <x v="16"/>
    <x v="4"/>
    <x v="6"/>
    <m/>
    <n v="18"/>
    <n v="3"/>
    <n v="18"/>
    <n v="1"/>
    <n v="6"/>
    <m/>
    <m/>
  </r>
  <r>
    <x v="16"/>
    <x v="11"/>
    <x v="6"/>
    <m/>
    <n v="13"/>
    <n v="3"/>
    <n v="18"/>
    <n v="1"/>
    <n v="5"/>
    <m/>
    <m/>
  </r>
  <r>
    <x v="16"/>
    <x v="11"/>
    <x v="3"/>
    <m/>
    <n v="24"/>
    <n v="1"/>
    <n v="15"/>
    <n v="0"/>
    <n v="3"/>
    <m/>
    <m/>
  </r>
  <r>
    <x v="16"/>
    <x v="3"/>
    <x v="3"/>
    <m/>
    <n v="21"/>
    <n v="1"/>
    <n v="28"/>
    <n v="6"/>
    <n v="7"/>
    <m/>
    <m/>
  </r>
  <r>
    <x v="16"/>
    <x v="3"/>
    <x v="4"/>
    <m/>
    <n v="27"/>
    <n v="7"/>
    <n v="33"/>
    <n v="9"/>
    <n v="19"/>
    <m/>
    <m/>
  </r>
  <r>
    <x v="16"/>
    <x v="16"/>
    <x v="4"/>
    <m/>
    <n v="32"/>
    <n v="6"/>
    <n v="43"/>
    <n v="14"/>
    <n v="14"/>
    <m/>
    <m/>
  </r>
  <r>
    <x v="16"/>
    <x v="13"/>
    <x v="4"/>
    <m/>
    <n v="32"/>
    <n v="12"/>
    <n v="9"/>
    <n v="4"/>
    <n v="9"/>
    <m/>
    <m/>
  </r>
  <r>
    <x v="16"/>
    <x v="10"/>
    <x v="9"/>
    <m/>
    <n v="22"/>
    <n v="1"/>
    <n v="33"/>
    <n v="4"/>
    <n v="11"/>
    <m/>
    <m/>
  </r>
  <r>
    <x v="16"/>
    <x v="12"/>
    <x v="9"/>
    <m/>
    <n v="22"/>
    <n v="0"/>
    <n v="54"/>
    <n v="2"/>
    <n v="12"/>
    <m/>
    <m/>
  </r>
  <r>
    <x v="16"/>
    <x v="31"/>
    <x v="1"/>
    <m/>
    <n v="16"/>
    <n v="22"/>
    <n v="14"/>
    <n v="6"/>
    <n v="9"/>
    <m/>
    <m/>
  </r>
  <r>
    <x v="16"/>
    <x v="23"/>
    <x v="1"/>
    <m/>
    <n v="18"/>
    <n v="19"/>
    <n v="14"/>
    <n v="8"/>
    <n v="16"/>
    <m/>
    <m/>
  </r>
  <r>
    <x v="16"/>
    <x v="14"/>
    <x v="11"/>
    <m/>
    <n v="42"/>
    <n v="6"/>
    <n v="46"/>
    <n v="0"/>
    <n v="25"/>
    <m/>
    <m/>
  </r>
  <r>
    <x v="16"/>
    <x v="17"/>
    <x v="8"/>
    <m/>
    <n v="36"/>
    <n v="1"/>
    <n v="38"/>
    <n v="2"/>
    <n v="11"/>
    <m/>
    <m/>
  </r>
  <r>
    <x v="16"/>
    <x v="5"/>
    <x v="7"/>
    <m/>
    <n v="32"/>
    <n v="20"/>
    <n v="28"/>
    <n v="12"/>
    <n v="16"/>
    <m/>
    <m/>
  </r>
  <r>
    <x v="16"/>
    <x v="32"/>
    <x v="7"/>
    <m/>
    <n v="15"/>
    <n v="0"/>
    <n v="1"/>
    <n v="0"/>
    <n v="1"/>
    <m/>
    <m/>
  </r>
  <r>
    <x v="16"/>
    <x v="18"/>
    <x v="12"/>
    <m/>
    <n v="27"/>
    <n v="16"/>
    <n v="16"/>
    <n v="6"/>
    <n v="8"/>
    <m/>
    <m/>
  </r>
  <r>
    <x v="16"/>
    <x v="30"/>
    <x v="12"/>
    <m/>
    <n v="10"/>
    <n v="14"/>
    <n v="7"/>
    <n v="2"/>
    <n v="9"/>
    <m/>
    <m/>
  </r>
  <r>
    <x v="16"/>
    <x v="19"/>
    <x v="13"/>
    <m/>
    <n v="30"/>
    <n v="5"/>
    <n v="15"/>
    <n v="5"/>
    <n v="7"/>
    <m/>
    <m/>
  </r>
  <r>
    <x v="16"/>
    <x v="20"/>
    <x v="14"/>
    <m/>
    <n v="20"/>
    <n v="16"/>
    <n v="4"/>
    <n v="7"/>
    <n v="4"/>
    <m/>
    <m/>
  </r>
  <r>
    <x v="16"/>
    <x v="24"/>
    <x v="14"/>
    <m/>
    <n v="24"/>
    <n v="11"/>
    <n v="12"/>
    <n v="7"/>
    <n v="7"/>
    <m/>
    <m/>
  </r>
  <r>
    <x v="16"/>
    <x v="21"/>
    <x v="15"/>
    <m/>
    <n v="32"/>
    <n v="10"/>
    <n v="20"/>
    <n v="8"/>
    <n v="5"/>
    <m/>
    <m/>
  </r>
  <r>
    <x v="16"/>
    <x v="22"/>
    <x v="16"/>
    <m/>
    <n v="38"/>
    <n v="8"/>
    <n v="11"/>
    <n v="1"/>
    <n v="13"/>
    <m/>
    <m/>
  </r>
  <r>
    <x v="16"/>
    <x v="27"/>
    <x v="17"/>
    <m/>
    <n v="17"/>
    <n v="7"/>
    <n v="10"/>
    <n v="2"/>
    <n v="12"/>
    <m/>
    <m/>
  </r>
  <r>
    <x v="16"/>
    <x v="33"/>
    <x v="18"/>
    <m/>
    <n v="23"/>
    <n v="5"/>
    <n v="4"/>
    <n v="2"/>
    <n v="10"/>
    <m/>
    <m/>
  </r>
  <r>
    <x v="17"/>
    <x v="15"/>
    <x v="3"/>
    <n v="531"/>
    <m/>
    <m/>
    <m/>
    <m/>
    <m/>
    <n v="117500"/>
    <m/>
  </r>
  <r>
    <x v="17"/>
    <x v="15"/>
    <x v="8"/>
    <n v="350"/>
    <m/>
    <m/>
    <m/>
    <m/>
    <m/>
    <n v="144250"/>
    <m/>
  </r>
  <r>
    <x v="17"/>
    <x v="15"/>
    <x v="4"/>
    <n v="684"/>
    <m/>
    <m/>
    <m/>
    <m/>
    <m/>
    <n v="654350"/>
    <m/>
  </r>
  <r>
    <x v="17"/>
    <x v="15"/>
    <x v="6"/>
    <n v="300"/>
    <m/>
    <m/>
    <m/>
    <m/>
    <m/>
    <n v="150000"/>
    <m/>
  </r>
  <r>
    <x v="17"/>
    <x v="15"/>
    <x v="11"/>
    <n v="322"/>
    <m/>
    <m/>
    <m/>
    <m/>
    <m/>
    <n v="365500"/>
    <m/>
  </r>
  <r>
    <x v="17"/>
    <x v="15"/>
    <x v="10"/>
    <n v="283"/>
    <m/>
    <m/>
    <m/>
    <m/>
    <m/>
    <n v="128000"/>
    <m/>
  </r>
  <r>
    <x v="17"/>
    <x v="15"/>
    <x v="0"/>
    <n v="452"/>
    <m/>
    <m/>
    <m/>
    <m/>
    <m/>
    <n v="488650"/>
    <m/>
  </r>
  <r>
    <x v="17"/>
    <x v="15"/>
    <x v="5"/>
    <n v="300"/>
    <m/>
    <m/>
    <m/>
    <m/>
    <m/>
    <n v="169900"/>
    <m/>
  </r>
  <r>
    <x v="17"/>
    <x v="15"/>
    <x v="9"/>
    <n v="367"/>
    <m/>
    <m/>
    <m/>
    <m/>
    <m/>
    <n v="307400"/>
    <m/>
  </r>
  <r>
    <x v="17"/>
    <x v="15"/>
    <x v="7"/>
    <n v="343"/>
    <m/>
    <m/>
    <m/>
    <m/>
    <m/>
    <n v="202800"/>
    <m/>
  </r>
  <r>
    <x v="17"/>
    <x v="15"/>
    <x v="2"/>
    <n v="632"/>
    <m/>
    <m/>
    <m/>
    <m/>
    <m/>
    <n v="419700"/>
    <m/>
  </r>
  <r>
    <x v="17"/>
    <x v="15"/>
    <x v="1"/>
    <n v="401"/>
    <m/>
    <m/>
    <m/>
    <m/>
    <m/>
    <n v="251000"/>
    <m/>
  </r>
  <r>
    <x v="17"/>
    <x v="15"/>
    <x v="12"/>
    <n v="372"/>
    <m/>
    <m/>
    <m/>
    <m/>
    <m/>
    <n v="184850"/>
    <m/>
  </r>
  <r>
    <x v="17"/>
    <x v="15"/>
    <x v="13"/>
    <n v="454"/>
    <m/>
    <m/>
    <m/>
    <m/>
    <m/>
    <n v="106500"/>
    <m/>
  </r>
  <r>
    <x v="17"/>
    <x v="15"/>
    <x v="14"/>
    <n v="506"/>
    <m/>
    <m/>
    <m/>
    <m/>
    <m/>
    <n v="149300"/>
    <m/>
  </r>
  <r>
    <x v="17"/>
    <x v="15"/>
    <x v="15"/>
    <n v="445"/>
    <m/>
    <m/>
    <m/>
    <m/>
    <m/>
    <n v="109050"/>
    <m/>
  </r>
  <r>
    <x v="17"/>
    <x v="15"/>
    <x v="16"/>
    <n v="609"/>
    <m/>
    <m/>
    <m/>
    <m/>
    <m/>
    <n v="154950"/>
    <m/>
  </r>
  <r>
    <x v="17"/>
    <x v="15"/>
    <x v="17"/>
    <n v="240"/>
    <m/>
    <m/>
    <m/>
    <m/>
    <m/>
    <n v="88000"/>
    <m/>
  </r>
  <r>
    <x v="17"/>
    <x v="15"/>
    <x v="18"/>
    <n v="255"/>
    <m/>
    <m/>
    <m/>
    <m/>
    <m/>
    <n v="105900"/>
    <m/>
  </r>
  <r>
    <x v="17"/>
    <x v="15"/>
    <x v="19"/>
    <n v="221"/>
    <m/>
    <m/>
    <m/>
    <m/>
    <m/>
    <n v="0"/>
    <m/>
  </r>
  <r>
    <x v="17"/>
    <x v="29"/>
    <x v="0"/>
    <m/>
    <n v="32"/>
    <n v="4"/>
    <n v="16"/>
    <n v="2"/>
    <n v="14"/>
    <m/>
    <m/>
  </r>
  <r>
    <x v="17"/>
    <x v="0"/>
    <x v="0"/>
    <m/>
    <n v="55"/>
    <n v="9"/>
    <n v="59"/>
    <n v="2"/>
    <n v="19"/>
    <m/>
    <m/>
  </r>
  <r>
    <x v="17"/>
    <x v="28"/>
    <x v="10"/>
    <m/>
    <n v="31"/>
    <n v="3"/>
    <n v="42"/>
    <n v="2"/>
    <n v="10"/>
    <m/>
    <m/>
  </r>
  <r>
    <x v="17"/>
    <x v="28"/>
    <x v="0"/>
    <m/>
    <n v="0"/>
    <n v="1"/>
    <n v="0"/>
    <n v="1"/>
    <n v="2"/>
    <m/>
    <m/>
  </r>
  <r>
    <x v="17"/>
    <x v="7"/>
    <x v="2"/>
    <m/>
    <n v="35"/>
    <n v="9"/>
    <n v="37"/>
    <n v="27"/>
    <n v="26"/>
    <m/>
    <m/>
  </r>
  <r>
    <x v="17"/>
    <x v="25"/>
    <x v="2"/>
    <m/>
    <n v="33"/>
    <n v="14"/>
    <n v="17"/>
    <n v="13"/>
    <n v="4"/>
    <m/>
    <m/>
  </r>
  <r>
    <x v="17"/>
    <x v="4"/>
    <x v="5"/>
    <m/>
    <n v="43"/>
    <n v="6"/>
    <n v="28"/>
    <n v="4"/>
    <n v="13"/>
    <m/>
    <m/>
  </r>
  <r>
    <x v="17"/>
    <x v="4"/>
    <x v="6"/>
    <m/>
    <n v="24"/>
    <n v="0"/>
    <n v="10"/>
    <n v="3"/>
    <n v="5"/>
    <m/>
    <m/>
  </r>
  <r>
    <x v="17"/>
    <x v="11"/>
    <x v="6"/>
    <m/>
    <n v="19"/>
    <n v="4"/>
    <n v="15"/>
    <n v="2"/>
    <n v="7"/>
    <m/>
    <m/>
  </r>
  <r>
    <x v="17"/>
    <x v="11"/>
    <x v="3"/>
    <m/>
    <n v="19"/>
    <n v="6"/>
    <n v="18"/>
    <n v="3"/>
    <n v="3"/>
    <m/>
    <m/>
  </r>
  <r>
    <x v="17"/>
    <x v="3"/>
    <x v="3"/>
    <m/>
    <n v="25"/>
    <n v="4"/>
    <n v="17"/>
    <n v="3"/>
    <n v="6"/>
    <m/>
    <m/>
  </r>
  <r>
    <x v="17"/>
    <x v="3"/>
    <x v="4"/>
    <m/>
    <n v="23"/>
    <n v="8"/>
    <n v="31"/>
    <n v="2"/>
    <n v="13"/>
    <m/>
    <m/>
  </r>
  <r>
    <x v="17"/>
    <x v="16"/>
    <x v="4"/>
    <m/>
    <n v="14"/>
    <n v="0"/>
    <n v="21"/>
    <n v="3"/>
    <n v="11"/>
    <m/>
    <m/>
  </r>
  <r>
    <x v="17"/>
    <x v="13"/>
    <x v="4"/>
    <m/>
    <n v="45"/>
    <n v="15"/>
    <n v="25"/>
    <n v="2"/>
    <n v="21"/>
    <m/>
    <m/>
  </r>
  <r>
    <x v="17"/>
    <x v="10"/>
    <x v="9"/>
    <m/>
    <n v="32"/>
    <n v="1"/>
    <n v="41"/>
    <n v="8"/>
    <n v="14"/>
    <m/>
    <m/>
  </r>
  <r>
    <x v="17"/>
    <x v="12"/>
    <x v="9"/>
    <m/>
    <n v="22"/>
    <n v="4"/>
    <n v="30"/>
    <n v="2"/>
    <n v="7"/>
    <m/>
    <m/>
  </r>
  <r>
    <x v="17"/>
    <x v="31"/>
    <x v="1"/>
    <m/>
    <n v="20"/>
    <n v="19"/>
    <n v="12"/>
    <n v="4"/>
    <n v="8"/>
    <m/>
    <m/>
  </r>
  <r>
    <x v="17"/>
    <x v="23"/>
    <x v="1"/>
    <m/>
    <n v="23"/>
    <n v="13"/>
    <n v="17"/>
    <n v="11"/>
    <n v="12"/>
    <m/>
    <m/>
  </r>
  <r>
    <x v="17"/>
    <x v="14"/>
    <x v="11"/>
    <m/>
    <n v="48"/>
    <n v="0"/>
    <n v="36"/>
    <n v="0"/>
    <n v="25"/>
    <m/>
    <m/>
  </r>
  <r>
    <x v="17"/>
    <x v="17"/>
    <x v="8"/>
    <m/>
    <n v="43"/>
    <n v="2"/>
    <n v="36"/>
    <n v="1"/>
    <n v="6"/>
    <m/>
    <m/>
  </r>
  <r>
    <x v="17"/>
    <x v="34"/>
    <x v="8"/>
    <m/>
    <n v="32"/>
    <n v="0"/>
    <n v="5"/>
    <n v="1"/>
    <n v="4"/>
    <m/>
    <m/>
  </r>
  <r>
    <x v="17"/>
    <x v="5"/>
    <x v="7"/>
    <m/>
    <n v="18"/>
    <n v="22"/>
    <n v="31"/>
    <n v="15"/>
    <n v="12"/>
    <m/>
    <m/>
  </r>
  <r>
    <x v="17"/>
    <x v="32"/>
    <x v="7"/>
    <m/>
    <n v="23"/>
    <n v="1"/>
    <n v="1"/>
    <n v="0"/>
    <n v="2"/>
    <m/>
    <m/>
  </r>
  <r>
    <x v="17"/>
    <x v="32"/>
    <x v="19"/>
    <m/>
    <n v="12"/>
    <n v="4"/>
    <n v="0"/>
    <n v="0"/>
    <n v="0"/>
    <m/>
    <m/>
  </r>
  <r>
    <x v="17"/>
    <x v="18"/>
    <x v="12"/>
    <m/>
    <n v="4"/>
    <n v="2"/>
    <n v="12"/>
    <n v="3"/>
    <n v="8"/>
    <m/>
    <m/>
  </r>
  <r>
    <x v="17"/>
    <x v="30"/>
    <x v="12"/>
    <m/>
    <n v="8"/>
    <n v="9"/>
    <n v="4"/>
    <n v="1"/>
    <n v="5"/>
    <m/>
    <m/>
  </r>
  <r>
    <x v="17"/>
    <x v="19"/>
    <x v="13"/>
    <m/>
    <n v="29"/>
    <n v="7"/>
    <n v="13"/>
    <n v="14"/>
    <n v="8"/>
    <m/>
    <m/>
  </r>
  <r>
    <x v="17"/>
    <x v="24"/>
    <x v="14"/>
    <m/>
    <n v="28"/>
    <n v="25"/>
    <n v="9"/>
    <n v="10"/>
    <n v="11"/>
    <m/>
    <m/>
  </r>
  <r>
    <x v="17"/>
    <x v="21"/>
    <x v="15"/>
    <m/>
    <n v="27"/>
    <n v="11"/>
    <n v="13"/>
    <n v="11"/>
    <n v="8"/>
    <m/>
    <m/>
  </r>
  <r>
    <x v="17"/>
    <x v="22"/>
    <x v="16"/>
    <m/>
    <n v="49"/>
    <n v="7"/>
    <n v="14"/>
    <n v="5"/>
    <n v="12"/>
    <m/>
    <m/>
  </r>
  <r>
    <x v="17"/>
    <x v="27"/>
    <x v="17"/>
    <m/>
    <n v="23"/>
    <n v="8"/>
    <n v="14"/>
    <n v="7"/>
    <n v="7"/>
    <m/>
    <m/>
  </r>
  <r>
    <x v="17"/>
    <x v="33"/>
    <x v="18"/>
    <m/>
    <n v="25"/>
    <n v="8"/>
    <n v="9"/>
    <n v="3"/>
    <n v="8"/>
    <m/>
    <m/>
  </r>
  <r>
    <x v="18"/>
    <x v="15"/>
    <x v="3"/>
    <n v="639"/>
    <m/>
    <m/>
    <m/>
    <m/>
    <m/>
    <n v="333700"/>
    <m/>
  </r>
  <r>
    <x v="18"/>
    <x v="15"/>
    <x v="8"/>
    <n v="422"/>
    <m/>
    <m/>
    <m/>
    <m/>
    <m/>
    <n v="224850"/>
    <m/>
  </r>
  <r>
    <x v="18"/>
    <x v="15"/>
    <x v="4"/>
    <n v="623"/>
    <m/>
    <m/>
    <m/>
    <m/>
    <m/>
    <n v="635650"/>
    <m/>
  </r>
  <r>
    <x v="18"/>
    <x v="15"/>
    <x v="6"/>
    <n v="359"/>
    <m/>
    <m/>
    <m/>
    <m/>
    <m/>
    <n v="165000"/>
    <m/>
  </r>
  <r>
    <x v="18"/>
    <x v="15"/>
    <x v="11"/>
    <n v="442"/>
    <m/>
    <m/>
    <m/>
    <m/>
    <m/>
    <n v="381750"/>
    <m/>
  </r>
  <r>
    <x v="18"/>
    <x v="15"/>
    <x v="10"/>
    <n v="321"/>
    <m/>
    <m/>
    <m/>
    <m/>
    <m/>
    <n v="126300"/>
    <m/>
  </r>
  <r>
    <x v="18"/>
    <x v="15"/>
    <x v="0"/>
    <n v="570"/>
    <m/>
    <m/>
    <m/>
    <m/>
    <m/>
    <n v="610150"/>
    <m/>
  </r>
  <r>
    <x v="18"/>
    <x v="15"/>
    <x v="5"/>
    <n v="381"/>
    <m/>
    <m/>
    <m/>
    <m/>
    <m/>
    <n v="185450"/>
    <m/>
  </r>
  <r>
    <x v="18"/>
    <x v="15"/>
    <x v="9"/>
    <n v="329"/>
    <m/>
    <m/>
    <m/>
    <m/>
    <m/>
    <n v="548300"/>
    <m/>
  </r>
  <r>
    <x v="18"/>
    <x v="15"/>
    <x v="7"/>
    <n v="433"/>
    <m/>
    <m/>
    <m/>
    <m/>
    <m/>
    <n v="298350"/>
    <m/>
  </r>
  <r>
    <x v="18"/>
    <x v="15"/>
    <x v="2"/>
    <n v="781"/>
    <m/>
    <m/>
    <m/>
    <m/>
    <m/>
    <n v="571850"/>
    <m/>
  </r>
  <r>
    <x v="18"/>
    <x v="15"/>
    <x v="1"/>
    <n v="517"/>
    <m/>
    <m/>
    <m/>
    <m/>
    <m/>
    <n v="258250"/>
    <m/>
  </r>
  <r>
    <x v="18"/>
    <x v="15"/>
    <x v="12"/>
    <n v="481"/>
    <m/>
    <m/>
    <m/>
    <m/>
    <m/>
    <n v="275850"/>
    <m/>
  </r>
  <r>
    <x v="18"/>
    <x v="15"/>
    <x v="13"/>
    <n v="573"/>
    <m/>
    <m/>
    <m/>
    <m/>
    <m/>
    <n v="185605"/>
    <m/>
  </r>
  <r>
    <x v="18"/>
    <x v="15"/>
    <x v="14"/>
    <n v="629"/>
    <m/>
    <m/>
    <m/>
    <m/>
    <m/>
    <n v="255750"/>
    <m/>
  </r>
  <r>
    <x v="18"/>
    <x v="15"/>
    <x v="15"/>
    <n v="479"/>
    <m/>
    <m/>
    <m/>
    <m/>
    <m/>
    <n v="147300"/>
    <m/>
  </r>
  <r>
    <x v="18"/>
    <x v="15"/>
    <x v="16"/>
    <n v="705"/>
    <m/>
    <m/>
    <m/>
    <m/>
    <m/>
    <n v="182980"/>
    <m/>
  </r>
  <r>
    <x v="18"/>
    <x v="15"/>
    <x v="17"/>
    <n v="308"/>
    <m/>
    <m/>
    <m/>
    <m/>
    <m/>
    <n v="177000"/>
    <m/>
  </r>
  <r>
    <x v="18"/>
    <x v="15"/>
    <x v="18"/>
    <n v="309"/>
    <m/>
    <m/>
    <m/>
    <m/>
    <m/>
    <n v="51500"/>
    <m/>
  </r>
  <r>
    <x v="18"/>
    <x v="15"/>
    <x v="19"/>
    <n v="258"/>
    <m/>
    <m/>
    <m/>
    <m/>
    <m/>
    <n v="26000"/>
    <m/>
  </r>
  <r>
    <x v="18"/>
    <x v="29"/>
    <x v="0"/>
    <m/>
    <n v="19"/>
    <n v="3"/>
    <n v="22"/>
    <n v="2"/>
    <n v="19"/>
    <m/>
    <m/>
  </r>
  <r>
    <x v="18"/>
    <x v="0"/>
    <x v="0"/>
    <m/>
    <n v="66"/>
    <n v="5"/>
    <n v="62"/>
    <n v="4"/>
    <n v="25"/>
    <m/>
    <m/>
  </r>
  <r>
    <x v="18"/>
    <x v="28"/>
    <x v="10"/>
    <m/>
    <n v="26"/>
    <n v="3"/>
    <n v="24"/>
    <n v="3"/>
    <n v="10"/>
    <m/>
    <m/>
  </r>
  <r>
    <x v="18"/>
    <x v="28"/>
    <x v="0"/>
    <m/>
    <n v="1"/>
    <n v="0"/>
    <n v="7"/>
    <n v="0"/>
    <n v="1"/>
    <m/>
    <m/>
  </r>
  <r>
    <x v="18"/>
    <x v="7"/>
    <x v="2"/>
    <m/>
    <n v="29"/>
    <n v="19"/>
    <n v="45"/>
    <n v="16"/>
    <n v="35"/>
    <m/>
    <m/>
  </r>
  <r>
    <x v="18"/>
    <x v="35"/>
    <x v="2"/>
    <m/>
    <n v="38"/>
    <n v="16"/>
    <n v="0"/>
    <n v="0"/>
    <n v="5"/>
    <m/>
    <m/>
  </r>
  <r>
    <x v="18"/>
    <x v="4"/>
    <x v="5"/>
    <m/>
    <n v="47"/>
    <n v="4"/>
    <n v="28"/>
    <n v="5"/>
    <n v="14"/>
    <m/>
    <m/>
  </r>
  <r>
    <x v="18"/>
    <x v="4"/>
    <x v="6"/>
    <m/>
    <n v="18"/>
    <n v="1"/>
    <n v="7"/>
    <n v="1"/>
    <n v="8"/>
    <m/>
    <m/>
  </r>
  <r>
    <x v="18"/>
    <x v="11"/>
    <x v="6"/>
    <m/>
    <n v="20"/>
    <n v="2"/>
    <n v="19"/>
    <n v="1"/>
    <n v="5"/>
    <m/>
    <m/>
  </r>
  <r>
    <x v="18"/>
    <x v="11"/>
    <x v="3"/>
    <m/>
    <n v="23"/>
    <n v="8"/>
    <n v="18"/>
    <n v="4"/>
    <n v="9"/>
    <m/>
    <m/>
  </r>
  <r>
    <x v="18"/>
    <x v="3"/>
    <x v="3"/>
    <m/>
    <n v="37"/>
    <n v="7"/>
    <n v="35"/>
    <n v="2"/>
    <n v="16"/>
    <m/>
    <m/>
  </r>
  <r>
    <x v="18"/>
    <x v="3"/>
    <x v="4"/>
    <m/>
    <n v="22"/>
    <n v="11"/>
    <n v="32"/>
    <n v="9"/>
    <n v="20"/>
    <m/>
    <m/>
  </r>
  <r>
    <x v="18"/>
    <x v="16"/>
    <x v="4"/>
    <m/>
    <n v="29"/>
    <n v="9"/>
    <n v="32"/>
    <n v="8"/>
    <n v="15"/>
    <m/>
    <m/>
  </r>
  <r>
    <x v="18"/>
    <x v="13"/>
    <x v="4"/>
    <m/>
    <n v="22"/>
    <n v="14"/>
    <n v="13"/>
    <n v="1"/>
    <n v="8"/>
    <m/>
    <m/>
  </r>
  <r>
    <x v="18"/>
    <x v="10"/>
    <x v="9"/>
    <m/>
    <n v="32"/>
    <n v="4"/>
    <n v="45"/>
    <n v="9"/>
    <n v="20"/>
    <m/>
    <m/>
  </r>
  <r>
    <x v="18"/>
    <x v="12"/>
    <x v="9"/>
    <m/>
    <n v="28"/>
    <n v="5"/>
    <n v="54"/>
    <n v="2"/>
    <n v="19"/>
    <m/>
    <m/>
  </r>
  <r>
    <x v="18"/>
    <x v="31"/>
    <x v="1"/>
    <m/>
    <n v="19"/>
    <n v="12"/>
    <n v="11"/>
    <n v="4"/>
    <n v="11"/>
    <m/>
    <m/>
  </r>
  <r>
    <x v="18"/>
    <x v="23"/>
    <x v="1"/>
    <m/>
    <n v="19"/>
    <n v="14"/>
    <n v="31"/>
    <n v="9"/>
    <n v="9"/>
    <m/>
    <m/>
  </r>
  <r>
    <x v="18"/>
    <x v="14"/>
    <x v="11"/>
    <m/>
    <n v="49"/>
    <n v="0"/>
    <n v="50"/>
    <n v="0"/>
    <n v="27"/>
    <m/>
    <m/>
  </r>
  <r>
    <x v="18"/>
    <x v="17"/>
    <x v="8"/>
    <m/>
    <n v="40"/>
    <n v="3"/>
    <n v="41"/>
    <n v="0"/>
    <n v="12"/>
    <m/>
    <m/>
  </r>
  <r>
    <x v="18"/>
    <x v="34"/>
    <x v="8"/>
    <m/>
    <n v="5"/>
    <n v="3"/>
    <n v="8"/>
    <n v="2"/>
    <n v="4"/>
    <m/>
    <m/>
  </r>
  <r>
    <x v="18"/>
    <x v="5"/>
    <x v="7"/>
    <m/>
    <n v="24"/>
    <n v="16"/>
    <n v="31"/>
    <n v="14"/>
    <n v="19"/>
    <m/>
    <m/>
  </r>
  <r>
    <x v="18"/>
    <x v="32"/>
    <x v="7"/>
    <m/>
    <n v="0"/>
    <n v="0"/>
    <n v="4"/>
    <n v="0"/>
    <n v="3"/>
    <m/>
    <m/>
  </r>
  <r>
    <x v="18"/>
    <x v="32"/>
    <x v="19"/>
    <m/>
    <n v="15"/>
    <n v="15"/>
    <n v="1"/>
    <n v="0"/>
    <n v="2"/>
    <m/>
    <m/>
  </r>
  <r>
    <x v="18"/>
    <x v="18"/>
    <x v="12"/>
    <m/>
    <n v="21"/>
    <n v="3"/>
    <n v="14"/>
    <n v="9"/>
    <n v="10"/>
    <m/>
    <m/>
  </r>
  <r>
    <x v="18"/>
    <x v="30"/>
    <x v="12"/>
    <m/>
    <n v="32"/>
    <n v="13"/>
    <n v="11"/>
    <n v="6"/>
    <n v="10"/>
    <m/>
    <m/>
  </r>
  <r>
    <x v="18"/>
    <x v="19"/>
    <x v="13"/>
    <m/>
    <n v="38"/>
    <n v="14"/>
    <n v="18"/>
    <n v="10"/>
    <n v="14"/>
    <m/>
    <m/>
  </r>
  <r>
    <x v="18"/>
    <x v="24"/>
    <x v="14"/>
    <m/>
    <n v="59"/>
    <n v="36"/>
    <n v="17"/>
    <n v="20"/>
    <n v="19"/>
    <m/>
    <m/>
  </r>
  <r>
    <x v="18"/>
    <x v="21"/>
    <x v="15"/>
    <m/>
    <n v="34"/>
    <n v="15"/>
    <n v="15"/>
    <n v="12"/>
    <n v="11"/>
    <m/>
    <m/>
  </r>
  <r>
    <x v="18"/>
    <x v="22"/>
    <x v="16"/>
    <m/>
    <n v="52"/>
    <n v="8"/>
    <n v="14"/>
    <n v="4"/>
    <n v="15"/>
    <m/>
    <m/>
  </r>
  <r>
    <x v="18"/>
    <x v="27"/>
    <x v="17"/>
    <m/>
    <n v="24"/>
    <n v="12"/>
    <n v="11"/>
    <n v="4"/>
    <n v="14"/>
    <m/>
    <m/>
  </r>
  <r>
    <x v="18"/>
    <x v="33"/>
    <x v="18"/>
    <m/>
    <n v="28"/>
    <n v="17"/>
    <n v="5"/>
    <n v="1"/>
    <n v="4"/>
    <m/>
    <m/>
  </r>
  <r>
    <x v="19"/>
    <x v="15"/>
    <x v="3"/>
    <n v="733"/>
    <m/>
    <m/>
    <m/>
    <m/>
    <m/>
    <n v="276600"/>
    <m/>
  </r>
  <r>
    <x v="19"/>
    <x v="15"/>
    <x v="8"/>
    <n v="457"/>
    <m/>
    <m/>
    <m/>
    <m/>
    <m/>
    <n v="216630"/>
    <m/>
  </r>
  <r>
    <x v="19"/>
    <x v="15"/>
    <x v="4"/>
    <n v="868"/>
    <m/>
    <m/>
    <m/>
    <m/>
    <m/>
    <n v="544550"/>
    <m/>
  </r>
  <r>
    <x v="19"/>
    <x v="15"/>
    <x v="6"/>
    <n v="438"/>
    <m/>
    <m/>
    <m/>
    <m/>
    <m/>
    <n v="147450"/>
    <m/>
  </r>
  <r>
    <x v="19"/>
    <x v="15"/>
    <x v="11"/>
    <n v="604"/>
    <m/>
    <m/>
    <m/>
    <m/>
    <m/>
    <n v="491050"/>
    <m/>
  </r>
  <r>
    <x v="19"/>
    <x v="15"/>
    <x v="10"/>
    <n v="369"/>
    <m/>
    <m/>
    <m/>
    <m/>
    <m/>
    <n v="206900"/>
    <m/>
  </r>
  <r>
    <x v="19"/>
    <x v="15"/>
    <x v="0"/>
    <n v="629"/>
    <m/>
    <m/>
    <m/>
    <m/>
    <m/>
    <n v="442950"/>
    <m/>
  </r>
  <r>
    <x v="19"/>
    <x v="15"/>
    <x v="5"/>
    <n v="408"/>
    <m/>
    <m/>
    <m/>
    <m/>
    <m/>
    <n v="174900"/>
    <m/>
  </r>
  <r>
    <x v="19"/>
    <x v="15"/>
    <x v="9"/>
    <n v="385"/>
    <m/>
    <m/>
    <m/>
    <m/>
    <m/>
    <n v="430500"/>
    <m/>
  </r>
  <r>
    <x v="19"/>
    <x v="15"/>
    <x v="7"/>
    <n v="467"/>
    <m/>
    <m/>
    <m/>
    <m/>
    <m/>
    <n v="142550"/>
    <m/>
  </r>
  <r>
    <x v="19"/>
    <x v="15"/>
    <x v="2"/>
    <n v="734"/>
    <m/>
    <m/>
    <m/>
    <m/>
    <m/>
    <n v="348750"/>
    <m/>
  </r>
  <r>
    <x v="19"/>
    <x v="15"/>
    <x v="1"/>
    <n v="477"/>
    <m/>
    <m/>
    <m/>
    <m/>
    <m/>
    <n v="280750"/>
    <m/>
  </r>
  <r>
    <x v="19"/>
    <x v="15"/>
    <x v="12"/>
    <n v="540"/>
    <m/>
    <m/>
    <m/>
    <m/>
    <m/>
    <n v="210400"/>
    <m/>
  </r>
  <r>
    <x v="19"/>
    <x v="15"/>
    <x v="13"/>
    <n v="625"/>
    <m/>
    <m/>
    <m/>
    <m/>
    <m/>
    <n v="103950"/>
    <m/>
  </r>
  <r>
    <x v="19"/>
    <x v="15"/>
    <x v="14"/>
    <n v="577"/>
    <m/>
    <m/>
    <m/>
    <m/>
    <m/>
    <n v="276050"/>
    <m/>
  </r>
  <r>
    <x v="19"/>
    <x v="15"/>
    <x v="15"/>
    <n v="528"/>
    <m/>
    <m/>
    <m/>
    <m/>
    <m/>
    <n v="55000"/>
    <m/>
  </r>
  <r>
    <x v="19"/>
    <x v="15"/>
    <x v="16"/>
    <n v="658"/>
    <m/>
    <m/>
    <m/>
    <m/>
    <m/>
    <n v="117990"/>
    <m/>
  </r>
  <r>
    <x v="19"/>
    <x v="15"/>
    <x v="17"/>
    <n v="390"/>
    <m/>
    <m/>
    <m/>
    <m/>
    <m/>
    <n v="149500"/>
    <m/>
  </r>
  <r>
    <x v="19"/>
    <x v="15"/>
    <x v="18"/>
    <n v="409"/>
    <m/>
    <m/>
    <m/>
    <m/>
    <m/>
    <n v="189450"/>
    <m/>
  </r>
  <r>
    <x v="19"/>
    <x v="15"/>
    <x v="19"/>
    <n v="391"/>
    <m/>
    <m/>
    <m/>
    <m/>
    <m/>
    <n v="39500"/>
    <m/>
  </r>
  <r>
    <x v="19"/>
    <x v="15"/>
    <x v="20"/>
    <n v="432"/>
    <m/>
    <m/>
    <m/>
    <m/>
    <m/>
    <n v="55450"/>
    <m/>
  </r>
  <r>
    <x v="19"/>
    <x v="29"/>
    <x v="0"/>
    <m/>
    <n v="28"/>
    <n v="4"/>
    <n v="19"/>
    <n v="9"/>
    <n v="14"/>
    <m/>
    <m/>
  </r>
  <r>
    <x v="19"/>
    <x v="0"/>
    <x v="0"/>
    <m/>
    <n v="73"/>
    <n v="5"/>
    <n v="36"/>
    <n v="9"/>
    <n v="18"/>
    <m/>
    <m/>
  </r>
  <r>
    <x v="19"/>
    <x v="13"/>
    <x v="10"/>
    <m/>
    <n v="2"/>
    <m/>
    <m/>
    <n v="2"/>
    <n v="3"/>
    <m/>
    <m/>
  </r>
  <r>
    <x v="19"/>
    <x v="28"/>
    <x v="10"/>
    <m/>
    <n v="38"/>
    <n v="4"/>
    <n v="27"/>
    <n v="2"/>
    <n v="13"/>
    <m/>
    <m/>
  </r>
  <r>
    <x v="19"/>
    <x v="28"/>
    <x v="0"/>
    <m/>
    <n v="0"/>
    <n v="0"/>
    <n v="1"/>
    <n v="1"/>
    <n v="0"/>
    <m/>
    <m/>
  </r>
  <r>
    <x v="19"/>
    <x v="7"/>
    <x v="2"/>
    <m/>
    <n v="27"/>
    <n v="8"/>
    <n v="49"/>
    <n v="19"/>
    <n v="17"/>
    <m/>
    <m/>
  </r>
  <r>
    <x v="19"/>
    <x v="35"/>
    <x v="2"/>
    <m/>
    <n v="37"/>
    <n v="24"/>
    <n v="10"/>
    <n v="6"/>
    <n v="8"/>
    <m/>
    <m/>
  </r>
  <r>
    <x v="19"/>
    <x v="4"/>
    <x v="5"/>
    <m/>
    <n v="48"/>
    <n v="8"/>
    <n v="28"/>
    <n v="1"/>
    <n v="13"/>
    <m/>
    <m/>
  </r>
  <r>
    <x v="19"/>
    <x v="4"/>
    <x v="6"/>
    <m/>
    <n v="25"/>
    <n v="5"/>
    <n v="19"/>
    <n v="2"/>
    <n v="10"/>
    <m/>
    <m/>
  </r>
  <r>
    <x v="19"/>
    <x v="11"/>
    <x v="6"/>
    <m/>
    <n v="11"/>
    <n v="1"/>
    <n v="4"/>
    <n v="1"/>
    <n v="2"/>
    <m/>
    <m/>
  </r>
  <r>
    <x v="19"/>
    <x v="11"/>
    <x v="3"/>
    <m/>
    <n v="13"/>
    <n v="3"/>
    <n v="11"/>
    <n v="1"/>
    <n v="4"/>
    <m/>
    <m/>
  </r>
  <r>
    <x v="19"/>
    <x v="3"/>
    <x v="3"/>
    <m/>
    <n v="53"/>
    <n v="9"/>
    <n v="33"/>
    <n v="3"/>
    <n v="16"/>
    <m/>
    <m/>
  </r>
  <r>
    <x v="19"/>
    <x v="3"/>
    <x v="4"/>
    <m/>
    <n v="26"/>
    <n v="5"/>
    <n v="15"/>
    <n v="5"/>
    <n v="12"/>
    <m/>
    <m/>
  </r>
  <r>
    <x v="19"/>
    <x v="16"/>
    <x v="4"/>
    <m/>
    <n v="24"/>
    <n v="12"/>
    <n v="26"/>
    <n v="6"/>
    <n v="8"/>
    <m/>
    <m/>
  </r>
  <r>
    <x v="19"/>
    <x v="13"/>
    <x v="4"/>
    <m/>
    <n v="50"/>
    <n v="7"/>
    <n v="16"/>
    <n v="7"/>
    <n v="18"/>
    <m/>
    <m/>
  </r>
  <r>
    <x v="19"/>
    <x v="10"/>
    <x v="9"/>
    <m/>
    <n v="36"/>
    <n v="2"/>
    <n v="48"/>
    <n v="9"/>
    <n v="13"/>
    <m/>
    <m/>
  </r>
  <r>
    <x v="19"/>
    <x v="12"/>
    <x v="9"/>
    <m/>
    <n v="45"/>
    <n v="4"/>
    <n v="53"/>
    <n v="8"/>
    <n v="18"/>
    <m/>
    <m/>
  </r>
  <r>
    <x v="19"/>
    <x v="31"/>
    <x v="1"/>
    <m/>
    <n v="26"/>
    <n v="8"/>
    <n v="9"/>
    <n v="8"/>
    <n v="8"/>
    <m/>
    <m/>
  </r>
  <r>
    <x v="19"/>
    <x v="23"/>
    <x v="1"/>
    <m/>
    <n v="46"/>
    <n v="12"/>
    <n v="26"/>
    <n v="7"/>
    <n v="13"/>
    <m/>
    <m/>
  </r>
  <r>
    <x v="19"/>
    <x v="14"/>
    <x v="11"/>
    <m/>
    <n v="56"/>
    <n v="0"/>
    <n v="45"/>
    <n v="0"/>
    <n v="32"/>
    <m/>
    <m/>
  </r>
  <r>
    <x v="19"/>
    <x v="17"/>
    <x v="8"/>
    <m/>
    <n v="48"/>
    <n v="1"/>
    <n v="51"/>
    <n v="1"/>
    <n v="15"/>
    <m/>
    <m/>
  </r>
  <r>
    <x v="19"/>
    <x v="5"/>
    <x v="7"/>
    <m/>
    <n v="14"/>
    <n v="18"/>
    <n v="26"/>
    <n v="8"/>
    <n v="10"/>
    <m/>
    <m/>
  </r>
  <r>
    <x v="19"/>
    <x v="32"/>
    <x v="7"/>
    <m/>
    <n v="26"/>
    <n v="1"/>
    <n v="3"/>
    <n v="0"/>
    <n v="0"/>
    <m/>
    <m/>
  </r>
  <r>
    <x v="19"/>
    <x v="32"/>
    <x v="19"/>
    <m/>
    <n v="13"/>
    <n v="10"/>
    <n v="2"/>
    <n v="2"/>
    <n v="3"/>
    <m/>
    <m/>
  </r>
  <r>
    <x v="19"/>
    <x v="18"/>
    <x v="12"/>
    <m/>
    <n v="22"/>
    <n v="2"/>
    <n v="45"/>
    <n v="10"/>
    <n v="6"/>
    <m/>
    <m/>
  </r>
  <r>
    <x v="19"/>
    <x v="30"/>
    <x v="12"/>
    <m/>
    <n v="28"/>
    <n v="14"/>
    <n v="16"/>
    <n v="4"/>
    <n v="9"/>
    <m/>
    <m/>
  </r>
  <r>
    <x v="19"/>
    <x v="19"/>
    <x v="13"/>
    <m/>
    <n v="44"/>
    <n v="10"/>
    <n v="22"/>
    <n v="7"/>
    <n v="8"/>
    <m/>
    <m/>
  </r>
  <r>
    <x v="19"/>
    <x v="24"/>
    <x v="14"/>
    <m/>
    <n v="20"/>
    <n v="28"/>
    <n v="13"/>
    <n v="44"/>
    <n v="20"/>
    <m/>
    <m/>
  </r>
  <r>
    <x v="19"/>
    <x v="21"/>
    <x v="15"/>
    <m/>
    <n v="41"/>
    <n v="13"/>
    <n v="23"/>
    <n v="16"/>
    <n v="4"/>
    <m/>
    <m/>
  </r>
  <r>
    <x v="19"/>
    <x v="22"/>
    <x v="16"/>
    <m/>
    <n v="42"/>
    <n v="17"/>
    <n v="15"/>
    <n v="1"/>
    <n v="10"/>
    <m/>
    <m/>
  </r>
  <r>
    <x v="19"/>
    <x v="27"/>
    <x v="17"/>
    <m/>
    <n v="32"/>
    <n v="12"/>
    <n v="6"/>
    <n v="0"/>
    <n v="12"/>
    <m/>
    <m/>
  </r>
  <r>
    <x v="19"/>
    <x v="33"/>
    <x v="18"/>
    <m/>
    <n v="27"/>
    <n v="12"/>
    <n v="14"/>
    <n v="9"/>
    <n v="15"/>
    <m/>
    <m/>
  </r>
  <r>
    <x v="19"/>
    <x v="36"/>
    <x v="20"/>
    <m/>
    <n v="27"/>
    <n v="2"/>
    <n v="0"/>
    <n v="0"/>
    <n v="4"/>
    <m/>
    <m/>
  </r>
  <r>
    <x v="20"/>
    <x v="15"/>
    <x v="3"/>
    <n v="749"/>
    <m/>
    <m/>
    <m/>
    <m/>
    <m/>
    <n v="195600"/>
    <m/>
  </r>
  <r>
    <x v="20"/>
    <x v="15"/>
    <x v="8"/>
    <n v="516"/>
    <m/>
    <m/>
    <m/>
    <m/>
    <m/>
    <n v="199530"/>
    <m/>
  </r>
  <r>
    <x v="20"/>
    <x v="15"/>
    <x v="4"/>
    <n v="951"/>
    <m/>
    <m/>
    <m/>
    <m/>
    <m/>
    <n v="540350"/>
    <m/>
  </r>
  <r>
    <x v="20"/>
    <x v="15"/>
    <x v="6"/>
    <n v="469"/>
    <m/>
    <m/>
    <m/>
    <m/>
    <m/>
    <n v="140900"/>
    <m/>
  </r>
  <r>
    <x v="20"/>
    <x v="15"/>
    <x v="11"/>
    <n v="544"/>
    <m/>
    <m/>
    <m/>
    <m/>
    <m/>
    <n v="525750"/>
    <m/>
  </r>
  <r>
    <x v="20"/>
    <x v="15"/>
    <x v="10"/>
    <n v="420"/>
    <m/>
    <m/>
    <m/>
    <m/>
    <m/>
    <n v="158700"/>
    <m/>
  </r>
  <r>
    <x v="20"/>
    <x v="15"/>
    <x v="0"/>
    <n v="663"/>
    <m/>
    <m/>
    <m/>
    <m/>
    <m/>
    <n v="414900"/>
    <m/>
  </r>
  <r>
    <x v="20"/>
    <x v="15"/>
    <x v="5"/>
    <n v="480"/>
    <m/>
    <m/>
    <m/>
    <m/>
    <m/>
    <n v="201250"/>
    <m/>
  </r>
  <r>
    <x v="20"/>
    <x v="15"/>
    <x v="9"/>
    <n v="352"/>
    <m/>
    <m/>
    <m/>
    <m/>
    <m/>
    <n v="330200"/>
    <m/>
  </r>
  <r>
    <x v="20"/>
    <x v="15"/>
    <x v="7"/>
    <n v="557"/>
    <m/>
    <m/>
    <m/>
    <m/>
    <m/>
    <n v="251750"/>
    <m/>
  </r>
  <r>
    <x v="20"/>
    <x v="15"/>
    <x v="2"/>
    <n v="776"/>
    <m/>
    <m/>
    <m/>
    <m/>
    <m/>
    <n v="369350"/>
    <m/>
  </r>
  <r>
    <x v="20"/>
    <x v="15"/>
    <x v="1"/>
    <n v="610"/>
    <m/>
    <m/>
    <m/>
    <m/>
    <m/>
    <n v="400400"/>
    <m/>
  </r>
  <r>
    <x v="20"/>
    <x v="15"/>
    <x v="12"/>
    <n v="528"/>
    <m/>
    <m/>
    <m/>
    <m/>
    <m/>
    <n v="185650"/>
    <m/>
  </r>
  <r>
    <x v="20"/>
    <x v="15"/>
    <x v="13"/>
    <n v="628"/>
    <m/>
    <m/>
    <m/>
    <m/>
    <m/>
    <n v="160200"/>
    <m/>
  </r>
  <r>
    <x v="20"/>
    <x v="15"/>
    <x v="14"/>
    <n v="692"/>
    <m/>
    <m/>
    <m/>
    <m/>
    <m/>
    <n v="217800"/>
    <m/>
  </r>
  <r>
    <x v="20"/>
    <x v="15"/>
    <x v="15"/>
    <n v="554"/>
    <m/>
    <m/>
    <m/>
    <m/>
    <m/>
    <n v="126750"/>
    <m/>
  </r>
  <r>
    <x v="20"/>
    <x v="15"/>
    <x v="16"/>
    <n v="816"/>
    <m/>
    <m/>
    <m/>
    <m/>
    <m/>
    <n v="123980"/>
    <m/>
  </r>
  <r>
    <x v="20"/>
    <x v="15"/>
    <x v="17"/>
    <n v="361"/>
    <m/>
    <m/>
    <m/>
    <m/>
    <m/>
    <n v="152500"/>
    <m/>
  </r>
  <r>
    <x v="20"/>
    <x v="15"/>
    <x v="18"/>
    <n v="360"/>
    <m/>
    <m/>
    <m/>
    <m/>
    <m/>
    <n v="146800"/>
    <m/>
  </r>
  <r>
    <x v="20"/>
    <x v="15"/>
    <x v="19"/>
    <n v="473"/>
    <m/>
    <m/>
    <m/>
    <m/>
    <m/>
    <n v="0"/>
    <m/>
  </r>
  <r>
    <x v="20"/>
    <x v="15"/>
    <x v="20"/>
    <n v="444"/>
    <m/>
    <m/>
    <m/>
    <m/>
    <m/>
    <n v="141650"/>
    <m/>
  </r>
  <r>
    <x v="20"/>
    <x v="15"/>
    <x v="21"/>
    <n v="173"/>
    <m/>
    <m/>
    <m/>
    <m/>
    <m/>
    <n v="27000"/>
    <m/>
  </r>
  <r>
    <x v="20"/>
    <x v="29"/>
    <x v="0"/>
    <m/>
    <n v="26"/>
    <n v="9"/>
    <n v="26"/>
    <n v="6"/>
    <n v="12"/>
    <m/>
    <m/>
  </r>
  <r>
    <x v="20"/>
    <x v="0"/>
    <x v="0"/>
    <m/>
    <n v="73"/>
    <n v="5"/>
    <n v="51"/>
    <n v="0"/>
    <n v="19"/>
    <m/>
    <m/>
  </r>
  <r>
    <x v="20"/>
    <x v="28"/>
    <x v="10"/>
    <m/>
    <n v="24"/>
    <n v="3"/>
    <n v="23"/>
    <n v="2"/>
    <n v="12"/>
    <m/>
    <m/>
  </r>
  <r>
    <x v="20"/>
    <x v="7"/>
    <x v="2"/>
    <m/>
    <n v="20"/>
    <n v="4"/>
    <n v="26"/>
    <n v="12"/>
    <n v="12"/>
    <m/>
    <m/>
  </r>
  <r>
    <x v="20"/>
    <x v="35"/>
    <x v="2"/>
    <m/>
    <n v="36"/>
    <n v="8"/>
    <n v="10"/>
    <n v="5"/>
    <n v="14"/>
    <m/>
    <m/>
  </r>
  <r>
    <x v="20"/>
    <x v="4"/>
    <x v="5"/>
    <m/>
    <n v="63"/>
    <n v="5"/>
    <n v="29"/>
    <n v="8"/>
    <n v="15"/>
    <m/>
    <m/>
  </r>
  <r>
    <x v="20"/>
    <x v="4"/>
    <x v="6"/>
    <m/>
    <n v="19"/>
    <n v="3"/>
    <n v="17"/>
    <n v="1"/>
    <n v="8"/>
    <m/>
    <m/>
  </r>
  <r>
    <x v="20"/>
    <x v="11"/>
    <x v="6"/>
    <m/>
    <n v="29"/>
    <n v="6"/>
    <n v="14"/>
    <n v="3"/>
    <n v="3"/>
    <m/>
    <m/>
  </r>
  <r>
    <x v="20"/>
    <x v="11"/>
    <x v="3"/>
    <m/>
    <n v="19"/>
    <n v="5"/>
    <n v="7"/>
    <n v="0"/>
    <n v="1"/>
    <m/>
    <m/>
  </r>
  <r>
    <x v="20"/>
    <x v="3"/>
    <x v="3"/>
    <m/>
    <n v="43"/>
    <n v="4"/>
    <n v="26"/>
    <n v="1"/>
    <n v="14"/>
    <m/>
    <m/>
  </r>
  <r>
    <x v="20"/>
    <x v="3"/>
    <x v="4"/>
    <m/>
    <n v="28"/>
    <n v="10"/>
    <n v="38"/>
    <n v="7"/>
    <n v="14"/>
    <m/>
    <m/>
  </r>
  <r>
    <x v="20"/>
    <x v="16"/>
    <x v="4"/>
    <m/>
    <n v="33"/>
    <n v="7"/>
    <n v="30"/>
    <n v="3"/>
    <n v="12"/>
    <m/>
    <m/>
  </r>
  <r>
    <x v="20"/>
    <x v="13"/>
    <x v="4"/>
    <m/>
    <n v="29"/>
    <n v="1"/>
    <n v="18"/>
    <n v="4"/>
    <n v="12"/>
    <m/>
    <m/>
  </r>
  <r>
    <x v="20"/>
    <x v="10"/>
    <x v="9"/>
    <m/>
    <n v="45"/>
    <n v="3"/>
    <n v="37"/>
    <n v="1"/>
    <n v="10"/>
    <m/>
    <m/>
  </r>
  <r>
    <x v="20"/>
    <x v="12"/>
    <x v="9"/>
    <m/>
    <n v="25"/>
    <n v="2"/>
    <n v="34"/>
    <n v="3"/>
    <n v="13"/>
    <m/>
    <m/>
  </r>
  <r>
    <x v="20"/>
    <x v="31"/>
    <x v="1"/>
    <m/>
    <n v="22"/>
    <n v="6"/>
    <n v="12"/>
    <n v="3"/>
    <n v="8"/>
    <m/>
    <m/>
  </r>
  <r>
    <x v="20"/>
    <x v="23"/>
    <x v="1"/>
    <m/>
    <n v="36"/>
    <n v="10"/>
    <n v="23"/>
    <n v="5"/>
    <n v="22"/>
    <m/>
    <m/>
  </r>
  <r>
    <x v="20"/>
    <x v="14"/>
    <x v="11"/>
    <m/>
    <n v="52"/>
    <n v="0"/>
    <n v="37"/>
    <n v="0"/>
    <n v="35"/>
    <m/>
    <m/>
  </r>
  <r>
    <x v="20"/>
    <x v="13"/>
    <x v="8"/>
    <m/>
    <n v="43"/>
    <n v="0"/>
    <n v="3"/>
    <n v="0"/>
    <n v="10"/>
    <m/>
    <m/>
  </r>
  <r>
    <x v="20"/>
    <x v="17"/>
    <x v="8"/>
    <m/>
    <n v="10"/>
    <n v="0"/>
    <n v="74"/>
    <n v="7"/>
    <n v="5"/>
    <m/>
    <m/>
  </r>
  <r>
    <x v="20"/>
    <x v="5"/>
    <x v="7"/>
    <m/>
    <n v="27"/>
    <n v="25"/>
    <n v="32"/>
    <n v="15"/>
    <n v="17"/>
    <m/>
    <m/>
  </r>
  <r>
    <x v="20"/>
    <x v="32"/>
    <x v="7"/>
    <m/>
    <n v="3"/>
    <n v="0"/>
    <n v="0"/>
    <n v="2"/>
    <n v="1"/>
    <m/>
    <m/>
  </r>
  <r>
    <x v="20"/>
    <x v="32"/>
    <x v="19"/>
    <m/>
    <n v="9"/>
    <n v="6"/>
    <n v="0"/>
    <n v="2"/>
    <n v="0"/>
    <m/>
    <m/>
  </r>
  <r>
    <x v="20"/>
    <x v="18"/>
    <x v="12"/>
    <m/>
    <n v="2"/>
    <n v="0"/>
    <n v="0"/>
    <n v="0"/>
    <n v="1"/>
    <m/>
    <m/>
  </r>
  <r>
    <x v="20"/>
    <x v="30"/>
    <x v="12"/>
    <m/>
    <n v="19"/>
    <n v="6"/>
    <n v="16"/>
    <n v="8"/>
    <n v="12"/>
    <m/>
    <m/>
  </r>
  <r>
    <x v="20"/>
    <x v="19"/>
    <x v="13"/>
    <m/>
    <n v="39"/>
    <n v="12"/>
    <n v="30"/>
    <n v="9"/>
    <n v="12"/>
    <m/>
    <m/>
  </r>
  <r>
    <x v="20"/>
    <x v="24"/>
    <x v="14"/>
    <m/>
    <n v="32"/>
    <n v="27"/>
    <n v="21"/>
    <n v="29"/>
    <n v="16"/>
    <m/>
    <m/>
  </r>
  <r>
    <x v="20"/>
    <x v="21"/>
    <x v="15"/>
    <m/>
    <n v="38"/>
    <n v="11"/>
    <n v="25"/>
    <n v="9"/>
    <n v="9"/>
    <m/>
    <m/>
  </r>
  <r>
    <x v="20"/>
    <x v="22"/>
    <x v="16"/>
    <m/>
    <n v="57"/>
    <n v="9"/>
    <n v="16"/>
    <n v="3"/>
    <n v="10"/>
    <m/>
    <m/>
  </r>
  <r>
    <x v="20"/>
    <x v="27"/>
    <x v="17"/>
    <m/>
    <n v="28"/>
    <n v="16"/>
    <n v="13"/>
    <n v="7"/>
    <n v="12"/>
    <m/>
    <m/>
  </r>
  <r>
    <x v="20"/>
    <x v="33"/>
    <x v="18"/>
    <m/>
    <n v="29"/>
    <n v="14"/>
    <n v="11"/>
    <n v="10"/>
    <n v="11"/>
    <m/>
    <m/>
  </r>
  <r>
    <x v="20"/>
    <x v="0"/>
    <x v="20"/>
    <m/>
    <n v="1"/>
    <n v="0"/>
    <n v="0"/>
    <n v="0"/>
    <n v="1"/>
    <m/>
    <m/>
  </r>
  <r>
    <x v="20"/>
    <x v="28"/>
    <x v="20"/>
    <m/>
    <n v="6"/>
    <n v="0"/>
    <n v="1"/>
    <n v="0"/>
    <n v="2"/>
    <m/>
    <m/>
  </r>
  <r>
    <x v="20"/>
    <x v="29"/>
    <x v="20"/>
    <m/>
    <n v="15"/>
    <n v="0"/>
    <n v="0"/>
    <n v="0"/>
    <n v="5"/>
    <m/>
    <m/>
  </r>
  <r>
    <x v="20"/>
    <x v="13"/>
    <x v="20"/>
    <m/>
    <n v="2"/>
    <n v="0"/>
    <n v="0"/>
    <n v="0"/>
    <n v="2"/>
    <m/>
    <m/>
  </r>
  <r>
    <x v="20"/>
    <x v="37"/>
    <x v="21"/>
    <m/>
    <n v="0"/>
    <n v="8"/>
    <n v="0"/>
    <n v="0"/>
    <n v="2"/>
    <m/>
    <m/>
  </r>
  <r>
    <x v="21"/>
    <x v="15"/>
    <x v="3"/>
    <n v="712"/>
    <m/>
    <m/>
    <m/>
    <m/>
    <m/>
    <n v="188650"/>
    <m/>
  </r>
  <r>
    <x v="21"/>
    <x v="15"/>
    <x v="8"/>
    <n v="462"/>
    <m/>
    <m/>
    <m/>
    <m/>
    <m/>
    <n v="206200"/>
    <m/>
  </r>
  <r>
    <x v="21"/>
    <x v="15"/>
    <x v="4"/>
    <n v="861"/>
    <m/>
    <m/>
    <m/>
    <m/>
    <m/>
    <n v="499050"/>
    <m/>
  </r>
  <r>
    <x v="21"/>
    <x v="15"/>
    <x v="6"/>
    <n v="383"/>
    <m/>
    <m/>
    <m/>
    <m/>
    <m/>
    <n v="219400"/>
    <m/>
  </r>
  <r>
    <x v="21"/>
    <x v="15"/>
    <x v="11"/>
    <n v="488"/>
    <m/>
    <m/>
    <m/>
    <m/>
    <m/>
    <n v="543800"/>
    <m/>
  </r>
  <r>
    <x v="21"/>
    <x v="15"/>
    <x v="10"/>
    <n v="373"/>
    <m/>
    <m/>
    <m/>
    <m/>
    <m/>
    <n v="155450"/>
    <m/>
  </r>
  <r>
    <x v="21"/>
    <x v="15"/>
    <x v="0"/>
    <n v="733"/>
    <m/>
    <m/>
    <m/>
    <m/>
    <m/>
    <n v="407200"/>
    <m/>
  </r>
  <r>
    <x v="21"/>
    <x v="15"/>
    <x v="5"/>
    <n v="464"/>
    <m/>
    <m/>
    <m/>
    <m/>
    <m/>
    <n v="193900"/>
    <m/>
  </r>
  <r>
    <x v="21"/>
    <x v="15"/>
    <x v="9"/>
    <n v="389"/>
    <m/>
    <m/>
    <m/>
    <m/>
    <m/>
    <n v="217000"/>
    <m/>
  </r>
  <r>
    <x v="21"/>
    <x v="15"/>
    <x v="7"/>
    <n v="489"/>
    <m/>
    <m/>
    <m/>
    <m/>
    <m/>
    <n v="185300"/>
    <m/>
  </r>
  <r>
    <x v="21"/>
    <x v="15"/>
    <x v="2"/>
    <n v="658"/>
    <m/>
    <m/>
    <m/>
    <m/>
    <m/>
    <n v="431800"/>
    <m/>
  </r>
  <r>
    <x v="21"/>
    <x v="15"/>
    <x v="1"/>
    <n v="638"/>
    <m/>
    <m/>
    <m/>
    <m/>
    <m/>
    <n v="271300"/>
    <m/>
  </r>
  <r>
    <x v="21"/>
    <x v="15"/>
    <x v="12"/>
    <n v="541"/>
    <m/>
    <m/>
    <m/>
    <m/>
    <m/>
    <n v="153200"/>
    <m/>
  </r>
  <r>
    <x v="21"/>
    <x v="15"/>
    <x v="13"/>
    <n v="523"/>
    <m/>
    <m/>
    <m/>
    <m/>
    <m/>
    <n v="146150"/>
    <m/>
  </r>
  <r>
    <x v="21"/>
    <x v="15"/>
    <x v="14"/>
    <n v="766"/>
    <m/>
    <m/>
    <m/>
    <m/>
    <m/>
    <n v="280900"/>
    <m/>
  </r>
  <r>
    <x v="21"/>
    <x v="15"/>
    <x v="15"/>
    <n v="532"/>
    <m/>
    <m/>
    <m/>
    <m/>
    <m/>
    <n v="38900"/>
    <m/>
  </r>
  <r>
    <x v="21"/>
    <x v="15"/>
    <x v="16"/>
    <n v="865"/>
    <m/>
    <m/>
    <m/>
    <m/>
    <m/>
    <n v="130960"/>
    <m/>
  </r>
  <r>
    <x v="21"/>
    <x v="15"/>
    <x v="17"/>
    <n v="385"/>
    <m/>
    <m/>
    <m/>
    <m/>
    <m/>
    <n v="203500"/>
    <m/>
  </r>
  <r>
    <x v="21"/>
    <x v="15"/>
    <x v="18"/>
    <n v="437"/>
    <m/>
    <m/>
    <m/>
    <m/>
    <m/>
    <n v="210300"/>
    <m/>
  </r>
  <r>
    <x v="21"/>
    <x v="15"/>
    <x v="19"/>
    <n v="177"/>
    <m/>
    <m/>
    <m/>
    <m/>
    <m/>
    <n v="26000"/>
    <m/>
  </r>
  <r>
    <x v="21"/>
    <x v="15"/>
    <x v="20"/>
    <n v="475"/>
    <m/>
    <m/>
    <m/>
    <m/>
    <m/>
    <n v="158650"/>
    <m/>
  </r>
  <r>
    <x v="21"/>
    <x v="15"/>
    <x v="21"/>
    <n v="201"/>
    <m/>
    <m/>
    <m/>
    <m/>
    <m/>
    <n v="26000"/>
    <m/>
  </r>
  <r>
    <x v="21"/>
    <x v="29"/>
    <x v="0"/>
    <m/>
    <n v="18"/>
    <n v="8"/>
    <n v="23"/>
    <n v="0"/>
    <n v="9"/>
    <m/>
    <m/>
  </r>
  <r>
    <x v="21"/>
    <x v="0"/>
    <x v="0"/>
    <m/>
    <n v="50"/>
    <n v="12"/>
    <n v="40"/>
    <n v="5"/>
    <n v="21"/>
    <m/>
    <m/>
  </r>
  <r>
    <x v="21"/>
    <x v="28"/>
    <x v="0"/>
    <m/>
    <n v="2"/>
    <n v="0"/>
    <n v="0"/>
    <n v="0"/>
    <n v="0"/>
    <m/>
    <m/>
  </r>
  <r>
    <x v="21"/>
    <x v="28"/>
    <x v="10"/>
    <m/>
    <n v="31"/>
    <n v="0"/>
    <n v="38"/>
    <n v="1"/>
    <n v="12"/>
    <m/>
    <m/>
  </r>
  <r>
    <x v="21"/>
    <x v="7"/>
    <x v="2"/>
    <m/>
    <n v="49"/>
    <n v="19"/>
    <n v="57"/>
    <n v="27"/>
    <n v="20"/>
    <m/>
    <m/>
  </r>
  <r>
    <x v="21"/>
    <x v="35"/>
    <x v="2"/>
    <m/>
    <n v="10"/>
    <n v="4"/>
    <n v="14"/>
    <n v="16"/>
    <n v="10"/>
    <m/>
    <m/>
  </r>
  <r>
    <x v="21"/>
    <x v="4"/>
    <x v="5"/>
    <m/>
    <n v="56"/>
    <n v="4"/>
    <n v="34"/>
    <n v="6"/>
    <n v="15"/>
    <m/>
    <m/>
  </r>
  <r>
    <x v="21"/>
    <x v="4"/>
    <x v="6"/>
    <m/>
    <n v="12"/>
    <n v="0"/>
    <n v="15"/>
    <n v="0"/>
    <n v="7"/>
    <m/>
    <m/>
  </r>
  <r>
    <x v="21"/>
    <x v="11"/>
    <x v="6"/>
    <m/>
    <n v="24"/>
    <n v="3"/>
    <n v="17"/>
    <n v="1"/>
    <n v="10"/>
    <m/>
    <m/>
  </r>
  <r>
    <x v="21"/>
    <x v="11"/>
    <x v="3"/>
    <m/>
    <n v="31"/>
    <n v="2"/>
    <n v="12"/>
    <n v="1"/>
    <n v="5"/>
    <m/>
    <m/>
  </r>
  <r>
    <x v="21"/>
    <x v="3"/>
    <x v="3"/>
    <m/>
    <n v="26"/>
    <n v="3"/>
    <n v="28"/>
    <n v="3"/>
    <n v="9"/>
    <m/>
    <m/>
  </r>
  <r>
    <x v="21"/>
    <x v="3"/>
    <x v="4"/>
    <m/>
    <n v="22"/>
    <n v="10"/>
    <n v="32"/>
    <n v="5"/>
    <n v="13"/>
    <m/>
    <m/>
  </r>
  <r>
    <x v="21"/>
    <x v="16"/>
    <x v="4"/>
    <m/>
    <n v="35"/>
    <n v="6"/>
    <n v="31"/>
    <n v="4"/>
    <n v="11"/>
    <m/>
    <m/>
  </r>
  <r>
    <x v="21"/>
    <x v="13"/>
    <x v="4"/>
    <m/>
    <n v="17"/>
    <n v="4"/>
    <n v="15"/>
    <n v="2"/>
    <n v="10"/>
    <m/>
    <m/>
  </r>
  <r>
    <x v="21"/>
    <x v="10"/>
    <x v="9"/>
    <m/>
    <n v="25"/>
    <n v="1"/>
    <n v="36"/>
    <n v="3"/>
    <n v="15"/>
    <m/>
    <m/>
  </r>
  <r>
    <x v="21"/>
    <x v="23"/>
    <x v="1"/>
    <m/>
    <n v="48"/>
    <n v="14"/>
    <n v="23"/>
    <n v="9"/>
    <n v="20"/>
    <m/>
    <m/>
  </r>
  <r>
    <x v="21"/>
    <x v="14"/>
    <x v="11"/>
    <m/>
    <n v="49"/>
    <n v="0"/>
    <n v="53"/>
    <n v="0"/>
    <n v="34"/>
    <m/>
    <m/>
  </r>
  <r>
    <x v="21"/>
    <x v="13"/>
    <x v="8"/>
    <m/>
    <n v="53"/>
    <n v="1"/>
    <n v="26"/>
    <n v="0"/>
    <n v="15"/>
    <m/>
    <m/>
  </r>
  <r>
    <x v="21"/>
    <x v="5"/>
    <x v="7"/>
    <m/>
    <n v="29"/>
    <n v="25"/>
    <n v="25"/>
    <n v="25"/>
    <n v="13"/>
    <m/>
    <m/>
  </r>
  <r>
    <x v="21"/>
    <x v="33"/>
    <x v="19"/>
    <m/>
    <n v="0"/>
    <n v="3"/>
    <n v="0"/>
    <n v="1"/>
    <n v="2"/>
    <m/>
    <m/>
  </r>
  <r>
    <x v="21"/>
    <x v="30"/>
    <x v="12"/>
    <m/>
    <n v="30"/>
    <n v="10"/>
    <n v="24"/>
    <n v="10"/>
    <n v="11"/>
    <m/>
    <m/>
  </r>
  <r>
    <x v="21"/>
    <x v="19"/>
    <x v="13"/>
    <m/>
    <n v="33"/>
    <n v="13"/>
    <n v="18"/>
    <n v="7"/>
    <n v="11"/>
    <m/>
    <m/>
  </r>
  <r>
    <x v="21"/>
    <x v="24"/>
    <x v="14"/>
    <m/>
    <n v="42"/>
    <n v="28"/>
    <n v="18"/>
    <n v="28"/>
    <n v="20"/>
    <m/>
    <m/>
  </r>
  <r>
    <x v="21"/>
    <x v="21"/>
    <x v="15"/>
    <m/>
    <n v="33"/>
    <n v="12"/>
    <n v="23"/>
    <n v="13"/>
    <n v="3"/>
    <m/>
    <m/>
  </r>
  <r>
    <x v="21"/>
    <x v="22"/>
    <x v="16"/>
    <m/>
    <n v="24"/>
    <n v="6"/>
    <n v="6"/>
    <n v="4"/>
    <n v="10"/>
    <m/>
    <m/>
  </r>
  <r>
    <x v="21"/>
    <x v="27"/>
    <x v="17"/>
    <m/>
    <n v="21"/>
    <n v="7"/>
    <n v="9"/>
    <n v="3"/>
    <n v="16"/>
    <m/>
    <m/>
  </r>
  <r>
    <x v="21"/>
    <x v="33"/>
    <x v="18"/>
    <m/>
    <n v="24"/>
    <n v="13"/>
    <n v="17"/>
    <n v="4"/>
    <n v="15"/>
    <m/>
    <m/>
  </r>
  <r>
    <x v="21"/>
    <x v="0"/>
    <x v="20"/>
    <m/>
    <n v="1"/>
    <n v="0"/>
    <n v="0"/>
    <n v="0"/>
    <n v="1"/>
    <m/>
    <m/>
  </r>
  <r>
    <x v="21"/>
    <x v="28"/>
    <x v="20"/>
    <m/>
    <n v="4"/>
    <n v="0"/>
    <n v="0"/>
    <n v="0"/>
    <n v="3"/>
    <m/>
    <m/>
  </r>
  <r>
    <x v="21"/>
    <x v="29"/>
    <x v="20"/>
    <m/>
    <n v="16"/>
    <n v="0"/>
    <n v="10"/>
    <n v="0"/>
    <n v="7"/>
    <m/>
    <m/>
  </r>
  <r>
    <x v="21"/>
    <x v="37"/>
    <x v="20"/>
    <m/>
    <n v="5"/>
    <n v="0"/>
    <n v="0"/>
    <n v="0"/>
    <n v="0"/>
    <m/>
    <m/>
  </r>
  <r>
    <x v="21"/>
    <x v="38"/>
    <x v="21"/>
    <m/>
    <n v="37"/>
    <n v="11"/>
    <n v="1"/>
    <n v="0"/>
    <n v="2"/>
    <m/>
    <m/>
  </r>
  <r>
    <x v="21"/>
    <x v="37"/>
    <x v="19"/>
    <m/>
    <n v="0"/>
    <n v="9"/>
    <n v="0"/>
    <n v="0"/>
    <n v="0"/>
    <m/>
    <m/>
  </r>
  <r>
    <x v="22"/>
    <x v="15"/>
    <x v="3"/>
    <n v="667"/>
    <m/>
    <m/>
    <m/>
    <m/>
    <m/>
    <n v="343600"/>
    <m/>
  </r>
  <r>
    <x v="22"/>
    <x v="15"/>
    <x v="8"/>
    <n v="369"/>
    <m/>
    <m/>
    <m/>
    <m/>
    <m/>
    <n v="169833"/>
    <m/>
  </r>
  <r>
    <x v="22"/>
    <x v="15"/>
    <x v="4"/>
    <n v="784"/>
    <m/>
    <m/>
    <m/>
    <m/>
    <m/>
    <n v="404850"/>
    <m/>
  </r>
  <r>
    <x v="22"/>
    <x v="15"/>
    <x v="6"/>
    <n v="459"/>
    <m/>
    <m/>
    <m/>
    <m/>
    <m/>
    <n v="175050"/>
    <m/>
  </r>
  <r>
    <x v="22"/>
    <x v="15"/>
    <x v="11"/>
    <n v="421"/>
    <m/>
    <m/>
    <m/>
    <m/>
    <m/>
    <n v="322650"/>
    <m/>
  </r>
  <r>
    <x v="22"/>
    <x v="15"/>
    <x v="10"/>
    <n v="375"/>
    <m/>
    <m/>
    <m/>
    <m/>
    <m/>
    <n v="127350"/>
    <m/>
  </r>
  <r>
    <x v="22"/>
    <x v="15"/>
    <x v="0"/>
    <n v="669"/>
    <m/>
    <m/>
    <m/>
    <m/>
    <m/>
    <n v="378750"/>
    <m/>
  </r>
  <r>
    <x v="22"/>
    <x v="15"/>
    <x v="5"/>
    <n v="399"/>
    <m/>
    <m/>
    <m/>
    <m/>
    <m/>
    <n v="196850"/>
    <m/>
  </r>
  <r>
    <x v="22"/>
    <x v="15"/>
    <x v="9"/>
    <n v="420"/>
    <m/>
    <m/>
    <m/>
    <m/>
    <m/>
    <n v="283400"/>
    <m/>
  </r>
  <r>
    <x v="22"/>
    <x v="15"/>
    <x v="7"/>
    <n v="412"/>
    <m/>
    <m/>
    <m/>
    <m/>
    <m/>
    <n v="171800"/>
    <m/>
  </r>
  <r>
    <x v="22"/>
    <x v="15"/>
    <x v="2"/>
    <n v="659"/>
    <m/>
    <m/>
    <m/>
    <m/>
    <m/>
    <n v="381850"/>
    <m/>
  </r>
  <r>
    <x v="22"/>
    <x v="15"/>
    <x v="1"/>
    <n v="656"/>
    <m/>
    <m/>
    <m/>
    <m/>
    <m/>
    <n v="268850"/>
    <m/>
  </r>
  <r>
    <x v="22"/>
    <x v="15"/>
    <x v="12"/>
    <n v="603"/>
    <m/>
    <m/>
    <m/>
    <m/>
    <m/>
    <n v="140050"/>
    <m/>
  </r>
  <r>
    <x v="22"/>
    <x v="15"/>
    <x v="13"/>
    <n v="650"/>
    <m/>
    <m/>
    <m/>
    <m/>
    <m/>
    <n v="170400"/>
    <m/>
  </r>
  <r>
    <x v="22"/>
    <x v="15"/>
    <x v="14"/>
    <n v="664"/>
    <m/>
    <m/>
    <m/>
    <m/>
    <m/>
    <n v="206250"/>
    <m/>
  </r>
  <r>
    <x v="22"/>
    <x v="15"/>
    <x v="15"/>
    <n v="583"/>
    <m/>
    <m/>
    <m/>
    <m/>
    <m/>
    <n v="95350"/>
    <m/>
  </r>
  <r>
    <x v="22"/>
    <x v="15"/>
    <x v="16"/>
    <n v="830"/>
    <m/>
    <m/>
    <m/>
    <m/>
    <m/>
    <n v="151940"/>
    <m/>
  </r>
  <r>
    <x v="22"/>
    <x v="15"/>
    <x v="17"/>
    <n v="350"/>
    <m/>
    <m/>
    <m/>
    <m/>
    <m/>
    <n v="201500"/>
    <m/>
  </r>
  <r>
    <x v="22"/>
    <x v="15"/>
    <x v="18"/>
    <n v="407"/>
    <m/>
    <m/>
    <m/>
    <m/>
    <m/>
    <n v="133400"/>
    <m/>
  </r>
  <r>
    <x v="22"/>
    <x v="15"/>
    <x v="19"/>
    <n v="171"/>
    <m/>
    <m/>
    <m/>
    <m/>
    <m/>
    <n v="39450"/>
    <m/>
  </r>
  <r>
    <x v="22"/>
    <x v="15"/>
    <x v="20"/>
    <n v="445"/>
    <m/>
    <m/>
    <m/>
    <m/>
    <m/>
    <n v="119000"/>
    <m/>
  </r>
  <r>
    <x v="22"/>
    <x v="15"/>
    <x v="21"/>
    <n v="406"/>
    <m/>
    <m/>
    <m/>
    <m/>
    <m/>
    <n v="66500"/>
    <m/>
  </r>
  <r>
    <x v="22"/>
    <x v="29"/>
    <x v="0"/>
    <m/>
    <n v="12"/>
    <n v="5"/>
    <n v="15"/>
    <n v="4"/>
    <n v="9"/>
    <m/>
    <m/>
  </r>
  <r>
    <x v="22"/>
    <x v="0"/>
    <x v="0"/>
    <m/>
    <n v="60"/>
    <n v="16"/>
    <n v="53"/>
    <n v="6"/>
    <n v="18"/>
    <m/>
    <m/>
  </r>
  <r>
    <x v="22"/>
    <x v="28"/>
    <x v="0"/>
    <m/>
    <n v="1"/>
    <n v="0"/>
    <n v="5"/>
    <n v="0"/>
    <n v="1"/>
    <m/>
    <m/>
  </r>
  <r>
    <x v="22"/>
    <x v="28"/>
    <x v="10"/>
    <m/>
    <n v="25"/>
    <n v="2"/>
    <n v="44"/>
    <n v="5"/>
    <n v="10"/>
    <m/>
    <m/>
  </r>
  <r>
    <x v="22"/>
    <x v="7"/>
    <x v="2"/>
    <m/>
    <n v="27"/>
    <n v="14"/>
    <n v="46"/>
    <n v="30"/>
    <n v="24"/>
    <m/>
    <m/>
  </r>
  <r>
    <x v="22"/>
    <x v="39"/>
    <x v="2"/>
    <m/>
    <n v="30"/>
    <n v="8"/>
    <n v="2"/>
    <n v="0"/>
    <n v="3"/>
    <m/>
    <m/>
  </r>
  <r>
    <x v="22"/>
    <x v="4"/>
    <x v="5"/>
    <m/>
    <n v="28"/>
    <n v="2"/>
    <n v="21"/>
    <n v="3"/>
    <n v="15"/>
    <m/>
    <m/>
  </r>
  <r>
    <x v="22"/>
    <x v="4"/>
    <x v="6"/>
    <m/>
    <n v="13"/>
    <n v="1"/>
    <n v="17"/>
    <n v="2"/>
    <n v="6"/>
    <m/>
    <m/>
  </r>
  <r>
    <x v="22"/>
    <x v="11"/>
    <x v="6"/>
    <m/>
    <n v="23"/>
    <n v="3"/>
    <n v="12"/>
    <n v="3"/>
    <n v="8"/>
    <m/>
    <m/>
  </r>
  <r>
    <x v="22"/>
    <x v="11"/>
    <x v="3"/>
    <m/>
    <n v="27"/>
    <n v="3"/>
    <n v="21"/>
    <n v="0"/>
    <n v="7"/>
    <m/>
    <m/>
  </r>
  <r>
    <x v="22"/>
    <x v="3"/>
    <x v="3"/>
    <m/>
    <n v="31"/>
    <n v="6"/>
    <n v="24"/>
    <n v="6"/>
    <n v="19"/>
    <m/>
    <m/>
  </r>
  <r>
    <x v="22"/>
    <x v="3"/>
    <x v="4"/>
    <m/>
    <n v="23"/>
    <n v="3"/>
    <n v="22"/>
    <n v="12"/>
    <n v="8"/>
    <m/>
    <m/>
  </r>
  <r>
    <x v="22"/>
    <x v="16"/>
    <x v="4"/>
    <m/>
    <n v="27"/>
    <n v="5"/>
    <n v="24"/>
    <n v="6"/>
    <n v="11"/>
    <m/>
    <m/>
  </r>
  <r>
    <x v="22"/>
    <x v="13"/>
    <x v="4"/>
    <m/>
    <n v="22"/>
    <n v="6"/>
    <n v="15"/>
    <n v="2"/>
    <n v="9"/>
    <m/>
    <m/>
  </r>
  <r>
    <x v="22"/>
    <x v="10"/>
    <x v="9"/>
    <m/>
    <n v="30"/>
    <n v="2"/>
    <n v="64"/>
    <n v="8"/>
    <n v="18"/>
    <m/>
    <m/>
  </r>
  <r>
    <x v="22"/>
    <x v="12"/>
    <x v="9"/>
    <m/>
    <n v="36"/>
    <n v="4"/>
    <n v="38"/>
    <n v="1"/>
    <n v="2"/>
    <m/>
    <m/>
  </r>
  <r>
    <x v="22"/>
    <x v="23"/>
    <x v="1"/>
    <m/>
    <n v="78"/>
    <n v="21"/>
    <n v="30"/>
    <n v="9"/>
    <n v="20"/>
    <m/>
    <m/>
  </r>
  <r>
    <x v="22"/>
    <x v="14"/>
    <x v="11"/>
    <m/>
    <n v="48"/>
    <n v="0"/>
    <n v="40"/>
    <n v="0"/>
    <n v="21"/>
    <m/>
    <m/>
  </r>
  <r>
    <x v="22"/>
    <x v="13"/>
    <x v="8"/>
    <m/>
    <n v="35"/>
    <n v="0"/>
    <n v="37"/>
    <n v="0"/>
    <n v="13"/>
    <m/>
    <m/>
  </r>
  <r>
    <x v="22"/>
    <x v="5"/>
    <x v="7"/>
    <m/>
    <n v="26"/>
    <n v="22"/>
    <n v="31"/>
    <n v="24"/>
    <n v="12"/>
    <m/>
    <m/>
  </r>
  <r>
    <x v="22"/>
    <x v="33"/>
    <x v="19"/>
    <m/>
    <n v="4"/>
    <n v="4"/>
    <n v="0"/>
    <n v="2"/>
    <n v="3"/>
    <m/>
    <m/>
  </r>
  <r>
    <x v="22"/>
    <x v="30"/>
    <x v="12"/>
    <m/>
    <n v="20"/>
    <n v="6"/>
    <n v="23"/>
    <n v="9"/>
    <n v="10"/>
    <m/>
    <m/>
  </r>
  <r>
    <x v="22"/>
    <x v="19"/>
    <x v="13"/>
    <m/>
    <n v="27"/>
    <n v="19"/>
    <n v="20"/>
    <n v="9"/>
    <n v="13"/>
    <m/>
    <m/>
  </r>
  <r>
    <x v="22"/>
    <x v="24"/>
    <x v="14"/>
    <m/>
    <n v="42"/>
    <n v="18"/>
    <n v="22"/>
    <n v="15"/>
    <n v="15"/>
    <m/>
    <m/>
  </r>
  <r>
    <x v="22"/>
    <x v="21"/>
    <x v="15"/>
    <m/>
    <n v="41"/>
    <n v="11"/>
    <n v="31"/>
    <n v="19"/>
    <n v="7"/>
    <m/>
    <m/>
  </r>
  <r>
    <x v="22"/>
    <x v="22"/>
    <x v="16"/>
    <m/>
    <n v="60"/>
    <n v="8"/>
    <n v="12"/>
    <n v="5"/>
    <n v="12"/>
    <m/>
    <m/>
  </r>
  <r>
    <x v="22"/>
    <x v="27"/>
    <x v="17"/>
    <m/>
    <n v="35"/>
    <n v="9"/>
    <n v="12"/>
    <n v="4"/>
    <n v="16"/>
    <m/>
    <m/>
  </r>
  <r>
    <x v="22"/>
    <x v="33"/>
    <x v="18"/>
    <m/>
    <n v="20"/>
    <n v="11"/>
    <n v="11"/>
    <n v="16"/>
    <n v="10"/>
    <m/>
    <m/>
  </r>
  <r>
    <x v="22"/>
    <x v="28"/>
    <x v="20"/>
    <m/>
    <n v="1"/>
    <n v="0"/>
    <n v="4"/>
    <n v="0"/>
    <n v="1"/>
    <m/>
    <m/>
  </r>
  <r>
    <x v="22"/>
    <x v="29"/>
    <x v="20"/>
    <m/>
    <n v="16"/>
    <n v="2"/>
    <n v="6"/>
    <n v="0"/>
    <n v="5"/>
    <m/>
    <m/>
  </r>
  <r>
    <x v="22"/>
    <x v="37"/>
    <x v="20"/>
    <m/>
    <n v="8"/>
    <n v="0"/>
    <n v="0"/>
    <n v="0"/>
    <n v="3"/>
    <m/>
    <m/>
  </r>
  <r>
    <x v="22"/>
    <x v="38"/>
    <x v="21"/>
    <m/>
    <n v="27"/>
    <n v="2"/>
    <n v="5"/>
    <n v="0"/>
    <n v="5"/>
    <m/>
    <m/>
  </r>
  <r>
    <x v="22"/>
    <x v="37"/>
    <x v="19"/>
    <m/>
    <n v="0"/>
    <n v="3"/>
    <n v="0"/>
    <n v="0"/>
    <n v="0"/>
    <m/>
    <m/>
  </r>
  <r>
    <x v="23"/>
    <x v="15"/>
    <x v="3"/>
    <n v="462"/>
    <m/>
    <m/>
    <m/>
    <m/>
    <m/>
    <n v="258450"/>
    <m/>
  </r>
  <r>
    <x v="23"/>
    <x v="15"/>
    <x v="8"/>
    <n v="248"/>
    <m/>
    <m/>
    <m/>
    <m/>
    <m/>
    <n v="94850"/>
    <m/>
  </r>
  <r>
    <x v="23"/>
    <x v="15"/>
    <x v="4"/>
    <n v="534"/>
    <m/>
    <m/>
    <m/>
    <m/>
    <m/>
    <n v="300100"/>
    <m/>
  </r>
  <r>
    <x v="23"/>
    <x v="15"/>
    <x v="6"/>
    <n v="307"/>
    <m/>
    <m/>
    <m/>
    <m/>
    <m/>
    <n v="88500"/>
    <m/>
  </r>
  <r>
    <x v="23"/>
    <x v="15"/>
    <x v="11"/>
    <n v="292"/>
    <m/>
    <m/>
    <m/>
    <m/>
    <m/>
    <n v="141800"/>
    <m/>
  </r>
  <r>
    <x v="23"/>
    <x v="15"/>
    <x v="10"/>
    <n v="264"/>
    <m/>
    <m/>
    <m/>
    <m/>
    <m/>
    <n v="135450"/>
    <m/>
  </r>
  <r>
    <x v="23"/>
    <x v="15"/>
    <x v="0"/>
    <n v="538"/>
    <m/>
    <m/>
    <m/>
    <m/>
    <m/>
    <n v="412878"/>
    <m/>
  </r>
  <r>
    <x v="23"/>
    <x v="15"/>
    <x v="5"/>
    <n v="272"/>
    <m/>
    <m/>
    <m/>
    <m/>
    <m/>
    <n v="148750"/>
    <m/>
  </r>
  <r>
    <x v="23"/>
    <x v="15"/>
    <x v="9"/>
    <n v="308"/>
    <m/>
    <m/>
    <m/>
    <m/>
    <m/>
    <n v="205550"/>
    <m/>
  </r>
  <r>
    <x v="23"/>
    <x v="15"/>
    <x v="7"/>
    <n v="329"/>
    <m/>
    <m/>
    <m/>
    <m/>
    <m/>
    <n v="143300"/>
    <m/>
  </r>
  <r>
    <x v="23"/>
    <x v="15"/>
    <x v="2"/>
    <n v="511"/>
    <m/>
    <m/>
    <m/>
    <m/>
    <m/>
    <n v="374100"/>
    <m/>
  </r>
  <r>
    <x v="23"/>
    <x v="15"/>
    <x v="1"/>
    <n v="406"/>
    <m/>
    <m/>
    <m/>
    <m/>
    <m/>
    <n v="267900"/>
    <m/>
  </r>
  <r>
    <x v="23"/>
    <x v="15"/>
    <x v="12"/>
    <n v="431"/>
    <m/>
    <m/>
    <m/>
    <m/>
    <m/>
    <n v="53700"/>
    <m/>
  </r>
  <r>
    <x v="23"/>
    <x v="15"/>
    <x v="13"/>
    <n v="495"/>
    <m/>
    <m/>
    <m/>
    <m/>
    <m/>
    <n v="135000"/>
    <m/>
  </r>
  <r>
    <x v="23"/>
    <x v="15"/>
    <x v="14"/>
    <n v="481"/>
    <m/>
    <m/>
    <m/>
    <m/>
    <m/>
    <n v="164750"/>
    <m/>
  </r>
  <r>
    <x v="23"/>
    <x v="15"/>
    <x v="15"/>
    <n v="383"/>
    <m/>
    <m/>
    <m/>
    <m/>
    <m/>
    <n v="55850"/>
    <m/>
  </r>
  <r>
    <x v="23"/>
    <x v="15"/>
    <x v="16"/>
    <n v="602"/>
    <m/>
    <m/>
    <m/>
    <m/>
    <m/>
    <n v="196960"/>
    <m/>
  </r>
  <r>
    <x v="23"/>
    <x v="15"/>
    <x v="17"/>
    <n v="237"/>
    <m/>
    <m/>
    <m/>
    <m/>
    <m/>
    <n v="215500"/>
    <m/>
  </r>
  <r>
    <x v="23"/>
    <x v="15"/>
    <x v="18"/>
    <n v="309"/>
    <m/>
    <m/>
    <m/>
    <m/>
    <m/>
    <n v="118400"/>
    <m/>
  </r>
  <r>
    <x v="23"/>
    <x v="15"/>
    <x v="19"/>
    <n v="163"/>
    <m/>
    <m/>
    <m/>
    <m/>
    <m/>
    <n v="25000"/>
    <m/>
  </r>
  <r>
    <x v="23"/>
    <x v="15"/>
    <x v="20"/>
    <n v="338"/>
    <m/>
    <m/>
    <m/>
    <m/>
    <m/>
    <n v="107400"/>
    <m/>
  </r>
  <r>
    <x v="23"/>
    <x v="15"/>
    <x v="21"/>
    <n v="168"/>
    <m/>
    <m/>
    <m/>
    <m/>
    <m/>
    <n v="107200"/>
    <m/>
  </r>
  <r>
    <x v="23"/>
    <x v="29"/>
    <x v="0"/>
    <m/>
    <n v="19"/>
    <n v="8"/>
    <n v="20"/>
    <n v="1"/>
    <n v="3"/>
    <m/>
    <m/>
  </r>
  <r>
    <x v="23"/>
    <x v="0"/>
    <x v="0"/>
    <m/>
    <n v="41"/>
    <n v="2"/>
    <n v="38"/>
    <n v="4"/>
    <n v="27"/>
    <m/>
    <m/>
  </r>
  <r>
    <x v="23"/>
    <x v="28"/>
    <x v="0"/>
    <m/>
    <n v="1"/>
    <n v="0"/>
    <n v="0"/>
    <n v="0"/>
    <n v="0"/>
    <m/>
    <m/>
  </r>
  <r>
    <x v="23"/>
    <x v="28"/>
    <x v="10"/>
    <m/>
    <n v="23"/>
    <n v="3"/>
    <n v="20"/>
    <n v="0"/>
    <n v="10"/>
    <m/>
    <m/>
  </r>
  <r>
    <x v="23"/>
    <x v="13"/>
    <x v="10"/>
    <m/>
    <n v="0"/>
    <n v="1"/>
    <n v="0"/>
    <n v="0"/>
    <n v="1"/>
    <m/>
    <m/>
  </r>
  <r>
    <x v="23"/>
    <x v="7"/>
    <x v="2"/>
    <m/>
    <n v="31"/>
    <n v="13"/>
    <n v="40"/>
    <n v="16"/>
    <n v="19"/>
    <m/>
    <m/>
  </r>
  <r>
    <x v="23"/>
    <x v="39"/>
    <x v="2"/>
    <m/>
    <n v="25"/>
    <n v="22"/>
    <n v="11"/>
    <n v="5"/>
    <n v="8"/>
    <m/>
    <m/>
  </r>
  <r>
    <x v="23"/>
    <x v="4"/>
    <x v="5"/>
    <m/>
    <n v="30"/>
    <n v="2"/>
    <n v="29"/>
    <n v="6"/>
    <n v="11"/>
    <m/>
    <m/>
  </r>
  <r>
    <x v="23"/>
    <x v="4"/>
    <x v="6"/>
    <m/>
    <n v="8"/>
    <n v="0"/>
    <n v="12"/>
    <n v="0"/>
    <n v="3"/>
    <m/>
    <m/>
  </r>
  <r>
    <x v="23"/>
    <x v="11"/>
    <x v="6"/>
    <m/>
    <n v="22"/>
    <n v="0"/>
    <n v="11"/>
    <n v="2"/>
    <n v="4"/>
    <m/>
    <m/>
  </r>
  <r>
    <x v="23"/>
    <x v="11"/>
    <x v="3"/>
    <m/>
    <n v="13"/>
    <n v="1"/>
    <n v="10"/>
    <n v="0"/>
    <n v="5"/>
    <m/>
    <m/>
  </r>
  <r>
    <x v="23"/>
    <x v="3"/>
    <x v="3"/>
    <m/>
    <n v="25"/>
    <n v="3"/>
    <n v="27"/>
    <n v="4"/>
    <n v="15"/>
    <m/>
    <m/>
  </r>
  <r>
    <x v="23"/>
    <x v="3"/>
    <x v="4"/>
    <m/>
    <n v="8"/>
    <n v="3"/>
    <n v="16"/>
    <n v="4"/>
    <n v="12"/>
    <m/>
    <m/>
  </r>
  <r>
    <x v="23"/>
    <x v="13"/>
    <x v="4"/>
    <m/>
    <n v="19"/>
    <n v="6"/>
    <n v="23"/>
    <n v="0"/>
    <n v="9"/>
    <m/>
    <m/>
  </r>
  <r>
    <x v="23"/>
    <x v="10"/>
    <x v="9"/>
    <m/>
    <n v="13"/>
    <n v="1"/>
    <n v="22"/>
    <n v="4"/>
    <n v="12"/>
    <m/>
    <m/>
  </r>
  <r>
    <x v="23"/>
    <x v="12"/>
    <x v="9"/>
    <m/>
    <n v="10"/>
    <n v="2"/>
    <n v="25"/>
    <n v="5"/>
    <n v="3"/>
    <m/>
    <m/>
  </r>
  <r>
    <x v="23"/>
    <x v="23"/>
    <x v="1"/>
    <m/>
    <n v="31"/>
    <n v="3"/>
    <n v="20"/>
    <n v="6"/>
    <n v="20"/>
    <m/>
    <m/>
  </r>
  <r>
    <x v="23"/>
    <x v="14"/>
    <x v="11"/>
    <m/>
    <n v="10"/>
    <n v="0"/>
    <n v="9"/>
    <n v="0"/>
    <n v="9"/>
    <m/>
    <m/>
  </r>
  <r>
    <x v="23"/>
    <x v="13"/>
    <x v="8"/>
    <m/>
    <n v="30"/>
    <n v="0"/>
    <n v="27"/>
    <n v="2"/>
    <n v="7"/>
    <m/>
    <m/>
  </r>
  <r>
    <x v="23"/>
    <x v="5"/>
    <x v="7"/>
    <m/>
    <n v="10"/>
    <n v="8"/>
    <n v="14"/>
    <n v="10"/>
    <n v="10"/>
    <m/>
    <m/>
  </r>
  <r>
    <x v="23"/>
    <x v="5"/>
    <x v="19"/>
    <m/>
    <n v="1"/>
    <n v="0"/>
    <n v="1"/>
    <n v="0"/>
    <n v="0"/>
    <m/>
    <m/>
  </r>
  <r>
    <x v="23"/>
    <x v="33"/>
    <x v="19"/>
    <m/>
    <n v="0"/>
    <n v="0"/>
    <n v="0"/>
    <n v="1"/>
    <n v="0"/>
    <m/>
    <m/>
  </r>
  <r>
    <x v="23"/>
    <x v="30"/>
    <x v="12"/>
    <m/>
    <n v="20"/>
    <n v="15"/>
    <n v="16"/>
    <n v="5"/>
    <n v="4"/>
    <m/>
    <m/>
  </r>
  <r>
    <x v="23"/>
    <x v="19"/>
    <x v="13"/>
    <m/>
    <n v="16"/>
    <n v="17"/>
    <n v="15"/>
    <n v="14"/>
    <n v="10"/>
    <m/>
    <m/>
  </r>
  <r>
    <x v="23"/>
    <x v="24"/>
    <x v="14"/>
    <m/>
    <n v="51"/>
    <n v="14"/>
    <n v="38"/>
    <n v="20"/>
    <n v="12"/>
    <m/>
    <m/>
  </r>
  <r>
    <x v="23"/>
    <x v="21"/>
    <x v="15"/>
    <m/>
    <n v="9"/>
    <n v="5"/>
    <n v="20"/>
    <n v="7"/>
    <n v="4"/>
    <m/>
    <m/>
  </r>
  <r>
    <x v="23"/>
    <x v="22"/>
    <x v="16"/>
    <m/>
    <n v="36"/>
    <n v="10"/>
    <n v="9"/>
    <n v="2"/>
    <n v="16"/>
    <m/>
    <m/>
  </r>
  <r>
    <x v="23"/>
    <x v="27"/>
    <x v="17"/>
    <m/>
    <n v="19"/>
    <n v="7"/>
    <n v="10"/>
    <n v="2"/>
    <n v="17"/>
    <m/>
    <m/>
  </r>
  <r>
    <x v="23"/>
    <x v="33"/>
    <x v="18"/>
    <m/>
    <n v="12"/>
    <n v="6"/>
    <n v="8"/>
    <n v="7"/>
    <n v="9"/>
    <m/>
    <m/>
  </r>
  <r>
    <x v="23"/>
    <x v="29"/>
    <x v="20"/>
    <m/>
    <n v="6"/>
    <n v="2"/>
    <n v="4"/>
    <n v="3"/>
    <n v="7"/>
    <m/>
    <m/>
  </r>
  <r>
    <x v="23"/>
    <x v="37"/>
    <x v="20"/>
    <m/>
    <n v="5"/>
    <n v="0"/>
    <n v="0"/>
    <n v="0"/>
    <n v="1"/>
    <m/>
    <m/>
  </r>
  <r>
    <x v="23"/>
    <x v="37"/>
    <x v="21"/>
    <m/>
    <n v="1"/>
    <n v="0"/>
    <n v="0"/>
    <n v="0"/>
    <n v="0"/>
    <m/>
    <m/>
  </r>
  <r>
    <x v="23"/>
    <x v="38"/>
    <x v="21"/>
    <m/>
    <n v="17"/>
    <n v="5"/>
    <n v="10"/>
    <n v="0"/>
    <n v="8"/>
    <m/>
    <m/>
  </r>
  <r>
    <x v="23"/>
    <x v="37"/>
    <x v="19"/>
    <m/>
    <n v="0"/>
    <n v="2"/>
    <n v="0"/>
    <n v="2"/>
    <n v="2"/>
    <m/>
    <m/>
  </r>
  <r>
    <x v="24"/>
    <x v="15"/>
    <x v="3"/>
    <n v="815"/>
    <m/>
    <m/>
    <m/>
    <m/>
    <m/>
    <n v="220450"/>
    <m/>
  </r>
  <r>
    <x v="24"/>
    <x v="15"/>
    <x v="8"/>
    <n v="472"/>
    <m/>
    <m/>
    <m/>
    <m/>
    <m/>
    <n v="248365"/>
    <m/>
  </r>
  <r>
    <x v="24"/>
    <x v="15"/>
    <x v="4"/>
    <n v="963"/>
    <m/>
    <m/>
    <m/>
    <m/>
    <m/>
    <n v="315900"/>
    <m/>
  </r>
  <r>
    <x v="24"/>
    <x v="15"/>
    <x v="6"/>
    <n v="569"/>
    <m/>
    <m/>
    <m/>
    <m/>
    <m/>
    <n v="128650"/>
    <m/>
  </r>
  <r>
    <x v="24"/>
    <x v="15"/>
    <x v="11"/>
    <n v="489"/>
    <m/>
    <m/>
    <m/>
    <m/>
    <m/>
    <n v="382900"/>
    <m/>
  </r>
  <r>
    <x v="24"/>
    <x v="15"/>
    <x v="10"/>
    <n v="424"/>
    <m/>
    <m/>
    <m/>
    <m/>
    <m/>
    <n v="193450"/>
    <m/>
  </r>
  <r>
    <x v="24"/>
    <x v="15"/>
    <x v="0"/>
    <n v="818"/>
    <m/>
    <m/>
    <m/>
    <m/>
    <m/>
    <n v="573250"/>
    <m/>
  </r>
  <r>
    <x v="24"/>
    <x v="15"/>
    <x v="5"/>
    <n v="496"/>
    <m/>
    <m/>
    <m/>
    <m/>
    <m/>
    <n v="261650"/>
    <m/>
  </r>
  <r>
    <x v="24"/>
    <x v="15"/>
    <x v="9"/>
    <n v="423"/>
    <m/>
    <m/>
    <m/>
    <m/>
    <m/>
    <n v="433000"/>
    <m/>
  </r>
  <r>
    <x v="24"/>
    <x v="15"/>
    <x v="7"/>
    <n v="588"/>
    <m/>
    <m/>
    <m/>
    <m/>
    <m/>
    <n v="228450"/>
    <m/>
  </r>
  <r>
    <x v="24"/>
    <x v="15"/>
    <x v="2"/>
    <n v="789"/>
    <m/>
    <m/>
    <m/>
    <m/>
    <m/>
    <n v="534350"/>
    <m/>
  </r>
  <r>
    <x v="24"/>
    <x v="15"/>
    <x v="1"/>
    <n v="460"/>
    <m/>
    <m/>
    <m/>
    <m/>
    <m/>
    <n v="264900"/>
    <m/>
  </r>
  <r>
    <x v="24"/>
    <x v="15"/>
    <x v="12"/>
    <n v="549"/>
    <m/>
    <m/>
    <m/>
    <m/>
    <m/>
    <n v="213900"/>
    <m/>
  </r>
  <r>
    <x v="24"/>
    <x v="15"/>
    <x v="13"/>
    <n v="662"/>
    <m/>
    <m/>
    <m/>
    <m/>
    <m/>
    <n v="127500"/>
    <m/>
  </r>
  <r>
    <x v="24"/>
    <x v="15"/>
    <x v="14"/>
    <n v="870"/>
    <m/>
    <m/>
    <m/>
    <m/>
    <m/>
    <n v="202800"/>
    <m/>
  </r>
  <r>
    <x v="24"/>
    <x v="15"/>
    <x v="15"/>
    <n v="573"/>
    <m/>
    <m/>
    <m/>
    <m/>
    <m/>
    <n v="204750"/>
    <m/>
  </r>
  <r>
    <x v="24"/>
    <x v="15"/>
    <x v="16"/>
    <n v="1146"/>
    <m/>
    <m/>
    <m/>
    <m/>
    <m/>
    <n v="195970"/>
    <m/>
  </r>
  <r>
    <x v="24"/>
    <x v="15"/>
    <x v="17"/>
    <n v="789"/>
    <m/>
    <m/>
    <m/>
    <m/>
    <m/>
    <n v="194500"/>
    <m/>
  </r>
  <r>
    <x v="24"/>
    <x v="15"/>
    <x v="18"/>
    <n v="441"/>
    <m/>
    <m/>
    <m/>
    <m/>
    <m/>
    <n v="231700"/>
    <m/>
  </r>
  <r>
    <x v="24"/>
    <x v="15"/>
    <x v="19"/>
    <n v="428"/>
    <m/>
    <m/>
    <m/>
    <m/>
    <m/>
    <n v="0"/>
    <m/>
  </r>
  <r>
    <x v="24"/>
    <x v="15"/>
    <x v="20"/>
    <n v="623"/>
    <m/>
    <m/>
    <m/>
    <m/>
    <m/>
    <n v="145850"/>
    <m/>
  </r>
  <r>
    <x v="24"/>
    <x v="15"/>
    <x v="21"/>
    <n v="315"/>
    <m/>
    <m/>
    <m/>
    <m/>
    <m/>
    <n v="108450"/>
    <m/>
  </r>
  <r>
    <x v="24"/>
    <x v="15"/>
    <x v="22"/>
    <n v="283"/>
    <m/>
    <m/>
    <m/>
    <m/>
    <m/>
    <n v="28900"/>
    <m/>
  </r>
  <r>
    <x v="24"/>
    <x v="29"/>
    <x v="0"/>
    <m/>
    <n v="32"/>
    <n v="5"/>
    <n v="30"/>
    <n v="3"/>
    <n v="14"/>
    <m/>
    <m/>
  </r>
  <r>
    <x v="24"/>
    <x v="0"/>
    <x v="0"/>
    <m/>
    <n v="53"/>
    <n v="17"/>
    <n v="51"/>
    <n v="7"/>
    <n v="25"/>
    <m/>
    <m/>
  </r>
  <r>
    <x v="24"/>
    <x v="28"/>
    <x v="0"/>
    <m/>
    <n v="2"/>
    <n v="0"/>
    <n v="1"/>
    <n v="1"/>
    <n v="1"/>
    <m/>
    <m/>
  </r>
  <r>
    <x v="24"/>
    <x v="28"/>
    <x v="10"/>
    <m/>
    <n v="35"/>
    <n v="4"/>
    <n v="39"/>
    <n v="2"/>
    <n v="15"/>
    <m/>
    <m/>
  </r>
  <r>
    <x v="24"/>
    <x v="7"/>
    <x v="2"/>
    <m/>
    <n v="32"/>
    <n v="12"/>
    <n v="41"/>
    <n v="25"/>
    <n v="24"/>
    <m/>
    <m/>
  </r>
  <r>
    <x v="24"/>
    <x v="39"/>
    <x v="2"/>
    <m/>
    <n v="49"/>
    <n v="11"/>
    <n v="7"/>
    <n v="9"/>
    <n v="14"/>
    <m/>
    <m/>
  </r>
  <r>
    <x v="24"/>
    <x v="4"/>
    <x v="5"/>
    <m/>
    <n v="61"/>
    <n v="4"/>
    <n v="36"/>
    <n v="7"/>
    <n v="20"/>
    <m/>
    <m/>
  </r>
  <r>
    <x v="24"/>
    <x v="4"/>
    <x v="6"/>
    <m/>
    <n v="29"/>
    <n v="0"/>
    <n v="13"/>
    <n v="2"/>
    <n v="5"/>
    <m/>
    <m/>
  </r>
  <r>
    <x v="24"/>
    <x v="11"/>
    <x v="6"/>
    <m/>
    <n v="18"/>
    <n v="6"/>
    <n v="17"/>
    <n v="6"/>
    <n v="5"/>
    <m/>
    <m/>
  </r>
  <r>
    <x v="24"/>
    <x v="11"/>
    <x v="3"/>
    <m/>
    <n v="33"/>
    <n v="1"/>
    <n v="19"/>
    <n v="0"/>
    <n v="8"/>
    <m/>
    <m/>
  </r>
  <r>
    <x v="24"/>
    <x v="3"/>
    <x v="3"/>
    <m/>
    <n v="21"/>
    <n v="1"/>
    <n v="20"/>
    <n v="1"/>
    <n v="9"/>
    <m/>
    <m/>
  </r>
  <r>
    <x v="24"/>
    <x v="3"/>
    <x v="4"/>
    <m/>
    <n v="19"/>
    <n v="2"/>
    <n v="18"/>
    <n v="1"/>
    <n v="9"/>
    <m/>
    <m/>
  </r>
  <r>
    <x v="24"/>
    <x v="13"/>
    <x v="4"/>
    <m/>
    <n v="34"/>
    <n v="5"/>
    <n v="15"/>
    <n v="6"/>
    <n v="8"/>
    <m/>
    <m/>
  </r>
  <r>
    <x v="24"/>
    <x v="16"/>
    <x v="4"/>
    <m/>
    <n v="29"/>
    <n v="5"/>
    <n v="22"/>
    <n v="2"/>
    <n v="6"/>
    <m/>
    <m/>
  </r>
  <r>
    <x v="24"/>
    <x v="10"/>
    <x v="9"/>
    <m/>
    <n v="42"/>
    <n v="1"/>
    <n v="55"/>
    <n v="5"/>
    <n v="21"/>
    <m/>
    <m/>
  </r>
  <r>
    <x v="24"/>
    <x v="12"/>
    <x v="9"/>
    <m/>
    <n v="36"/>
    <n v="6"/>
    <n v="51"/>
    <n v="2"/>
    <n v="10"/>
    <m/>
    <m/>
  </r>
  <r>
    <x v="24"/>
    <x v="23"/>
    <x v="1"/>
    <m/>
    <n v="44"/>
    <n v="8"/>
    <n v="31"/>
    <n v="9"/>
    <n v="20"/>
    <m/>
    <m/>
  </r>
  <r>
    <x v="24"/>
    <x v="14"/>
    <x v="11"/>
    <m/>
    <n v="43"/>
    <n v="0"/>
    <n v="43"/>
    <n v="0"/>
    <n v="24"/>
    <m/>
    <m/>
  </r>
  <r>
    <x v="24"/>
    <x v="13"/>
    <x v="8"/>
    <m/>
    <n v="48"/>
    <n v="1"/>
    <n v="37"/>
    <n v="7"/>
    <n v="18"/>
    <m/>
    <m/>
  </r>
  <r>
    <x v="24"/>
    <x v="5"/>
    <x v="7"/>
    <m/>
    <n v="30"/>
    <n v="33"/>
    <n v="21"/>
    <n v="26"/>
    <n v="16"/>
    <m/>
    <m/>
  </r>
  <r>
    <x v="24"/>
    <x v="30"/>
    <x v="12"/>
    <m/>
    <n v="30"/>
    <n v="5"/>
    <n v="13"/>
    <n v="7"/>
    <n v="15"/>
    <m/>
    <m/>
  </r>
  <r>
    <x v="24"/>
    <x v="19"/>
    <x v="13"/>
    <m/>
    <n v="34"/>
    <n v="22"/>
    <n v="26"/>
    <n v="12"/>
    <n v="10"/>
    <m/>
    <m/>
  </r>
  <r>
    <x v="24"/>
    <x v="24"/>
    <x v="14"/>
    <m/>
    <n v="34"/>
    <n v="33"/>
    <n v="21"/>
    <n v="26"/>
    <n v="15"/>
    <m/>
    <m/>
  </r>
  <r>
    <x v="24"/>
    <x v="21"/>
    <x v="15"/>
    <m/>
    <n v="34"/>
    <n v="8"/>
    <n v="32"/>
    <n v="10"/>
    <n v="15"/>
    <m/>
    <m/>
  </r>
  <r>
    <x v="24"/>
    <x v="22"/>
    <x v="16"/>
    <m/>
    <n v="53"/>
    <n v="7"/>
    <n v="11"/>
    <n v="3"/>
    <n v="16"/>
    <m/>
    <m/>
  </r>
  <r>
    <x v="24"/>
    <x v="27"/>
    <x v="17"/>
    <m/>
    <n v="29"/>
    <n v="10"/>
    <n v="14"/>
    <n v="11"/>
    <n v="15"/>
    <m/>
    <m/>
  </r>
  <r>
    <x v="24"/>
    <x v="33"/>
    <x v="18"/>
    <m/>
    <n v="24"/>
    <n v="15"/>
    <n v="28"/>
    <n v="15"/>
    <n v="18"/>
    <m/>
    <m/>
  </r>
  <r>
    <x v="24"/>
    <x v="29"/>
    <x v="20"/>
    <m/>
    <n v="31"/>
    <n v="4"/>
    <n v="10"/>
    <n v="0"/>
    <n v="9"/>
    <m/>
    <m/>
  </r>
  <r>
    <x v="24"/>
    <x v="37"/>
    <x v="20"/>
    <m/>
    <n v="8"/>
    <n v="0"/>
    <n v="3"/>
    <n v="0"/>
    <n v="2"/>
    <m/>
    <m/>
  </r>
  <r>
    <x v="24"/>
    <x v="38"/>
    <x v="21"/>
    <m/>
    <n v="40"/>
    <n v="6"/>
    <n v="14"/>
    <n v="1"/>
    <n v="8"/>
    <m/>
    <m/>
  </r>
  <r>
    <x v="24"/>
    <x v="40"/>
    <x v="19"/>
    <m/>
    <n v="15"/>
    <n v="7"/>
    <n v="3"/>
    <n v="0"/>
    <n v="0"/>
    <m/>
    <m/>
  </r>
  <r>
    <x v="24"/>
    <x v="41"/>
    <x v="22"/>
    <m/>
    <n v="15"/>
    <n v="11"/>
    <n v="4"/>
    <n v="0"/>
    <n v="2"/>
    <m/>
    <m/>
  </r>
  <r>
    <x v="25"/>
    <x v="15"/>
    <x v="3"/>
    <n v="684"/>
    <m/>
    <m/>
    <m/>
    <m/>
    <m/>
    <n v="235650"/>
    <m/>
  </r>
  <r>
    <x v="25"/>
    <x v="15"/>
    <x v="8"/>
    <n v="361"/>
    <m/>
    <m/>
    <m/>
    <m/>
    <m/>
    <n v="157050"/>
    <m/>
  </r>
  <r>
    <x v="25"/>
    <x v="15"/>
    <x v="4"/>
    <n v="890"/>
    <m/>
    <m/>
    <m/>
    <m/>
    <m/>
    <n v="369650"/>
    <m/>
  </r>
  <r>
    <x v="25"/>
    <x v="15"/>
    <x v="6"/>
    <n v="542"/>
    <m/>
    <m/>
    <m/>
    <m/>
    <m/>
    <n v="138000"/>
    <m/>
  </r>
  <r>
    <x v="25"/>
    <x v="15"/>
    <x v="11"/>
    <n v="394"/>
    <m/>
    <m/>
    <m/>
    <m/>
    <m/>
    <n v="416300"/>
    <m/>
  </r>
  <r>
    <x v="25"/>
    <x v="15"/>
    <x v="10"/>
    <n v="402"/>
    <m/>
    <m/>
    <m/>
    <m/>
    <m/>
    <n v="190350"/>
    <m/>
  </r>
  <r>
    <x v="25"/>
    <x v="15"/>
    <x v="0"/>
    <n v="653"/>
    <m/>
    <m/>
    <m/>
    <m/>
    <m/>
    <n v="573100"/>
    <m/>
  </r>
  <r>
    <x v="25"/>
    <x v="15"/>
    <x v="5"/>
    <n v="342"/>
    <m/>
    <m/>
    <m/>
    <m/>
    <m/>
    <n v="193700"/>
    <m/>
  </r>
  <r>
    <x v="25"/>
    <x v="15"/>
    <x v="9"/>
    <n v="365"/>
    <m/>
    <m/>
    <m/>
    <m/>
    <m/>
    <n v="363100"/>
    <m/>
  </r>
  <r>
    <x v="25"/>
    <x v="15"/>
    <x v="7"/>
    <n v="504"/>
    <m/>
    <m/>
    <m/>
    <m/>
    <m/>
    <n v="230450"/>
    <m/>
  </r>
  <r>
    <x v="25"/>
    <x v="15"/>
    <x v="2"/>
    <n v="621"/>
    <m/>
    <m/>
    <m/>
    <m/>
    <m/>
    <n v="462100"/>
    <m/>
  </r>
  <r>
    <x v="25"/>
    <x v="15"/>
    <x v="1"/>
    <n v="295"/>
    <m/>
    <m/>
    <m/>
    <m/>
    <m/>
    <n v="203950"/>
    <m/>
  </r>
  <r>
    <x v="25"/>
    <x v="15"/>
    <x v="12"/>
    <n v="375"/>
    <m/>
    <m/>
    <m/>
    <m/>
    <m/>
    <n v="67950"/>
    <m/>
  </r>
  <r>
    <x v="25"/>
    <x v="15"/>
    <x v="13"/>
    <n v="606"/>
    <m/>
    <m/>
    <m/>
    <m/>
    <m/>
    <n v="73500"/>
    <m/>
  </r>
  <r>
    <x v="25"/>
    <x v="15"/>
    <x v="14"/>
    <n v="628"/>
    <m/>
    <m/>
    <m/>
    <m/>
    <m/>
    <n v="180000"/>
    <m/>
  </r>
  <r>
    <x v="25"/>
    <x v="15"/>
    <x v="15"/>
    <n v="483"/>
    <m/>
    <m/>
    <m/>
    <m/>
    <m/>
    <n v="151550"/>
    <m/>
  </r>
  <r>
    <x v="25"/>
    <x v="15"/>
    <x v="16"/>
    <n v="972"/>
    <m/>
    <m/>
    <m/>
    <m/>
    <m/>
    <n v="189930"/>
    <m/>
  </r>
  <r>
    <x v="25"/>
    <x v="15"/>
    <x v="17"/>
    <n v="161"/>
    <m/>
    <m/>
    <m/>
    <m/>
    <m/>
    <n v="192000"/>
    <m/>
  </r>
  <r>
    <x v="25"/>
    <x v="15"/>
    <x v="18"/>
    <n v="394"/>
    <m/>
    <m/>
    <m/>
    <m/>
    <m/>
    <n v="197850"/>
    <m/>
  </r>
  <r>
    <x v="25"/>
    <x v="15"/>
    <x v="19"/>
    <n v="367"/>
    <m/>
    <m/>
    <m/>
    <m/>
    <m/>
    <n v="72250"/>
    <m/>
  </r>
  <r>
    <x v="25"/>
    <x v="15"/>
    <x v="20"/>
    <n v="614"/>
    <m/>
    <m/>
    <m/>
    <m/>
    <m/>
    <n v="53950"/>
    <m/>
  </r>
  <r>
    <x v="25"/>
    <x v="15"/>
    <x v="21"/>
    <n v="179"/>
    <m/>
    <m/>
    <m/>
    <m/>
    <m/>
    <n v="122900"/>
    <m/>
  </r>
  <r>
    <x v="25"/>
    <x v="15"/>
    <x v="22"/>
    <n v="194"/>
    <m/>
    <m/>
    <m/>
    <m/>
    <m/>
    <n v="59300"/>
    <m/>
  </r>
  <r>
    <x v="25"/>
    <x v="15"/>
    <x v="23"/>
    <n v="370"/>
    <m/>
    <m/>
    <m/>
    <m/>
    <m/>
    <n v="13000"/>
    <m/>
  </r>
  <r>
    <x v="25"/>
    <x v="29"/>
    <x v="0"/>
    <m/>
    <n v="30"/>
    <n v="10"/>
    <n v="24"/>
    <n v="3"/>
    <n v="15"/>
    <m/>
    <m/>
  </r>
  <r>
    <x v="25"/>
    <x v="0"/>
    <x v="0"/>
    <m/>
    <n v="43"/>
    <n v="15"/>
    <n v="55"/>
    <n v="5"/>
    <n v="24"/>
    <m/>
    <m/>
  </r>
  <r>
    <x v="25"/>
    <x v="28"/>
    <x v="0"/>
    <m/>
    <n v="1"/>
    <n v="0"/>
    <n v="2"/>
    <n v="0"/>
    <n v="1"/>
    <m/>
    <m/>
  </r>
  <r>
    <x v="25"/>
    <x v="28"/>
    <x v="10"/>
    <m/>
    <n v="25"/>
    <n v="0"/>
    <n v="21"/>
    <n v="0"/>
    <n v="15"/>
    <m/>
    <m/>
  </r>
  <r>
    <x v="25"/>
    <x v="7"/>
    <x v="2"/>
    <m/>
    <n v="42"/>
    <n v="14"/>
    <n v="48"/>
    <n v="23"/>
    <n v="21"/>
    <m/>
    <m/>
  </r>
  <r>
    <x v="25"/>
    <x v="39"/>
    <x v="2"/>
    <m/>
    <n v="41"/>
    <n v="17"/>
    <n v="12"/>
    <n v="7"/>
    <n v="13"/>
    <m/>
    <m/>
  </r>
  <r>
    <x v="25"/>
    <x v="4"/>
    <x v="5"/>
    <m/>
    <n v="41"/>
    <n v="0"/>
    <n v="26"/>
    <n v="2"/>
    <n v="14"/>
    <m/>
    <m/>
  </r>
  <r>
    <x v="25"/>
    <x v="4"/>
    <x v="6"/>
    <m/>
    <n v="16"/>
    <n v="0"/>
    <n v="8"/>
    <n v="4"/>
    <n v="5"/>
    <m/>
    <m/>
  </r>
  <r>
    <x v="25"/>
    <x v="11"/>
    <x v="6"/>
    <m/>
    <n v="22"/>
    <n v="2"/>
    <n v="3"/>
    <n v="0"/>
    <n v="6"/>
    <m/>
    <m/>
  </r>
  <r>
    <x v="25"/>
    <x v="11"/>
    <x v="3"/>
    <m/>
    <n v="30"/>
    <n v="4"/>
    <n v="18"/>
    <n v="1"/>
    <n v="5"/>
    <m/>
    <m/>
  </r>
  <r>
    <x v="25"/>
    <x v="3"/>
    <x v="3"/>
    <m/>
    <n v="7"/>
    <n v="0"/>
    <n v="18"/>
    <n v="1"/>
    <n v="13"/>
    <m/>
    <m/>
  </r>
  <r>
    <x v="25"/>
    <x v="3"/>
    <x v="4"/>
    <m/>
    <n v="21"/>
    <n v="1"/>
    <n v="22"/>
    <n v="0"/>
    <n v="9"/>
    <m/>
    <m/>
  </r>
  <r>
    <x v="25"/>
    <x v="13"/>
    <x v="4"/>
    <m/>
    <n v="19"/>
    <n v="7"/>
    <n v="27"/>
    <n v="2"/>
    <n v="8"/>
    <m/>
    <m/>
  </r>
  <r>
    <x v="25"/>
    <x v="16"/>
    <x v="4"/>
    <m/>
    <n v="30"/>
    <n v="8"/>
    <n v="19"/>
    <n v="0"/>
    <n v="8"/>
    <m/>
    <m/>
  </r>
  <r>
    <x v="25"/>
    <x v="10"/>
    <x v="9"/>
    <m/>
    <n v="32"/>
    <n v="1"/>
    <n v="54"/>
    <n v="3"/>
    <n v="17"/>
    <m/>
    <m/>
  </r>
  <r>
    <x v="25"/>
    <x v="12"/>
    <x v="9"/>
    <m/>
    <n v="29"/>
    <n v="3"/>
    <n v="33"/>
    <n v="3"/>
    <n v="9"/>
    <m/>
    <m/>
  </r>
  <r>
    <x v="25"/>
    <x v="23"/>
    <x v="1"/>
    <m/>
    <n v="25"/>
    <n v="4"/>
    <n v="17"/>
    <n v="4"/>
    <n v="15"/>
    <m/>
    <m/>
  </r>
  <r>
    <x v="25"/>
    <x v="14"/>
    <x v="11"/>
    <m/>
    <n v="53"/>
    <n v="0"/>
    <n v="44"/>
    <n v="0"/>
    <n v="24"/>
    <m/>
    <m/>
  </r>
  <r>
    <x v="25"/>
    <x v="37"/>
    <x v="11"/>
    <m/>
    <n v="6"/>
    <n v="0"/>
    <n v="2"/>
    <n v="0"/>
    <n v="3"/>
    <m/>
    <m/>
  </r>
  <r>
    <x v="25"/>
    <x v="13"/>
    <x v="8"/>
    <m/>
    <n v="28"/>
    <n v="0"/>
    <n v="33"/>
    <n v="0"/>
    <n v="11"/>
    <m/>
    <m/>
  </r>
  <r>
    <x v="25"/>
    <x v="5"/>
    <x v="7"/>
    <m/>
    <n v="13"/>
    <n v="35"/>
    <n v="20"/>
    <n v="14"/>
    <n v="16"/>
    <m/>
    <m/>
  </r>
  <r>
    <x v="25"/>
    <x v="30"/>
    <x v="12"/>
    <m/>
    <n v="26"/>
    <n v="4"/>
    <n v="8"/>
    <n v="17"/>
    <n v="5"/>
    <m/>
    <m/>
  </r>
  <r>
    <x v="25"/>
    <x v="19"/>
    <x v="13"/>
    <m/>
    <n v="23"/>
    <n v="21"/>
    <n v="9"/>
    <n v="6"/>
    <n v="6"/>
    <m/>
    <m/>
  </r>
  <r>
    <x v="25"/>
    <x v="24"/>
    <x v="14"/>
    <m/>
    <n v="31"/>
    <n v="14"/>
    <n v="10"/>
    <n v="22"/>
    <n v="14"/>
    <m/>
    <m/>
  </r>
  <r>
    <x v="25"/>
    <x v="21"/>
    <x v="15"/>
    <m/>
    <n v="30"/>
    <n v="7"/>
    <n v="19"/>
    <n v="15"/>
    <n v="11"/>
    <m/>
    <m/>
  </r>
  <r>
    <x v="25"/>
    <x v="22"/>
    <x v="16"/>
    <m/>
    <n v="48"/>
    <n v="8"/>
    <n v="23"/>
    <n v="4"/>
    <n v="15"/>
    <m/>
    <m/>
  </r>
  <r>
    <x v="25"/>
    <x v="27"/>
    <x v="17"/>
    <m/>
    <n v="8"/>
    <n v="0"/>
    <n v="7"/>
    <n v="3"/>
    <n v="15"/>
    <m/>
    <m/>
  </r>
  <r>
    <x v="25"/>
    <x v="33"/>
    <x v="18"/>
    <m/>
    <n v="18"/>
    <n v="16"/>
    <n v="17"/>
    <n v="12"/>
    <n v="15"/>
    <m/>
    <m/>
  </r>
  <r>
    <x v="25"/>
    <x v="29"/>
    <x v="20"/>
    <m/>
    <n v="10"/>
    <n v="5"/>
    <n v="13"/>
    <n v="0"/>
    <n v="4"/>
    <m/>
    <m/>
  </r>
  <r>
    <x v="25"/>
    <x v="38"/>
    <x v="21"/>
    <m/>
    <n v="33"/>
    <n v="6"/>
    <n v="9"/>
    <n v="1"/>
    <n v="9"/>
    <m/>
    <m/>
  </r>
  <r>
    <x v="25"/>
    <x v="40"/>
    <x v="19"/>
    <m/>
    <n v="6"/>
    <n v="4"/>
    <n v="5"/>
    <n v="1"/>
    <n v="5"/>
    <m/>
    <m/>
  </r>
  <r>
    <x v="25"/>
    <x v="41"/>
    <x v="22"/>
    <m/>
    <n v="16"/>
    <n v="3"/>
    <n v="6"/>
    <n v="0"/>
    <n v="4"/>
    <m/>
    <m/>
  </r>
  <r>
    <x v="25"/>
    <x v="42"/>
    <x v="23"/>
    <m/>
    <n v="10"/>
    <n v="5"/>
    <n v="0"/>
    <n v="0"/>
    <n v="1"/>
    <m/>
    <m/>
  </r>
  <r>
    <x v="26"/>
    <x v="15"/>
    <x v="3"/>
    <n v="486"/>
    <m/>
    <m/>
    <m/>
    <m/>
    <m/>
    <n v="254300"/>
    <m/>
  </r>
  <r>
    <x v="26"/>
    <x v="15"/>
    <x v="8"/>
    <n v="284"/>
    <m/>
    <m/>
    <m/>
    <m/>
    <m/>
    <n v="138350"/>
    <m/>
  </r>
  <r>
    <x v="26"/>
    <x v="15"/>
    <x v="4"/>
    <n v="639"/>
    <m/>
    <m/>
    <m/>
    <m/>
    <m/>
    <n v="483550"/>
    <m/>
  </r>
  <r>
    <x v="26"/>
    <x v="15"/>
    <x v="6"/>
    <n v="394"/>
    <m/>
    <m/>
    <m/>
    <m/>
    <m/>
    <n v="135150"/>
    <m/>
  </r>
  <r>
    <x v="26"/>
    <x v="15"/>
    <x v="11"/>
    <n v="437"/>
    <m/>
    <m/>
    <m/>
    <m/>
    <m/>
    <n v="345650"/>
    <m/>
  </r>
  <r>
    <x v="26"/>
    <x v="15"/>
    <x v="10"/>
    <n v="287"/>
    <m/>
    <m/>
    <m/>
    <m/>
    <m/>
    <n v="199450"/>
    <m/>
  </r>
  <r>
    <x v="26"/>
    <x v="15"/>
    <x v="0"/>
    <n v="557"/>
    <m/>
    <m/>
    <m/>
    <m/>
    <m/>
    <n v="705150"/>
    <m/>
  </r>
  <r>
    <x v="26"/>
    <x v="15"/>
    <x v="5"/>
    <n v="328"/>
    <m/>
    <m/>
    <m/>
    <m/>
    <m/>
    <n v="254850"/>
    <m/>
  </r>
  <r>
    <x v="26"/>
    <x v="15"/>
    <x v="9"/>
    <n v="334"/>
    <m/>
    <m/>
    <m/>
    <m/>
    <m/>
    <n v="393200"/>
    <m/>
  </r>
  <r>
    <x v="26"/>
    <x v="15"/>
    <x v="7"/>
    <n v="412"/>
    <m/>
    <m/>
    <m/>
    <m/>
    <m/>
    <n v="228400"/>
    <m/>
  </r>
  <r>
    <x v="26"/>
    <x v="15"/>
    <x v="2"/>
    <n v="559"/>
    <m/>
    <m/>
    <m/>
    <m/>
    <m/>
    <n v="383800"/>
    <m/>
  </r>
  <r>
    <x v="26"/>
    <x v="15"/>
    <x v="1"/>
    <n v="280"/>
    <m/>
    <m/>
    <m/>
    <m/>
    <m/>
    <n v="159450"/>
    <m/>
  </r>
  <r>
    <x v="26"/>
    <x v="15"/>
    <x v="12"/>
    <n v="280"/>
    <m/>
    <m/>
    <m/>
    <m/>
    <m/>
    <n v="140550"/>
    <m/>
  </r>
  <r>
    <x v="26"/>
    <x v="15"/>
    <x v="13"/>
    <n v="501"/>
    <m/>
    <m/>
    <m/>
    <m/>
    <m/>
    <n v="197440"/>
    <m/>
  </r>
  <r>
    <x v="26"/>
    <x v="15"/>
    <x v="14"/>
    <n v="502"/>
    <m/>
    <m/>
    <m/>
    <m/>
    <m/>
    <n v="210900"/>
    <m/>
  </r>
  <r>
    <x v="26"/>
    <x v="15"/>
    <x v="15"/>
    <n v="377"/>
    <m/>
    <m/>
    <m/>
    <m/>
    <m/>
    <n v="152600"/>
    <m/>
  </r>
  <r>
    <x v="26"/>
    <x v="15"/>
    <x v="16"/>
    <n v="350"/>
    <m/>
    <m/>
    <m/>
    <m/>
    <m/>
    <n v="180940"/>
    <m/>
  </r>
  <r>
    <x v="26"/>
    <x v="15"/>
    <x v="17"/>
    <n v="223"/>
    <m/>
    <m/>
    <m/>
    <m/>
    <m/>
    <n v="298000"/>
    <m/>
  </r>
  <r>
    <x v="26"/>
    <x v="15"/>
    <x v="18"/>
    <n v="296"/>
    <m/>
    <m/>
    <m/>
    <m/>
    <m/>
    <n v="167350"/>
    <m/>
  </r>
  <r>
    <x v="26"/>
    <x v="15"/>
    <x v="19"/>
    <n v="325"/>
    <m/>
    <m/>
    <m/>
    <m/>
    <m/>
    <n v="28550"/>
    <m/>
  </r>
  <r>
    <x v="26"/>
    <x v="15"/>
    <x v="20"/>
    <n v="342"/>
    <m/>
    <m/>
    <m/>
    <m/>
    <m/>
    <n v="81950"/>
    <m/>
  </r>
  <r>
    <x v="26"/>
    <x v="15"/>
    <x v="21"/>
    <n v="232"/>
    <m/>
    <m/>
    <m/>
    <m/>
    <m/>
    <n v="79500"/>
    <m/>
  </r>
  <r>
    <x v="26"/>
    <x v="15"/>
    <x v="22"/>
    <n v="197"/>
    <m/>
    <m/>
    <m/>
    <m/>
    <m/>
    <n v="83400"/>
    <m/>
  </r>
  <r>
    <x v="26"/>
    <x v="15"/>
    <x v="23"/>
    <n v="316"/>
    <m/>
    <m/>
    <m/>
    <m/>
    <m/>
    <n v="25500"/>
    <m/>
  </r>
  <r>
    <x v="26"/>
    <x v="15"/>
    <x v="24"/>
    <n v="300"/>
    <m/>
    <m/>
    <m/>
    <m/>
    <m/>
    <n v="36990"/>
    <m/>
  </r>
  <r>
    <x v="26"/>
    <x v="29"/>
    <x v="0"/>
    <m/>
    <n v="31"/>
    <n v="8"/>
    <n v="27"/>
    <n v="3"/>
    <n v="15"/>
    <m/>
    <m/>
  </r>
  <r>
    <x v="26"/>
    <x v="0"/>
    <x v="0"/>
    <m/>
    <n v="47"/>
    <n v="9"/>
    <n v="66"/>
    <n v="12"/>
    <n v="35"/>
    <m/>
    <m/>
  </r>
  <r>
    <x v="26"/>
    <x v="28"/>
    <x v="10"/>
    <m/>
    <n v="47"/>
    <n v="1"/>
    <n v="50"/>
    <n v="0"/>
    <n v="16"/>
    <m/>
    <m/>
  </r>
  <r>
    <x v="26"/>
    <x v="7"/>
    <x v="2"/>
    <m/>
    <n v="63"/>
    <n v="27"/>
    <n v="50"/>
    <n v="23"/>
    <n v="14"/>
    <m/>
    <m/>
  </r>
  <r>
    <x v="26"/>
    <x v="39"/>
    <x v="2"/>
    <m/>
    <n v="29"/>
    <n v="17"/>
    <n v="14"/>
    <n v="5"/>
    <n v="14"/>
    <m/>
    <m/>
  </r>
  <r>
    <x v="26"/>
    <x v="4"/>
    <x v="5"/>
    <m/>
    <n v="52"/>
    <n v="3"/>
    <n v="44"/>
    <n v="7"/>
    <n v="19"/>
    <m/>
    <m/>
  </r>
  <r>
    <x v="26"/>
    <x v="4"/>
    <x v="6"/>
    <m/>
    <n v="25"/>
    <n v="0"/>
    <n v="18"/>
    <n v="8"/>
    <n v="7"/>
    <m/>
    <m/>
  </r>
  <r>
    <x v="26"/>
    <x v="11"/>
    <x v="6"/>
    <m/>
    <n v="23"/>
    <n v="3"/>
    <n v="6"/>
    <n v="0"/>
    <n v="3"/>
    <m/>
    <m/>
  </r>
  <r>
    <x v="26"/>
    <x v="11"/>
    <x v="3"/>
    <m/>
    <n v="21"/>
    <n v="5"/>
    <n v="29"/>
    <n v="1"/>
    <n v="10"/>
    <m/>
    <m/>
  </r>
  <r>
    <x v="26"/>
    <x v="3"/>
    <x v="3"/>
    <m/>
    <n v="1"/>
    <n v="1"/>
    <n v="21"/>
    <n v="1"/>
    <n v="8"/>
    <m/>
    <m/>
  </r>
  <r>
    <x v="26"/>
    <x v="43"/>
    <x v="3"/>
    <m/>
    <n v="22"/>
    <n v="0"/>
    <n v="2"/>
    <n v="0"/>
    <n v="2"/>
    <m/>
    <m/>
  </r>
  <r>
    <x v="26"/>
    <x v="3"/>
    <x v="4"/>
    <m/>
    <n v="17"/>
    <n v="1"/>
    <n v="51"/>
    <n v="11"/>
    <n v="16"/>
    <m/>
    <m/>
  </r>
  <r>
    <x v="26"/>
    <x v="13"/>
    <x v="4"/>
    <m/>
    <n v="20"/>
    <n v="5"/>
    <n v="18"/>
    <n v="1"/>
    <n v="6"/>
    <m/>
    <m/>
  </r>
  <r>
    <x v="26"/>
    <x v="16"/>
    <x v="4"/>
    <m/>
    <n v="24"/>
    <n v="8"/>
    <n v="23"/>
    <n v="5"/>
    <n v="14"/>
    <m/>
    <m/>
  </r>
  <r>
    <x v="26"/>
    <x v="10"/>
    <x v="9"/>
    <m/>
    <n v="35"/>
    <n v="6"/>
    <n v="57"/>
    <n v="2"/>
    <n v="17"/>
    <m/>
    <m/>
  </r>
  <r>
    <x v="26"/>
    <x v="12"/>
    <x v="9"/>
    <m/>
    <n v="32"/>
    <n v="4"/>
    <n v="35"/>
    <n v="5"/>
    <n v="11"/>
    <m/>
    <m/>
  </r>
  <r>
    <x v="26"/>
    <x v="23"/>
    <x v="1"/>
    <m/>
    <n v="5"/>
    <n v="1"/>
    <n v="3"/>
    <n v="0"/>
    <n v="2"/>
    <m/>
    <m/>
  </r>
  <r>
    <x v="26"/>
    <x v="44"/>
    <x v="1"/>
    <m/>
    <n v="39"/>
    <n v="17"/>
    <n v="23"/>
    <n v="10"/>
    <n v="10"/>
    <m/>
    <m/>
  </r>
  <r>
    <x v="26"/>
    <x v="14"/>
    <x v="11"/>
    <m/>
    <n v="52"/>
    <n v="0"/>
    <n v="50"/>
    <n v="0"/>
    <n v="17"/>
    <m/>
    <m/>
  </r>
  <r>
    <x v="26"/>
    <x v="37"/>
    <x v="11"/>
    <m/>
    <n v="13"/>
    <n v="0"/>
    <n v="7"/>
    <n v="0"/>
    <n v="5"/>
    <m/>
    <m/>
  </r>
  <r>
    <x v="26"/>
    <x v="13"/>
    <x v="8"/>
    <m/>
    <n v="34"/>
    <n v="0"/>
    <n v="30"/>
    <n v="0"/>
    <n v="10"/>
    <m/>
    <m/>
  </r>
  <r>
    <x v="26"/>
    <x v="5"/>
    <x v="7"/>
    <m/>
    <n v="13"/>
    <n v="37"/>
    <n v="23"/>
    <n v="17"/>
    <n v="16"/>
    <m/>
    <m/>
  </r>
  <r>
    <x v="26"/>
    <x v="30"/>
    <x v="12"/>
    <m/>
    <n v="31"/>
    <n v="8"/>
    <n v="26"/>
    <n v="9"/>
    <n v="10"/>
    <m/>
    <m/>
  </r>
  <r>
    <x v="26"/>
    <x v="19"/>
    <x v="13"/>
    <m/>
    <n v="39"/>
    <n v="10"/>
    <n v="24"/>
    <n v="14"/>
    <n v="16"/>
    <m/>
    <m/>
  </r>
  <r>
    <x v="26"/>
    <x v="24"/>
    <x v="14"/>
    <m/>
    <n v="65"/>
    <n v="10"/>
    <n v="28"/>
    <n v="25"/>
    <n v="16"/>
    <m/>
    <m/>
  </r>
  <r>
    <x v="26"/>
    <x v="21"/>
    <x v="15"/>
    <m/>
    <n v="36"/>
    <n v="14"/>
    <n v="48"/>
    <n v="9"/>
    <n v="11"/>
    <m/>
    <m/>
  </r>
  <r>
    <x v="26"/>
    <x v="22"/>
    <x v="16"/>
    <m/>
    <n v="49"/>
    <n v="9"/>
    <n v="19"/>
    <n v="11"/>
    <n v="14"/>
    <m/>
    <m/>
  </r>
  <r>
    <x v="26"/>
    <x v="45"/>
    <x v="24"/>
    <m/>
    <n v="15"/>
    <n v="9"/>
    <n v="0"/>
    <n v="1"/>
    <n v="3"/>
    <m/>
    <m/>
  </r>
  <r>
    <x v="26"/>
    <x v="27"/>
    <x v="17"/>
    <m/>
    <n v="32"/>
    <n v="12"/>
    <n v="27"/>
    <n v="10"/>
    <n v="23"/>
    <m/>
    <m/>
  </r>
  <r>
    <x v="26"/>
    <x v="33"/>
    <x v="18"/>
    <m/>
    <n v="17"/>
    <n v="12"/>
    <n v="19"/>
    <n v="14"/>
    <n v="13"/>
    <m/>
    <m/>
  </r>
  <r>
    <x v="26"/>
    <x v="29"/>
    <x v="20"/>
    <m/>
    <n v="9"/>
    <n v="13"/>
    <n v="7"/>
    <n v="0"/>
    <n v="6"/>
    <m/>
    <m/>
  </r>
  <r>
    <x v="26"/>
    <x v="38"/>
    <x v="21"/>
    <m/>
    <n v="25"/>
    <n v="4"/>
    <n v="13"/>
    <n v="3"/>
    <n v="6"/>
    <m/>
    <m/>
  </r>
  <r>
    <x v="26"/>
    <x v="40"/>
    <x v="19"/>
    <m/>
    <n v="18"/>
    <n v="9"/>
    <n v="9"/>
    <n v="4"/>
    <n v="2"/>
    <m/>
    <m/>
  </r>
  <r>
    <x v="26"/>
    <x v="41"/>
    <x v="22"/>
    <m/>
    <n v="14"/>
    <n v="1"/>
    <n v="6"/>
    <n v="0"/>
    <n v="6"/>
    <m/>
    <m/>
  </r>
  <r>
    <x v="26"/>
    <x v="42"/>
    <x v="23"/>
    <m/>
    <n v="11"/>
    <n v="3"/>
    <n v="1"/>
    <n v="1"/>
    <n v="2"/>
    <m/>
    <m/>
  </r>
  <r>
    <x v="27"/>
    <x v="15"/>
    <x v="3"/>
    <n v="372"/>
    <m/>
    <m/>
    <m/>
    <m/>
    <m/>
    <n v="232100"/>
    <m/>
  </r>
  <r>
    <x v="27"/>
    <x v="15"/>
    <x v="8"/>
    <n v="274"/>
    <m/>
    <m/>
    <m/>
    <m/>
    <m/>
    <n v="186450"/>
    <m/>
  </r>
  <r>
    <x v="27"/>
    <x v="15"/>
    <x v="4"/>
    <n v="512"/>
    <m/>
    <m/>
    <m/>
    <m/>
    <m/>
    <n v="353150"/>
    <m/>
  </r>
  <r>
    <x v="27"/>
    <x v="15"/>
    <x v="6"/>
    <n v="357"/>
    <m/>
    <m/>
    <m/>
    <m/>
    <m/>
    <n v="103850"/>
    <m/>
  </r>
  <r>
    <x v="27"/>
    <x v="15"/>
    <x v="11"/>
    <n v="371"/>
    <m/>
    <m/>
    <m/>
    <m/>
    <m/>
    <n v="348950"/>
    <m/>
  </r>
  <r>
    <x v="27"/>
    <x v="15"/>
    <x v="10"/>
    <n v="258"/>
    <m/>
    <m/>
    <m/>
    <m/>
    <m/>
    <n v="135400"/>
    <m/>
  </r>
  <r>
    <x v="27"/>
    <x v="15"/>
    <x v="0"/>
    <n v="562"/>
    <m/>
    <m/>
    <m/>
    <m/>
    <m/>
    <n v="639410"/>
    <m/>
  </r>
  <r>
    <x v="27"/>
    <x v="15"/>
    <x v="5"/>
    <n v="203"/>
    <m/>
    <m/>
    <m/>
    <m/>
    <m/>
    <n v="174200"/>
    <m/>
  </r>
  <r>
    <x v="27"/>
    <x v="15"/>
    <x v="9"/>
    <n v="371"/>
    <m/>
    <m/>
    <m/>
    <m/>
    <m/>
    <n v="333250"/>
    <m/>
  </r>
  <r>
    <x v="27"/>
    <x v="15"/>
    <x v="7"/>
    <n v="358"/>
    <m/>
    <m/>
    <m/>
    <m/>
    <m/>
    <n v="168050"/>
    <m/>
  </r>
  <r>
    <x v="27"/>
    <x v="15"/>
    <x v="2"/>
    <n v="520"/>
    <m/>
    <m/>
    <m/>
    <m/>
    <m/>
    <n v="463900"/>
    <m/>
  </r>
  <r>
    <x v="27"/>
    <x v="15"/>
    <x v="1"/>
    <n v="226"/>
    <m/>
    <m/>
    <m/>
    <m/>
    <m/>
    <n v="202900"/>
    <m/>
  </r>
  <r>
    <x v="27"/>
    <x v="15"/>
    <x v="12"/>
    <n v="225"/>
    <m/>
    <m/>
    <m/>
    <m/>
    <m/>
    <n v="158600"/>
    <m/>
  </r>
  <r>
    <x v="27"/>
    <x v="15"/>
    <x v="13"/>
    <n v="402"/>
    <m/>
    <m/>
    <m/>
    <m/>
    <m/>
    <n v="111340"/>
    <m/>
  </r>
  <r>
    <x v="27"/>
    <x v="15"/>
    <x v="14"/>
    <n v="370"/>
    <m/>
    <m/>
    <m/>
    <m/>
    <m/>
    <n v="276500"/>
    <m/>
  </r>
  <r>
    <x v="27"/>
    <x v="15"/>
    <x v="15"/>
    <n v="308"/>
    <m/>
    <m/>
    <m/>
    <m/>
    <m/>
    <n v="108600"/>
    <m/>
  </r>
  <r>
    <x v="27"/>
    <x v="15"/>
    <x v="16"/>
    <n v="210"/>
    <m/>
    <m/>
    <m/>
    <m/>
    <m/>
    <n v="115940"/>
    <m/>
  </r>
  <r>
    <x v="27"/>
    <x v="15"/>
    <x v="17"/>
    <n v="180"/>
    <m/>
    <m/>
    <m/>
    <m/>
    <m/>
    <n v="356200"/>
    <m/>
  </r>
  <r>
    <x v="27"/>
    <x v="15"/>
    <x v="18"/>
    <n v="258"/>
    <m/>
    <m/>
    <m/>
    <m/>
    <m/>
    <n v="156850"/>
    <m/>
  </r>
  <r>
    <x v="27"/>
    <x v="15"/>
    <x v="19"/>
    <n v="187"/>
    <m/>
    <m/>
    <m/>
    <m/>
    <m/>
    <n v="53950"/>
    <m/>
  </r>
  <r>
    <x v="27"/>
    <x v="15"/>
    <x v="20"/>
    <n v="374"/>
    <m/>
    <m/>
    <m/>
    <m/>
    <m/>
    <n v="52900"/>
    <m/>
  </r>
  <r>
    <x v="27"/>
    <x v="15"/>
    <x v="21"/>
    <n v="136"/>
    <m/>
    <m/>
    <m/>
    <m/>
    <m/>
    <n v="124800"/>
    <m/>
  </r>
  <r>
    <x v="27"/>
    <x v="15"/>
    <x v="22"/>
    <n v="159"/>
    <m/>
    <m/>
    <m/>
    <m/>
    <m/>
    <n v="55800"/>
    <m/>
  </r>
  <r>
    <x v="27"/>
    <x v="15"/>
    <x v="23"/>
    <n v="376"/>
    <m/>
    <m/>
    <m/>
    <m/>
    <m/>
    <n v="53000"/>
    <m/>
  </r>
  <r>
    <x v="27"/>
    <x v="15"/>
    <x v="24"/>
    <n v="210"/>
    <m/>
    <m/>
    <m/>
    <m/>
    <m/>
    <n v="50980"/>
    <m/>
  </r>
  <r>
    <x v="27"/>
    <x v="15"/>
    <x v="25"/>
    <n v="181"/>
    <m/>
    <m/>
    <m/>
    <m/>
    <m/>
    <n v="53500"/>
    <m/>
  </r>
  <r>
    <x v="27"/>
    <x v="15"/>
    <x v="26"/>
    <n v="220"/>
    <m/>
    <m/>
    <m/>
    <m/>
    <m/>
    <n v="86500"/>
    <m/>
  </r>
  <r>
    <x v="27"/>
    <x v="29"/>
    <x v="0"/>
    <m/>
    <n v="41"/>
    <n v="7"/>
    <n v="32"/>
    <n v="2"/>
    <n v="20"/>
    <m/>
    <m/>
  </r>
  <r>
    <x v="27"/>
    <x v="0"/>
    <x v="0"/>
    <m/>
    <n v="35"/>
    <n v="10"/>
    <n v="51"/>
    <n v="3"/>
    <n v="26"/>
    <m/>
    <m/>
  </r>
  <r>
    <x v="27"/>
    <x v="28"/>
    <x v="10"/>
    <m/>
    <n v="17"/>
    <n v="2"/>
    <n v="25"/>
    <n v="1"/>
    <n v="10"/>
    <m/>
    <m/>
  </r>
  <r>
    <x v="27"/>
    <x v="7"/>
    <x v="2"/>
    <m/>
    <n v="41"/>
    <n v="10"/>
    <n v="32"/>
    <n v="24"/>
    <n v="21"/>
    <m/>
    <m/>
  </r>
  <r>
    <x v="27"/>
    <x v="39"/>
    <x v="2"/>
    <m/>
    <n v="24"/>
    <n v="15"/>
    <n v="14"/>
    <n v="7"/>
    <n v="12"/>
    <m/>
    <m/>
  </r>
  <r>
    <x v="27"/>
    <x v="4"/>
    <x v="5"/>
    <m/>
    <n v="30"/>
    <n v="2"/>
    <n v="21"/>
    <n v="4"/>
    <n v="13"/>
    <m/>
    <m/>
  </r>
  <r>
    <x v="27"/>
    <x v="4"/>
    <x v="6"/>
    <m/>
    <n v="10"/>
    <n v="2"/>
    <n v="11"/>
    <n v="0"/>
    <n v="5"/>
    <m/>
    <m/>
  </r>
  <r>
    <x v="27"/>
    <x v="11"/>
    <x v="6"/>
    <m/>
    <n v="12"/>
    <n v="4"/>
    <n v="13"/>
    <n v="7"/>
    <n v="3"/>
    <m/>
    <m/>
  </r>
  <r>
    <x v="27"/>
    <x v="11"/>
    <x v="3"/>
    <m/>
    <n v="10"/>
    <n v="1"/>
    <n v="39"/>
    <n v="0"/>
    <n v="10"/>
    <m/>
    <m/>
  </r>
  <r>
    <x v="27"/>
    <x v="3"/>
    <x v="3"/>
    <m/>
    <n v="2"/>
    <n v="0"/>
    <n v="0"/>
    <n v="0"/>
    <n v="2"/>
    <m/>
    <m/>
  </r>
  <r>
    <x v="27"/>
    <x v="43"/>
    <x v="3"/>
    <m/>
    <n v="28"/>
    <n v="1"/>
    <n v="3"/>
    <n v="1"/>
    <n v="5"/>
    <m/>
    <m/>
  </r>
  <r>
    <x v="27"/>
    <x v="3"/>
    <x v="4"/>
    <m/>
    <n v="5"/>
    <n v="0"/>
    <n v="22"/>
    <n v="4"/>
    <n v="5"/>
    <m/>
    <m/>
  </r>
  <r>
    <x v="27"/>
    <x v="13"/>
    <x v="4"/>
    <m/>
    <n v="30"/>
    <n v="5"/>
    <n v="19"/>
    <n v="3"/>
    <n v="10"/>
    <m/>
    <m/>
  </r>
  <r>
    <x v="27"/>
    <x v="16"/>
    <x v="4"/>
    <m/>
    <n v="26"/>
    <n v="8"/>
    <n v="18"/>
    <n v="3"/>
    <n v="10"/>
    <m/>
    <m/>
  </r>
  <r>
    <x v="27"/>
    <x v="10"/>
    <x v="9"/>
    <m/>
    <n v="24"/>
    <n v="2"/>
    <n v="34"/>
    <n v="3"/>
    <n v="15"/>
    <m/>
    <m/>
  </r>
  <r>
    <x v="27"/>
    <x v="12"/>
    <x v="9"/>
    <m/>
    <n v="36"/>
    <n v="6"/>
    <n v="27"/>
    <n v="4"/>
    <n v="10"/>
    <m/>
    <m/>
  </r>
  <r>
    <x v="27"/>
    <x v="44"/>
    <x v="1"/>
    <m/>
    <n v="43"/>
    <n v="10"/>
    <n v="41"/>
    <n v="11"/>
    <n v="15"/>
    <m/>
    <m/>
  </r>
  <r>
    <x v="27"/>
    <x v="14"/>
    <x v="11"/>
    <m/>
    <n v="26"/>
    <n v="0"/>
    <n v="37"/>
    <n v="0"/>
    <n v="18"/>
    <m/>
    <m/>
  </r>
  <r>
    <x v="27"/>
    <x v="37"/>
    <x v="11"/>
    <m/>
    <n v="12"/>
    <n v="0"/>
    <n v="2"/>
    <n v="0"/>
    <n v="4"/>
    <m/>
    <m/>
  </r>
  <r>
    <x v="27"/>
    <x v="13"/>
    <x v="8"/>
    <m/>
    <n v="32"/>
    <n v="1"/>
    <n v="42"/>
    <n v="1"/>
    <n v="12"/>
    <m/>
    <m/>
  </r>
  <r>
    <x v="28"/>
    <x v="46"/>
    <x v="8"/>
    <m/>
    <n v="32"/>
    <n v="1"/>
    <n v="1"/>
    <n v="0"/>
    <n v="1"/>
    <m/>
    <m/>
  </r>
  <r>
    <x v="27"/>
    <x v="5"/>
    <x v="7"/>
    <m/>
    <n v="24"/>
    <n v="11"/>
    <n v="29"/>
    <n v="9"/>
    <n v="12"/>
    <m/>
    <m/>
  </r>
  <r>
    <x v="27"/>
    <x v="30"/>
    <x v="12"/>
    <m/>
    <n v="25"/>
    <n v="8"/>
    <n v="14"/>
    <n v="7"/>
    <n v="11"/>
    <m/>
    <m/>
  </r>
  <r>
    <x v="27"/>
    <x v="42"/>
    <x v="12"/>
    <m/>
    <n v="6"/>
    <n v="1"/>
    <n v="0"/>
    <n v="0"/>
    <n v="0"/>
    <m/>
    <m/>
  </r>
  <r>
    <x v="27"/>
    <x v="19"/>
    <x v="13"/>
    <m/>
    <n v="23"/>
    <n v="12"/>
    <n v="20"/>
    <n v="10"/>
    <n v="9"/>
    <m/>
    <m/>
  </r>
  <r>
    <x v="27"/>
    <x v="24"/>
    <x v="14"/>
    <m/>
    <n v="3"/>
    <n v="1"/>
    <n v="28"/>
    <n v="16"/>
    <n v="10"/>
    <m/>
    <m/>
  </r>
  <r>
    <x v="27"/>
    <x v="47"/>
    <x v="14"/>
    <m/>
    <n v="28"/>
    <n v="13"/>
    <n v="8"/>
    <n v="5"/>
    <n v="10"/>
    <m/>
    <m/>
  </r>
  <r>
    <x v="27"/>
    <x v="21"/>
    <x v="15"/>
    <m/>
    <n v="25"/>
    <n v="10"/>
    <n v="24"/>
    <n v="9"/>
    <n v="8"/>
    <m/>
    <m/>
  </r>
  <r>
    <x v="27"/>
    <x v="22"/>
    <x v="16"/>
    <m/>
    <n v="33"/>
    <n v="8"/>
    <n v="11"/>
    <n v="3"/>
    <n v="9"/>
    <m/>
    <m/>
  </r>
  <r>
    <x v="27"/>
    <x v="45"/>
    <x v="24"/>
    <m/>
    <n v="13"/>
    <n v="8"/>
    <n v="4"/>
    <n v="0"/>
    <n v="4"/>
    <m/>
    <m/>
  </r>
  <r>
    <x v="27"/>
    <x v="27"/>
    <x v="17"/>
    <m/>
    <n v="28"/>
    <n v="6"/>
    <n v="18"/>
    <n v="3"/>
    <n v="28"/>
    <m/>
    <m/>
  </r>
  <r>
    <x v="27"/>
    <x v="33"/>
    <x v="18"/>
    <m/>
    <n v="22"/>
    <n v="7"/>
    <n v="14"/>
    <n v="13"/>
    <n v="12"/>
    <m/>
    <m/>
  </r>
  <r>
    <x v="27"/>
    <x v="29"/>
    <x v="20"/>
    <m/>
    <n v="14"/>
    <n v="5"/>
    <n v="8"/>
    <n v="0"/>
    <n v="3"/>
    <m/>
    <m/>
  </r>
  <r>
    <x v="28"/>
    <x v="37"/>
    <x v="20"/>
    <m/>
    <n v="0"/>
    <n v="1"/>
    <n v="0"/>
    <n v="0"/>
    <n v="1"/>
    <m/>
    <m/>
  </r>
  <r>
    <x v="27"/>
    <x v="38"/>
    <x v="21"/>
    <m/>
    <n v="8"/>
    <n v="4"/>
    <n v="12"/>
    <n v="2"/>
    <n v="9"/>
    <m/>
    <m/>
  </r>
  <r>
    <x v="27"/>
    <x v="40"/>
    <x v="19"/>
    <m/>
    <n v="8"/>
    <n v="8"/>
    <n v="2"/>
    <n v="2"/>
    <n v="4"/>
    <m/>
    <m/>
  </r>
  <r>
    <x v="27"/>
    <x v="41"/>
    <x v="22"/>
    <m/>
    <n v="6"/>
    <n v="0"/>
    <n v="3"/>
    <n v="0"/>
    <n v="4"/>
    <m/>
    <m/>
  </r>
  <r>
    <x v="27"/>
    <x v="42"/>
    <x v="23"/>
    <m/>
    <n v="5"/>
    <n v="5"/>
    <n v="1"/>
    <n v="0"/>
    <n v="4"/>
    <m/>
    <m/>
  </r>
  <r>
    <x v="27"/>
    <x v="48"/>
    <x v="25"/>
    <m/>
    <n v="20"/>
    <n v="0"/>
    <n v="1"/>
    <n v="0"/>
    <n v="4"/>
    <m/>
    <m/>
  </r>
  <r>
    <x v="27"/>
    <x v="49"/>
    <x v="26"/>
    <m/>
    <n v="12"/>
    <n v="3"/>
    <n v="0"/>
    <n v="0"/>
    <n v="7"/>
    <m/>
    <m/>
  </r>
  <r>
    <x v="29"/>
    <x v="15"/>
    <x v="3"/>
    <n v="467"/>
    <m/>
    <m/>
    <m/>
    <m/>
    <m/>
    <n v="90300"/>
    <m/>
  </r>
  <r>
    <x v="29"/>
    <x v="15"/>
    <x v="8"/>
    <n v="296"/>
    <m/>
    <m/>
    <m/>
    <m/>
    <m/>
    <n v="267550"/>
    <m/>
  </r>
  <r>
    <x v="29"/>
    <x v="15"/>
    <x v="4"/>
    <n v="699"/>
    <m/>
    <m/>
    <m/>
    <m/>
    <m/>
    <n v="558615"/>
    <m/>
  </r>
  <r>
    <x v="29"/>
    <x v="15"/>
    <x v="6"/>
    <n v="390"/>
    <m/>
    <m/>
    <m/>
    <m/>
    <m/>
    <n v="120350"/>
    <m/>
  </r>
  <r>
    <x v="29"/>
    <x v="15"/>
    <x v="11"/>
    <n v="556"/>
    <m/>
    <m/>
    <m/>
    <m/>
    <m/>
    <n v="474350"/>
    <m/>
  </r>
  <r>
    <x v="29"/>
    <x v="15"/>
    <x v="10"/>
    <n v="335"/>
    <m/>
    <m/>
    <m/>
    <m/>
    <m/>
    <n v="144400"/>
    <m/>
  </r>
  <r>
    <x v="29"/>
    <x v="15"/>
    <x v="0"/>
    <n v="622"/>
    <m/>
    <m/>
    <m/>
    <m/>
    <m/>
    <n v="619710"/>
    <m/>
  </r>
  <r>
    <x v="29"/>
    <x v="15"/>
    <x v="5"/>
    <n v="299"/>
    <m/>
    <m/>
    <m/>
    <m/>
    <m/>
    <n v="213900"/>
    <m/>
  </r>
  <r>
    <x v="29"/>
    <x v="15"/>
    <x v="9"/>
    <n v="460"/>
    <m/>
    <m/>
    <m/>
    <m/>
    <m/>
    <n v="336300"/>
    <m/>
  </r>
  <r>
    <x v="29"/>
    <x v="15"/>
    <x v="7"/>
    <n v="382"/>
    <m/>
    <m/>
    <m/>
    <m/>
    <m/>
    <n v="142950"/>
    <m/>
  </r>
  <r>
    <x v="29"/>
    <x v="15"/>
    <x v="2"/>
    <n v="602"/>
    <m/>
    <m/>
    <m/>
    <m/>
    <m/>
    <n v="414751"/>
    <m/>
  </r>
  <r>
    <x v="29"/>
    <x v="15"/>
    <x v="1"/>
    <n v="540"/>
    <m/>
    <m/>
    <m/>
    <m/>
    <m/>
    <n v="200000"/>
    <m/>
  </r>
  <r>
    <x v="29"/>
    <x v="15"/>
    <x v="12"/>
    <n v="275"/>
    <m/>
    <m/>
    <m/>
    <m/>
    <m/>
    <n v="157400"/>
    <m/>
  </r>
  <r>
    <x v="29"/>
    <x v="15"/>
    <x v="13"/>
    <n v="518"/>
    <m/>
    <m/>
    <m/>
    <m/>
    <m/>
    <n v="123000"/>
    <m/>
  </r>
  <r>
    <x v="29"/>
    <x v="15"/>
    <x v="14"/>
    <n v="514"/>
    <m/>
    <m/>
    <m/>
    <m/>
    <m/>
    <n v="203250"/>
    <m/>
  </r>
  <r>
    <x v="29"/>
    <x v="15"/>
    <x v="15"/>
    <n v="376"/>
    <m/>
    <m/>
    <m/>
    <m/>
    <m/>
    <n v="67000"/>
    <m/>
  </r>
  <r>
    <x v="29"/>
    <x v="15"/>
    <x v="16"/>
    <n v="250"/>
    <m/>
    <m/>
    <m/>
    <m/>
    <m/>
    <n v="148970"/>
    <m/>
  </r>
  <r>
    <x v="29"/>
    <x v="15"/>
    <x v="17"/>
    <n v="260"/>
    <m/>
    <m/>
    <m/>
    <m/>
    <m/>
    <n v="263900"/>
    <m/>
  </r>
  <r>
    <x v="29"/>
    <x v="15"/>
    <x v="18"/>
    <n v="355"/>
    <m/>
    <m/>
    <m/>
    <m/>
    <m/>
    <n v="190450"/>
    <m/>
  </r>
  <r>
    <x v="29"/>
    <x v="15"/>
    <x v="19"/>
    <n v="283"/>
    <m/>
    <m/>
    <m/>
    <m/>
    <m/>
    <n v="13500"/>
    <m/>
  </r>
  <r>
    <x v="29"/>
    <x v="15"/>
    <x v="20"/>
    <n v="405"/>
    <m/>
    <m/>
    <m/>
    <m/>
    <m/>
    <n v="78850"/>
    <m/>
  </r>
  <r>
    <x v="29"/>
    <x v="15"/>
    <x v="21"/>
    <n v="195"/>
    <m/>
    <m/>
    <m/>
    <m/>
    <m/>
    <n v="77000"/>
    <m/>
  </r>
  <r>
    <x v="29"/>
    <x v="15"/>
    <x v="22"/>
    <n v="181"/>
    <m/>
    <m/>
    <m/>
    <m/>
    <m/>
    <n v="12000"/>
    <m/>
  </r>
  <r>
    <x v="29"/>
    <x v="15"/>
    <x v="23"/>
    <n v="593"/>
    <m/>
    <m/>
    <m/>
    <m/>
    <m/>
    <n v="50500"/>
    <m/>
  </r>
  <r>
    <x v="29"/>
    <x v="15"/>
    <x v="24"/>
    <n v="200"/>
    <m/>
    <m/>
    <m/>
    <m/>
    <m/>
    <n v="36000"/>
    <m/>
  </r>
  <r>
    <x v="29"/>
    <x v="15"/>
    <x v="25"/>
    <n v="226"/>
    <m/>
    <m/>
    <m/>
    <m/>
    <m/>
    <n v="74900"/>
    <m/>
  </r>
  <r>
    <x v="29"/>
    <x v="15"/>
    <x v="26"/>
    <n v="266"/>
    <m/>
    <m/>
    <m/>
    <m/>
    <m/>
    <n v="137550"/>
    <m/>
  </r>
  <r>
    <x v="29"/>
    <x v="29"/>
    <x v="0"/>
    <m/>
    <n v="14"/>
    <n v="12"/>
    <n v="23"/>
    <n v="3"/>
    <n v="12"/>
    <m/>
    <m/>
  </r>
  <r>
    <x v="29"/>
    <x v="0"/>
    <x v="0"/>
    <m/>
    <n v="58"/>
    <n v="15"/>
    <n v="69"/>
    <n v="7"/>
    <n v="33"/>
    <m/>
    <m/>
  </r>
  <r>
    <x v="29"/>
    <x v="28"/>
    <x v="10"/>
    <m/>
    <n v="33"/>
    <n v="2"/>
    <n v="45"/>
    <n v="1"/>
    <n v="11"/>
    <m/>
    <m/>
  </r>
  <r>
    <x v="29"/>
    <x v="7"/>
    <x v="2"/>
    <m/>
    <n v="60"/>
    <n v="24"/>
    <n v="36"/>
    <n v="15"/>
    <n v="18"/>
    <m/>
    <m/>
  </r>
  <r>
    <x v="29"/>
    <x v="39"/>
    <x v="2"/>
    <m/>
    <n v="32"/>
    <n v="22"/>
    <n v="12"/>
    <n v="6"/>
    <n v="12"/>
    <m/>
    <m/>
  </r>
  <r>
    <x v="29"/>
    <x v="4"/>
    <x v="5"/>
    <m/>
    <n v="45"/>
    <n v="5"/>
    <n v="30"/>
    <n v="2"/>
    <n v="16"/>
    <m/>
    <m/>
  </r>
  <r>
    <x v="29"/>
    <x v="4"/>
    <x v="6"/>
    <m/>
    <n v="27"/>
    <n v="2"/>
    <n v="18"/>
    <n v="0"/>
    <n v="7"/>
    <m/>
    <m/>
  </r>
  <r>
    <x v="29"/>
    <x v="11"/>
    <x v="6"/>
    <m/>
    <n v="0"/>
    <n v="0"/>
    <n v="0"/>
    <n v="1"/>
    <n v="2"/>
    <m/>
    <m/>
  </r>
  <r>
    <x v="29"/>
    <x v="50"/>
    <x v="3"/>
    <m/>
    <n v="43"/>
    <n v="4"/>
    <n v="21"/>
    <n v="0"/>
    <n v="2"/>
    <m/>
    <m/>
  </r>
  <r>
    <x v="29"/>
    <x v="43"/>
    <x v="3"/>
    <m/>
    <n v="6"/>
    <n v="0"/>
    <n v="2"/>
    <n v="1"/>
    <n v="5"/>
    <m/>
    <m/>
  </r>
  <r>
    <x v="29"/>
    <x v="43"/>
    <x v="4"/>
    <m/>
    <n v="6"/>
    <n v="0"/>
    <n v="5"/>
    <n v="0"/>
    <n v="0"/>
    <m/>
    <m/>
  </r>
  <r>
    <x v="29"/>
    <x v="3"/>
    <x v="4"/>
    <m/>
    <n v="0"/>
    <n v="0"/>
    <n v="42"/>
    <n v="10"/>
    <n v="3"/>
    <m/>
    <m/>
  </r>
  <r>
    <x v="29"/>
    <x v="13"/>
    <x v="4"/>
    <m/>
    <n v="44"/>
    <n v="5"/>
    <n v="28"/>
    <n v="3"/>
    <n v="21"/>
    <m/>
    <m/>
  </r>
  <r>
    <x v="29"/>
    <x v="16"/>
    <x v="4"/>
    <m/>
    <n v="18"/>
    <n v="2"/>
    <n v="24"/>
    <n v="2"/>
    <n v="16"/>
    <m/>
    <m/>
  </r>
  <r>
    <x v="29"/>
    <x v="10"/>
    <x v="9"/>
    <m/>
    <n v="26"/>
    <n v="9"/>
    <n v="35"/>
    <n v="4"/>
    <n v="14"/>
    <m/>
    <m/>
  </r>
  <r>
    <x v="29"/>
    <x v="12"/>
    <x v="9"/>
    <m/>
    <n v="39"/>
    <n v="6"/>
    <n v="40"/>
    <n v="3"/>
    <n v="11"/>
    <m/>
    <m/>
  </r>
  <r>
    <x v="29"/>
    <x v="44"/>
    <x v="1"/>
    <m/>
    <n v="36"/>
    <n v="19"/>
    <n v="35"/>
    <n v="19"/>
    <n v="16"/>
    <m/>
    <m/>
  </r>
  <r>
    <x v="29"/>
    <x v="14"/>
    <x v="11"/>
    <m/>
    <n v="41"/>
    <n v="0"/>
    <n v="49"/>
    <n v="0"/>
    <n v="25"/>
    <m/>
    <m/>
  </r>
  <r>
    <x v="29"/>
    <x v="37"/>
    <x v="11"/>
    <m/>
    <n v="17"/>
    <n v="0"/>
    <n v="4"/>
    <n v="0"/>
    <n v="5"/>
    <m/>
    <m/>
  </r>
  <r>
    <x v="29"/>
    <x v="13"/>
    <x v="8"/>
    <m/>
    <n v="6"/>
    <n v="0"/>
    <n v="22"/>
    <n v="1"/>
    <n v="6"/>
    <m/>
    <m/>
  </r>
  <r>
    <x v="29"/>
    <x v="46"/>
    <x v="8"/>
    <m/>
    <n v="57"/>
    <n v="2"/>
    <n v="23"/>
    <n v="0"/>
    <n v="13"/>
    <m/>
    <m/>
  </r>
  <r>
    <x v="29"/>
    <x v="5"/>
    <x v="7"/>
    <m/>
    <n v="31"/>
    <n v="35"/>
    <n v="24"/>
    <n v="18"/>
    <n v="10"/>
    <m/>
    <m/>
  </r>
  <r>
    <x v="29"/>
    <x v="30"/>
    <x v="12"/>
    <m/>
    <n v="39"/>
    <n v="10"/>
    <n v="34"/>
    <n v="17"/>
    <n v="10"/>
    <m/>
    <m/>
  </r>
  <r>
    <x v="29"/>
    <x v="42"/>
    <x v="12"/>
    <m/>
    <n v="3"/>
    <n v="2"/>
    <n v="0"/>
    <n v="1"/>
    <n v="1"/>
    <m/>
    <m/>
  </r>
  <r>
    <x v="29"/>
    <x v="19"/>
    <x v="13"/>
    <m/>
    <n v="34"/>
    <n v="2"/>
    <n v="27"/>
    <n v="6"/>
    <n v="10"/>
    <m/>
    <m/>
  </r>
  <r>
    <x v="29"/>
    <x v="47"/>
    <x v="14"/>
    <m/>
    <n v="53"/>
    <n v="10"/>
    <n v="27"/>
    <n v="7"/>
    <n v="15"/>
    <m/>
    <m/>
  </r>
  <r>
    <x v="29"/>
    <x v="21"/>
    <x v="15"/>
    <m/>
    <n v="25"/>
    <n v="13"/>
    <n v="32"/>
    <n v="22"/>
    <n v="5"/>
    <m/>
    <m/>
  </r>
  <r>
    <x v="29"/>
    <x v="22"/>
    <x v="16"/>
    <m/>
    <n v="42"/>
    <n v="10"/>
    <n v="32"/>
    <n v="4"/>
    <n v="12"/>
    <m/>
    <m/>
  </r>
  <r>
    <x v="29"/>
    <x v="45"/>
    <x v="24"/>
    <m/>
    <n v="11"/>
    <n v="3"/>
    <n v="1"/>
    <n v="3"/>
    <n v="3"/>
    <m/>
    <m/>
  </r>
  <r>
    <x v="29"/>
    <x v="27"/>
    <x v="17"/>
    <m/>
    <n v="30"/>
    <n v="15"/>
    <n v="27"/>
    <n v="14"/>
    <n v="20"/>
    <m/>
    <m/>
  </r>
  <r>
    <x v="29"/>
    <x v="33"/>
    <x v="18"/>
    <m/>
    <n v="22"/>
    <n v="12"/>
    <n v="36"/>
    <n v="22"/>
    <n v="15"/>
    <m/>
    <m/>
  </r>
  <r>
    <x v="29"/>
    <x v="29"/>
    <x v="20"/>
    <m/>
    <n v="14"/>
    <n v="3"/>
    <n v="15"/>
    <n v="2"/>
    <n v="6"/>
    <m/>
    <m/>
  </r>
  <r>
    <x v="29"/>
    <x v="38"/>
    <x v="21"/>
    <m/>
    <n v="34"/>
    <n v="12"/>
    <n v="16"/>
    <n v="3"/>
    <n v="6"/>
    <m/>
    <m/>
  </r>
  <r>
    <x v="29"/>
    <x v="40"/>
    <x v="19"/>
    <m/>
    <n v="20"/>
    <n v="12"/>
    <n v="5"/>
    <n v="2"/>
    <n v="1"/>
    <m/>
    <m/>
  </r>
  <r>
    <x v="29"/>
    <x v="41"/>
    <x v="22"/>
    <m/>
    <n v="24"/>
    <n v="13"/>
    <n v="6"/>
    <n v="0"/>
    <n v="1"/>
    <m/>
    <m/>
  </r>
  <r>
    <x v="29"/>
    <x v="42"/>
    <x v="23"/>
    <m/>
    <n v="15"/>
    <n v="1"/>
    <n v="5"/>
    <n v="1"/>
    <n v="4"/>
    <m/>
    <m/>
  </r>
  <r>
    <x v="29"/>
    <x v="48"/>
    <x v="25"/>
    <m/>
    <n v="21"/>
    <n v="2"/>
    <n v="9"/>
    <n v="0"/>
    <n v="5"/>
    <m/>
    <m/>
  </r>
  <r>
    <x v="29"/>
    <x v="49"/>
    <x v="26"/>
    <m/>
    <n v="36"/>
    <n v="3"/>
    <n v="13"/>
    <n v="1"/>
    <n v="10"/>
    <m/>
    <m/>
  </r>
  <r>
    <x v="30"/>
    <x v="15"/>
    <x v="3"/>
    <n v="291"/>
    <m/>
    <m/>
    <m/>
    <m/>
    <m/>
    <n v="209900"/>
    <m/>
  </r>
  <r>
    <x v="30"/>
    <x v="15"/>
    <x v="8"/>
    <n v="261"/>
    <m/>
    <m/>
    <m/>
    <m/>
    <m/>
    <n v="215850"/>
    <m/>
  </r>
  <r>
    <x v="30"/>
    <x v="15"/>
    <x v="4"/>
    <n v="415"/>
    <m/>
    <m/>
    <m/>
    <m/>
    <m/>
    <n v="442430"/>
    <m/>
  </r>
  <r>
    <x v="30"/>
    <x v="15"/>
    <x v="6"/>
    <n v="320"/>
    <m/>
    <m/>
    <m/>
    <m/>
    <m/>
    <n v="139000"/>
    <m/>
  </r>
  <r>
    <x v="30"/>
    <x v="15"/>
    <x v="11"/>
    <n v="441"/>
    <m/>
    <m/>
    <m/>
    <m/>
    <m/>
    <n v="451800"/>
    <m/>
  </r>
  <r>
    <x v="30"/>
    <x v="15"/>
    <x v="10"/>
    <n v="310"/>
    <m/>
    <m/>
    <m/>
    <m/>
    <m/>
    <n v="200300"/>
    <m/>
  </r>
  <r>
    <x v="30"/>
    <x v="15"/>
    <x v="0"/>
    <n v="435"/>
    <m/>
    <m/>
    <m/>
    <m/>
    <m/>
    <n v="636400"/>
    <m/>
  </r>
  <r>
    <x v="30"/>
    <x v="15"/>
    <x v="5"/>
    <n v="283"/>
    <m/>
    <m/>
    <m/>
    <m/>
    <m/>
    <n v="268450"/>
    <m/>
  </r>
  <r>
    <x v="30"/>
    <x v="15"/>
    <x v="9"/>
    <n v="364"/>
    <m/>
    <m/>
    <m/>
    <m/>
    <m/>
    <n v="336750"/>
    <m/>
  </r>
  <r>
    <x v="30"/>
    <x v="15"/>
    <x v="7"/>
    <n v="343"/>
    <m/>
    <m/>
    <m/>
    <m/>
    <m/>
    <n v="220450"/>
    <m/>
  </r>
  <r>
    <x v="30"/>
    <x v="15"/>
    <x v="2"/>
    <n v="561"/>
    <m/>
    <m/>
    <m/>
    <m/>
    <m/>
    <n v="434005"/>
    <m/>
  </r>
  <r>
    <x v="30"/>
    <x v="15"/>
    <x v="1"/>
    <n v="356"/>
    <m/>
    <m/>
    <m/>
    <m/>
    <m/>
    <n v="300500"/>
    <m/>
  </r>
  <r>
    <x v="30"/>
    <x v="15"/>
    <x v="12"/>
    <n v="258"/>
    <m/>
    <m/>
    <m/>
    <m/>
    <m/>
    <n v="115200"/>
    <m/>
  </r>
  <r>
    <x v="30"/>
    <x v="15"/>
    <x v="13"/>
    <n v="438"/>
    <m/>
    <m/>
    <m/>
    <m/>
    <m/>
    <n v="112890"/>
    <m/>
  </r>
  <r>
    <x v="30"/>
    <x v="15"/>
    <x v="14"/>
    <n v="397"/>
    <m/>
    <m/>
    <m/>
    <m/>
    <m/>
    <n v="221550"/>
    <m/>
  </r>
  <r>
    <x v="30"/>
    <x v="15"/>
    <x v="15"/>
    <n v="276"/>
    <m/>
    <m/>
    <m/>
    <m/>
    <m/>
    <n v="107850"/>
    <m/>
  </r>
  <r>
    <x v="30"/>
    <x v="15"/>
    <x v="16"/>
    <n v="200"/>
    <m/>
    <m/>
    <m/>
    <m/>
    <m/>
    <n v="140950"/>
    <m/>
  </r>
  <r>
    <x v="30"/>
    <x v="15"/>
    <x v="17"/>
    <n v="220"/>
    <m/>
    <m/>
    <m/>
    <m/>
    <m/>
    <n v="331965.75"/>
    <m/>
  </r>
  <r>
    <x v="30"/>
    <x v="15"/>
    <x v="18"/>
    <n v="267"/>
    <m/>
    <m/>
    <m/>
    <m/>
    <m/>
    <n v="143350"/>
    <m/>
  </r>
  <r>
    <x v="30"/>
    <x v="15"/>
    <x v="19"/>
    <n v="129"/>
    <m/>
    <m/>
    <m/>
    <m/>
    <m/>
    <n v="98450"/>
    <m/>
  </r>
  <r>
    <x v="30"/>
    <x v="15"/>
    <x v="20"/>
    <n v="371"/>
    <m/>
    <m/>
    <m/>
    <m/>
    <m/>
    <n v="87500"/>
    <m/>
  </r>
  <r>
    <x v="30"/>
    <x v="15"/>
    <x v="21"/>
    <n v="149"/>
    <m/>
    <m/>
    <m/>
    <m/>
    <m/>
    <n v="133900"/>
    <m/>
  </r>
  <r>
    <x v="30"/>
    <x v="15"/>
    <x v="22"/>
    <n v="161"/>
    <m/>
    <m/>
    <m/>
    <m/>
    <m/>
    <n v="54900"/>
    <m/>
  </r>
  <r>
    <x v="30"/>
    <x v="15"/>
    <x v="23"/>
    <n v="407"/>
    <m/>
    <m/>
    <m/>
    <m/>
    <m/>
    <n v="24000"/>
    <m/>
  </r>
  <r>
    <x v="30"/>
    <x v="15"/>
    <x v="24"/>
    <n v="187"/>
    <m/>
    <m/>
    <m/>
    <m/>
    <m/>
    <n v="52480"/>
    <m/>
  </r>
  <r>
    <x v="30"/>
    <x v="15"/>
    <x v="25"/>
    <n v="221"/>
    <m/>
    <m/>
    <m/>
    <m/>
    <m/>
    <n v="25000"/>
    <m/>
  </r>
  <r>
    <x v="30"/>
    <x v="15"/>
    <x v="26"/>
    <n v="206"/>
    <m/>
    <m/>
    <m/>
    <m/>
    <m/>
    <n v="51950"/>
    <m/>
  </r>
  <r>
    <x v="30"/>
    <x v="15"/>
    <x v="27"/>
    <n v="67"/>
    <m/>
    <m/>
    <m/>
    <m/>
    <m/>
    <n v="25000"/>
    <m/>
  </r>
  <r>
    <x v="30"/>
    <x v="15"/>
    <x v="28"/>
    <n v="276"/>
    <m/>
    <m/>
    <m/>
    <m/>
    <m/>
    <m/>
    <m/>
  </r>
  <r>
    <x v="30"/>
    <x v="29"/>
    <x v="0"/>
    <m/>
    <n v="24"/>
    <n v="7"/>
    <n v="18"/>
    <n v="5"/>
    <n v="18"/>
    <m/>
    <m/>
  </r>
  <r>
    <x v="30"/>
    <x v="0"/>
    <x v="0"/>
    <m/>
    <n v="47"/>
    <n v="13"/>
    <n v="67"/>
    <n v="12"/>
    <n v="28"/>
    <m/>
    <m/>
  </r>
  <r>
    <x v="30"/>
    <x v="28"/>
    <x v="10"/>
    <m/>
    <n v="33"/>
    <n v="4"/>
    <n v="24"/>
    <n v="2"/>
    <n v="15"/>
    <m/>
    <m/>
  </r>
  <r>
    <x v="30"/>
    <x v="7"/>
    <x v="2"/>
    <m/>
    <n v="33"/>
    <n v="15"/>
    <n v="24"/>
    <n v="19"/>
    <n v="17"/>
    <m/>
    <m/>
  </r>
  <r>
    <x v="30"/>
    <x v="39"/>
    <x v="2"/>
    <m/>
    <n v="14"/>
    <n v="19"/>
    <n v="11"/>
    <n v="8"/>
    <n v="14"/>
    <m/>
    <m/>
  </r>
  <r>
    <x v="30"/>
    <x v="4"/>
    <x v="5"/>
    <m/>
    <n v="32"/>
    <n v="3"/>
    <n v="40"/>
    <n v="2"/>
    <n v="20"/>
    <m/>
    <m/>
  </r>
  <r>
    <x v="30"/>
    <x v="4"/>
    <x v="6"/>
    <m/>
    <n v="14"/>
    <n v="0"/>
    <n v="9"/>
    <n v="3"/>
    <n v="9"/>
    <m/>
    <m/>
  </r>
  <r>
    <x v="30"/>
    <x v="51"/>
    <x v="6"/>
    <m/>
    <n v="27"/>
    <n v="0"/>
    <n v="9"/>
    <n v="0"/>
    <n v="2"/>
    <m/>
    <m/>
  </r>
  <r>
    <x v="30"/>
    <x v="50"/>
    <x v="3"/>
    <m/>
    <n v="36"/>
    <n v="9"/>
    <n v="27"/>
    <n v="3"/>
    <n v="14"/>
    <m/>
    <m/>
  </r>
  <r>
    <x v="30"/>
    <x v="43"/>
    <x v="3"/>
    <m/>
    <n v="5"/>
    <n v="5"/>
    <n v="6"/>
    <n v="0"/>
    <n v="2"/>
    <m/>
    <m/>
  </r>
  <r>
    <x v="30"/>
    <x v="43"/>
    <x v="4"/>
    <m/>
    <n v="12"/>
    <n v="0"/>
    <n v="5"/>
    <n v="1"/>
    <n v="2"/>
    <m/>
    <m/>
  </r>
  <r>
    <x v="30"/>
    <x v="13"/>
    <x v="4"/>
    <m/>
    <n v="33"/>
    <n v="2"/>
    <n v="45"/>
    <n v="1"/>
    <n v="21"/>
    <m/>
    <m/>
  </r>
  <r>
    <x v="30"/>
    <x v="16"/>
    <x v="4"/>
    <m/>
    <n v="24"/>
    <n v="3"/>
    <n v="33"/>
    <n v="4"/>
    <n v="9"/>
    <m/>
    <m/>
  </r>
  <r>
    <x v="30"/>
    <x v="10"/>
    <x v="9"/>
    <m/>
    <n v="51"/>
    <n v="6"/>
    <n v="43"/>
    <n v="4"/>
    <n v="9"/>
    <m/>
    <m/>
  </r>
  <r>
    <x v="30"/>
    <x v="12"/>
    <x v="9"/>
    <m/>
    <n v="28"/>
    <n v="5"/>
    <n v="32"/>
    <n v="5"/>
    <n v="16"/>
    <m/>
    <m/>
  </r>
  <r>
    <x v="30"/>
    <x v="44"/>
    <x v="1"/>
    <m/>
    <n v="23"/>
    <n v="8"/>
    <n v="27"/>
    <n v="15"/>
    <n v="18"/>
    <m/>
    <m/>
  </r>
  <r>
    <x v="30"/>
    <x v="52"/>
    <x v="1"/>
    <m/>
    <n v="21"/>
    <n v="11"/>
    <n v="1"/>
    <n v="3"/>
    <n v="5"/>
    <m/>
    <m/>
  </r>
  <r>
    <x v="30"/>
    <x v="14"/>
    <x v="11"/>
    <m/>
    <n v="36"/>
    <n v="0"/>
    <n v="38"/>
    <n v="0"/>
    <n v="25"/>
    <m/>
    <m/>
  </r>
  <r>
    <x v="30"/>
    <x v="37"/>
    <x v="11"/>
    <m/>
    <n v="16"/>
    <n v="0"/>
    <n v="8"/>
    <n v="0"/>
    <n v="3"/>
    <m/>
    <m/>
  </r>
  <r>
    <x v="30"/>
    <x v="13"/>
    <x v="8"/>
    <m/>
    <n v="3"/>
    <n v="0"/>
    <n v="21"/>
    <n v="4"/>
    <n v="3"/>
    <m/>
    <m/>
  </r>
  <r>
    <x v="30"/>
    <x v="46"/>
    <x v="8"/>
    <m/>
    <n v="26"/>
    <n v="0"/>
    <n v="8"/>
    <n v="0"/>
    <n v="13"/>
    <m/>
    <m/>
  </r>
  <r>
    <x v="30"/>
    <x v="5"/>
    <x v="7"/>
    <m/>
    <n v="33"/>
    <n v="35"/>
    <n v="17"/>
    <n v="18"/>
    <n v="16"/>
    <m/>
    <m/>
  </r>
  <r>
    <x v="30"/>
    <x v="30"/>
    <x v="12"/>
    <m/>
    <n v="36"/>
    <n v="7"/>
    <n v="18"/>
    <n v="7"/>
    <n v="7"/>
    <m/>
    <m/>
  </r>
  <r>
    <x v="30"/>
    <x v="42"/>
    <x v="12"/>
    <m/>
    <n v="0"/>
    <n v="0"/>
    <n v="1"/>
    <n v="1"/>
    <n v="1"/>
    <m/>
    <m/>
  </r>
  <r>
    <x v="30"/>
    <x v="19"/>
    <x v="13"/>
    <m/>
    <n v="15"/>
    <n v="13"/>
    <n v="12"/>
    <n v="6"/>
    <n v="9"/>
    <m/>
    <m/>
  </r>
  <r>
    <x v="30"/>
    <x v="47"/>
    <x v="14"/>
    <m/>
    <n v="25"/>
    <n v="4"/>
    <n v="18"/>
    <n v="15"/>
    <n v="14"/>
    <m/>
    <m/>
  </r>
  <r>
    <x v="30"/>
    <x v="53"/>
    <x v="14"/>
    <m/>
    <n v="30"/>
    <n v="12"/>
    <n v="1"/>
    <n v="0"/>
    <n v="2"/>
    <m/>
    <m/>
  </r>
  <r>
    <x v="30"/>
    <x v="21"/>
    <x v="15"/>
    <m/>
    <n v="27"/>
    <n v="6"/>
    <n v="29"/>
    <n v="15"/>
    <n v="8"/>
    <m/>
    <m/>
  </r>
  <r>
    <x v="30"/>
    <x v="22"/>
    <x v="16"/>
    <m/>
    <n v="38"/>
    <n v="12"/>
    <n v="24"/>
    <n v="3"/>
    <n v="11"/>
    <m/>
    <m/>
  </r>
  <r>
    <x v="30"/>
    <x v="45"/>
    <x v="24"/>
    <m/>
    <n v="17"/>
    <n v="7"/>
    <n v="3"/>
    <n v="1"/>
    <n v="4"/>
    <m/>
    <m/>
  </r>
  <r>
    <x v="30"/>
    <x v="27"/>
    <x v="17"/>
    <m/>
    <n v="30"/>
    <n v="8"/>
    <n v="16"/>
    <n v="4"/>
    <n v="25"/>
    <m/>
    <m/>
  </r>
  <r>
    <x v="30"/>
    <x v="33"/>
    <x v="18"/>
    <m/>
    <n v="15"/>
    <n v="8"/>
    <n v="19"/>
    <n v="23"/>
    <n v="11"/>
    <m/>
    <m/>
  </r>
  <r>
    <x v="30"/>
    <x v="29"/>
    <x v="20"/>
    <m/>
    <n v="7"/>
    <n v="3"/>
    <n v="11"/>
    <n v="1"/>
    <n v="7"/>
    <m/>
    <m/>
  </r>
  <r>
    <x v="30"/>
    <x v="38"/>
    <x v="21"/>
    <m/>
    <n v="12"/>
    <n v="2"/>
    <n v="20"/>
    <n v="5"/>
    <n v="10"/>
    <m/>
    <m/>
  </r>
  <r>
    <x v="30"/>
    <x v="40"/>
    <x v="19"/>
    <m/>
    <n v="23"/>
    <n v="6"/>
    <n v="5"/>
    <n v="3"/>
    <n v="8"/>
    <m/>
    <m/>
  </r>
  <r>
    <x v="30"/>
    <x v="41"/>
    <x v="22"/>
    <m/>
    <n v="24"/>
    <n v="12"/>
    <n v="10"/>
    <n v="2"/>
    <n v="4"/>
    <m/>
    <m/>
  </r>
  <r>
    <x v="30"/>
    <x v="42"/>
    <x v="23"/>
    <m/>
    <n v="5"/>
    <n v="4"/>
    <n v="4"/>
    <n v="2"/>
    <n v="2"/>
    <m/>
    <m/>
  </r>
  <r>
    <x v="30"/>
    <x v="48"/>
    <x v="25"/>
    <m/>
    <n v="20"/>
    <n v="2"/>
    <n v="2"/>
    <n v="0"/>
    <n v="2"/>
    <m/>
    <m/>
  </r>
  <r>
    <x v="30"/>
    <x v="49"/>
    <x v="26"/>
    <m/>
    <n v="21"/>
    <n v="6"/>
    <n v="6"/>
    <n v="0"/>
    <n v="4"/>
    <m/>
    <m/>
  </r>
  <r>
    <x v="30"/>
    <x v="54"/>
    <x v="27"/>
    <m/>
    <n v="13"/>
    <n v="4"/>
    <n v="0"/>
    <n v="0"/>
    <n v="2"/>
    <m/>
    <m/>
  </r>
  <r>
    <x v="30"/>
    <x v="55"/>
    <x v="28"/>
    <m/>
    <n v="11"/>
    <n v="4"/>
    <n v="0"/>
    <n v="0"/>
    <n v="0"/>
    <m/>
    <m/>
  </r>
  <r>
    <x v="31"/>
    <x v="15"/>
    <x v="3"/>
    <n v="439"/>
    <m/>
    <m/>
    <m/>
    <m/>
    <m/>
    <n v="229150"/>
    <m/>
  </r>
  <r>
    <x v="31"/>
    <x v="15"/>
    <x v="8"/>
    <n v="281"/>
    <m/>
    <m/>
    <m/>
    <m/>
    <m/>
    <n v="211200"/>
    <m/>
  </r>
  <r>
    <x v="31"/>
    <x v="15"/>
    <x v="4"/>
    <n v="488"/>
    <m/>
    <m/>
    <m/>
    <m/>
    <m/>
    <n v="422500"/>
    <m/>
  </r>
  <r>
    <x v="31"/>
    <x v="15"/>
    <x v="6"/>
    <n v="291"/>
    <m/>
    <m/>
    <m/>
    <m/>
    <m/>
    <n v="192050"/>
    <m/>
  </r>
  <r>
    <x v="31"/>
    <x v="15"/>
    <x v="11"/>
    <n v="460"/>
    <m/>
    <m/>
    <m/>
    <m/>
    <m/>
    <n v="490100"/>
    <m/>
  </r>
  <r>
    <x v="31"/>
    <x v="15"/>
    <x v="10"/>
    <n v="345"/>
    <m/>
    <m/>
    <m/>
    <m/>
    <m/>
    <n v="152125"/>
    <m/>
  </r>
  <r>
    <x v="31"/>
    <x v="15"/>
    <x v="0"/>
    <n v="404"/>
    <m/>
    <m/>
    <m/>
    <m/>
    <m/>
    <n v="553500"/>
    <m/>
  </r>
  <r>
    <x v="31"/>
    <x v="15"/>
    <x v="5"/>
    <n v="255"/>
    <m/>
    <m/>
    <m/>
    <m/>
    <m/>
    <n v="135350"/>
    <m/>
  </r>
  <r>
    <x v="31"/>
    <x v="15"/>
    <x v="9"/>
    <n v="435"/>
    <m/>
    <m/>
    <m/>
    <m/>
    <m/>
    <n v="462650"/>
    <m/>
  </r>
  <r>
    <x v="31"/>
    <x v="15"/>
    <x v="7"/>
    <n v="331"/>
    <m/>
    <m/>
    <m/>
    <m/>
    <m/>
    <n v="269050"/>
    <m/>
  </r>
  <r>
    <x v="31"/>
    <x v="15"/>
    <x v="2"/>
    <n v="610"/>
    <m/>
    <m/>
    <m/>
    <m/>
    <m/>
    <n v="480750"/>
    <m/>
  </r>
  <r>
    <x v="31"/>
    <x v="15"/>
    <x v="1"/>
    <n v="424"/>
    <m/>
    <m/>
    <m/>
    <m/>
    <m/>
    <n v="282450"/>
    <m/>
  </r>
  <r>
    <x v="31"/>
    <x v="15"/>
    <x v="12"/>
    <n v="251"/>
    <m/>
    <m/>
    <m/>
    <m/>
    <m/>
    <n v="216700"/>
    <m/>
  </r>
  <r>
    <x v="31"/>
    <x v="15"/>
    <x v="13"/>
    <n v="547"/>
    <m/>
    <m/>
    <m/>
    <m/>
    <m/>
    <n v="139960"/>
    <m/>
  </r>
  <r>
    <x v="31"/>
    <x v="15"/>
    <x v="14"/>
    <n v="463"/>
    <m/>
    <m/>
    <m/>
    <m/>
    <m/>
    <n v="284300"/>
    <m/>
  </r>
  <r>
    <x v="31"/>
    <x v="15"/>
    <x v="15"/>
    <n v="345"/>
    <m/>
    <m/>
    <m/>
    <m/>
    <m/>
    <n v="120300"/>
    <m/>
  </r>
  <r>
    <x v="31"/>
    <x v="15"/>
    <x v="16"/>
    <n v="216"/>
    <m/>
    <m/>
    <m/>
    <m/>
    <m/>
    <n v="150450"/>
    <m/>
  </r>
  <r>
    <x v="31"/>
    <x v="15"/>
    <x v="17"/>
    <n v="250"/>
    <m/>
    <m/>
    <m/>
    <m/>
    <m/>
    <n v="346500"/>
    <m/>
  </r>
  <r>
    <x v="31"/>
    <x v="15"/>
    <x v="18"/>
    <n v="298"/>
    <m/>
    <m/>
    <m/>
    <m/>
    <m/>
    <n v="204100"/>
    <m/>
  </r>
  <r>
    <x v="31"/>
    <x v="15"/>
    <x v="19"/>
    <n v="109"/>
    <m/>
    <m/>
    <m/>
    <m/>
    <m/>
    <n v="125450"/>
    <m/>
  </r>
  <r>
    <x v="31"/>
    <x v="15"/>
    <x v="20"/>
    <n v="330"/>
    <m/>
    <m/>
    <m/>
    <m/>
    <m/>
    <n v="74500"/>
    <m/>
  </r>
  <r>
    <x v="31"/>
    <x v="15"/>
    <x v="21"/>
    <n v="199"/>
    <m/>
    <m/>
    <m/>
    <m/>
    <m/>
    <n v="130252"/>
    <m/>
  </r>
  <r>
    <x v="31"/>
    <x v="15"/>
    <x v="22"/>
    <n v="181"/>
    <m/>
    <m/>
    <m/>
    <m/>
    <m/>
    <n v="95300"/>
    <m/>
  </r>
  <r>
    <x v="31"/>
    <x v="15"/>
    <x v="23"/>
    <n v="452"/>
    <m/>
    <m/>
    <m/>
    <m/>
    <m/>
    <n v="12990"/>
    <m/>
  </r>
  <r>
    <x v="31"/>
    <x v="15"/>
    <x v="24"/>
    <n v="200"/>
    <m/>
    <m/>
    <m/>
    <m/>
    <m/>
    <n v="74980"/>
    <m/>
  </r>
  <r>
    <x v="31"/>
    <x v="15"/>
    <x v="25"/>
    <n v="247"/>
    <m/>
    <m/>
    <m/>
    <m/>
    <m/>
    <n v="51500"/>
    <m/>
  </r>
  <r>
    <x v="31"/>
    <x v="15"/>
    <x v="26"/>
    <n v="242"/>
    <m/>
    <m/>
    <m/>
    <m/>
    <m/>
    <n v="160550"/>
    <m/>
  </r>
  <r>
    <x v="31"/>
    <x v="15"/>
    <x v="27"/>
    <n v="144"/>
    <m/>
    <m/>
    <m/>
    <m/>
    <m/>
    <n v="12000"/>
    <m/>
  </r>
  <r>
    <x v="31"/>
    <x v="15"/>
    <x v="28"/>
    <n v="298"/>
    <m/>
    <m/>
    <m/>
    <m/>
    <m/>
    <n v="14500"/>
    <m/>
  </r>
  <r>
    <x v="31"/>
    <x v="29"/>
    <x v="0"/>
    <m/>
    <n v="14"/>
    <n v="4"/>
    <n v="28"/>
    <n v="8"/>
    <n v="12"/>
    <m/>
    <m/>
  </r>
  <r>
    <x v="31"/>
    <x v="0"/>
    <x v="0"/>
    <m/>
    <n v="53"/>
    <n v="9"/>
    <n v="63"/>
    <n v="4"/>
    <n v="28"/>
    <m/>
    <m/>
  </r>
  <r>
    <x v="31"/>
    <x v="28"/>
    <x v="10"/>
    <m/>
    <n v="22"/>
    <n v="3"/>
    <n v="33"/>
    <n v="3"/>
    <n v="12"/>
    <m/>
    <m/>
  </r>
  <r>
    <x v="31"/>
    <x v="7"/>
    <x v="2"/>
    <m/>
    <n v="51"/>
    <n v="14"/>
    <n v="26"/>
    <n v="15"/>
    <n v="21"/>
    <m/>
    <m/>
  </r>
  <r>
    <x v="31"/>
    <x v="39"/>
    <x v="2"/>
    <m/>
    <n v="32"/>
    <n v="13"/>
    <n v="16"/>
    <n v="7"/>
    <n v="13"/>
    <m/>
    <m/>
  </r>
  <r>
    <x v="31"/>
    <x v="4"/>
    <x v="5"/>
    <m/>
    <n v="36"/>
    <n v="5"/>
    <n v="34"/>
    <n v="4"/>
    <n v="10"/>
    <m/>
    <m/>
  </r>
  <r>
    <x v="31"/>
    <x v="4"/>
    <x v="6"/>
    <m/>
    <n v="14"/>
    <n v="1"/>
    <n v="14"/>
    <n v="1"/>
    <n v="5"/>
    <m/>
    <m/>
  </r>
  <r>
    <x v="31"/>
    <x v="51"/>
    <x v="6"/>
    <m/>
    <n v="22"/>
    <n v="0"/>
    <n v="24"/>
    <n v="1"/>
    <n v="10"/>
    <m/>
    <m/>
  </r>
  <r>
    <x v="31"/>
    <x v="50"/>
    <x v="3"/>
    <m/>
    <n v="46"/>
    <n v="1"/>
    <n v="41"/>
    <n v="3"/>
    <n v="14"/>
    <m/>
    <m/>
  </r>
  <r>
    <x v="31"/>
    <x v="43"/>
    <x v="3"/>
    <m/>
    <n v="19"/>
    <n v="3"/>
    <n v="15"/>
    <n v="1"/>
    <n v="3"/>
    <m/>
    <m/>
  </r>
  <r>
    <x v="31"/>
    <x v="43"/>
    <x v="4"/>
    <m/>
    <n v="11"/>
    <n v="7"/>
    <n v="10"/>
    <n v="1"/>
    <n v="8"/>
    <m/>
    <m/>
  </r>
  <r>
    <x v="31"/>
    <x v="13"/>
    <x v="4"/>
    <m/>
    <n v="24"/>
    <n v="0"/>
    <n v="29"/>
    <n v="4"/>
    <n v="13"/>
    <m/>
    <m/>
  </r>
  <r>
    <x v="31"/>
    <x v="16"/>
    <x v="4"/>
    <m/>
    <n v="18"/>
    <n v="5"/>
    <n v="23"/>
    <n v="2"/>
    <n v="9"/>
    <m/>
    <m/>
  </r>
  <r>
    <x v="31"/>
    <x v="10"/>
    <x v="9"/>
    <m/>
    <n v="23"/>
    <n v="8"/>
    <n v="49"/>
    <n v="3"/>
    <n v="13"/>
    <m/>
    <m/>
  </r>
  <r>
    <x v="31"/>
    <x v="12"/>
    <x v="9"/>
    <m/>
    <n v="47"/>
    <n v="5"/>
    <n v="48"/>
    <n v="4"/>
    <n v="21"/>
    <m/>
    <m/>
  </r>
  <r>
    <x v="31"/>
    <x v="44"/>
    <x v="1"/>
    <m/>
    <n v="21"/>
    <n v="15"/>
    <n v="16"/>
    <n v="12"/>
    <n v="9"/>
    <m/>
    <m/>
  </r>
  <r>
    <x v="31"/>
    <x v="52"/>
    <x v="1"/>
    <m/>
    <n v="34"/>
    <n v="15"/>
    <n v="14"/>
    <n v="7"/>
    <n v="12"/>
    <m/>
    <m/>
  </r>
  <r>
    <x v="31"/>
    <x v="14"/>
    <x v="11"/>
    <m/>
    <n v="18"/>
    <n v="0"/>
    <n v="44"/>
    <n v="0"/>
    <n v="21"/>
    <m/>
    <m/>
  </r>
  <r>
    <x v="31"/>
    <x v="37"/>
    <x v="11"/>
    <m/>
    <n v="31"/>
    <n v="0"/>
    <n v="6"/>
    <n v="0"/>
    <n v="10"/>
    <m/>
    <m/>
  </r>
  <r>
    <x v="31"/>
    <x v="13"/>
    <x v="8"/>
    <m/>
    <n v="4"/>
    <n v="0"/>
    <n v="10"/>
    <n v="3"/>
    <n v="4"/>
    <m/>
    <m/>
  </r>
  <r>
    <x v="31"/>
    <x v="46"/>
    <x v="8"/>
    <m/>
    <n v="20"/>
    <n v="0"/>
    <n v="13"/>
    <n v="0"/>
    <n v="12"/>
    <m/>
    <m/>
  </r>
  <r>
    <x v="31"/>
    <x v="5"/>
    <x v="7"/>
    <m/>
    <n v="22"/>
    <n v="24"/>
    <n v="7"/>
    <n v="17"/>
    <n v="19"/>
    <m/>
    <m/>
  </r>
  <r>
    <x v="31"/>
    <x v="30"/>
    <x v="12"/>
    <m/>
    <n v="35"/>
    <n v="9"/>
    <n v="29"/>
    <n v="4"/>
    <n v="15"/>
    <m/>
    <m/>
  </r>
  <r>
    <x v="31"/>
    <x v="19"/>
    <x v="13"/>
    <m/>
    <n v="22"/>
    <n v="7"/>
    <n v="16"/>
    <n v="2"/>
    <n v="11"/>
    <m/>
    <m/>
  </r>
  <r>
    <x v="31"/>
    <x v="47"/>
    <x v="14"/>
    <m/>
    <n v="18"/>
    <n v="6"/>
    <n v="11"/>
    <n v="11"/>
    <n v="7"/>
    <m/>
    <m/>
  </r>
  <r>
    <x v="31"/>
    <x v="53"/>
    <x v="14"/>
    <m/>
    <n v="36"/>
    <n v="13"/>
    <n v="18"/>
    <n v="9"/>
    <n v="14"/>
    <m/>
    <m/>
  </r>
  <r>
    <x v="31"/>
    <x v="21"/>
    <x v="15"/>
    <m/>
    <n v="30"/>
    <n v="6"/>
    <n v="27"/>
    <n v="12"/>
    <n v="9"/>
    <m/>
    <m/>
  </r>
  <r>
    <x v="31"/>
    <x v="22"/>
    <x v="16"/>
    <m/>
    <n v="45"/>
    <n v="7"/>
    <n v="19"/>
    <n v="5"/>
    <n v="12"/>
    <m/>
    <m/>
  </r>
  <r>
    <x v="31"/>
    <x v="45"/>
    <x v="24"/>
    <m/>
    <n v="24"/>
    <n v="7"/>
    <n v="4"/>
    <n v="0"/>
    <n v="6"/>
    <m/>
    <m/>
  </r>
  <r>
    <x v="31"/>
    <x v="27"/>
    <x v="17"/>
    <m/>
    <n v="32"/>
    <n v="9"/>
    <n v="23"/>
    <n v="4"/>
    <n v="26"/>
    <m/>
    <m/>
  </r>
  <r>
    <x v="31"/>
    <x v="33"/>
    <x v="18"/>
    <m/>
    <n v="18"/>
    <n v="14"/>
    <n v="40"/>
    <n v="20"/>
    <n v="15"/>
    <m/>
    <m/>
  </r>
  <r>
    <x v="31"/>
    <x v="29"/>
    <x v="20"/>
    <m/>
    <n v="19"/>
    <n v="6"/>
    <n v="14"/>
    <n v="3"/>
    <n v="6"/>
    <m/>
    <m/>
  </r>
  <r>
    <x v="31"/>
    <x v="38"/>
    <x v="21"/>
    <m/>
    <n v="24"/>
    <n v="6"/>
    <n v="24"/>
    <n v="6"/>
    <n v="10"/>
    <m/>
    <m/>
  </r>
  <r>
    <x v="31"/>
    <x v="40"/>
    <x v="19"/>
    <m/>
    <n v="16"/>
    <n v="4"/>
    <n v="11"/>
    <n v="8"/>
    <n v="10"/>
    <m/>
    <m/>
  </r>
  <r>
    <x v="31"/>
    <x v="41"/>
    <x v="22"/>
    <m/>
    <n v="22"/>
    <n v="9"/>
    <n v="11"/>
    <n v="0"/>
    <n v="7"/>
    <m/>
    <m/>
  </r>
  <r>
    <x v="31"/>
    <x v="42"/>
    <x v="23"/>
    <m/>
    <n v="19"/>
    <n v="10"/>
    <n v="1"/>
    <n v="0"/>
    <n v="1"/>
    <m/>
    <m/>
  </r>
  <r>
    <x v="31"/>
    <x v="48"/>
    <x v="25"/>
    <m/>
    <n v="20"/>
    <n v="5"/>
    <n v="7"/>
    <n v="0"/>
    <n v="4"/>
    <m/>
    <m/>
  </r>
  <r>
    <x v="31"/>
    <x v="49"/>
    <x v="26"/>
    <m/>
    <n v="28"/>
    <n v="2"/>
    <n v="11"/>
    <n v="2"/>
    <n v="11"/>
    <m/>
    <m/>
  </r>
  <r>
    <x v="31"/>
    <x v="54"/>
    <x v="27"/>
    <m/>
    <n v="13"/>
    <n v="4"/>
    <n v="2"/>
    <n v="0"/>
    <n v="1"/>
    <m/>
    <m/>
  </r>
  <r>
    <x v="31"/>
    <x v="55"/>
    <x v="28"/>
    <m/>
    <n v="8"/>
    <n v="7"/>
    <n v="0"/>
    <n v="0"/>
    <n v="1"/>
    <m/>
    <m/>
  </r>
  <r>
    <x v="32"/>
    <x v="15"/>
    <x v="3"/>
    <n v="509"/>
    <m/>
    <m/>
    <m/>
    <m/>
    <m/>
    <n v="134000"/>
    <m/>
  </r>
  <r>
    <x v="32"/>
    <x v="15"/>
    <x v="8"/>
    <n v="300"/>
    <m/>
    <m/>
    <m/>
    <m/>
    <m/>
    <n v="212350"/>
    <m/>
  </r>
  <r>
    <x v="32"/>
    <x v="15"/>
    <x v="4"/>
    <n v="530"/>
    <m/>
    <m/>
    <m/>
    <m/>
    <m/>
    <n v="421750"/>
    <m/>
  </r>
  <r>
    <x v="32"/>
    <x v="15"/>
    <x v="6"/>
    <n v="332"/>
    <m/>
    <m/>
    <m/>
    <m/>
    <m/>
    <n v="102100"/>
    <m/>
  </r>
  <r>
    <x v="32"/>
    <x v="15"/>
    <x v="11"/>
    <n v="511"/>
    <m/>
    <m/>
    <m/>
    <m/>
    <m/>
    <n v="517700"/>
    <m/>
  </r>
  <r>
    <x v="32"/>
    <x v="15"/>
    <x v="10"/>
    <n v="327"/>
    <m/>
    <m/>
    <m/>
    <m/>
    <m/>
    <n v="167400"/>
    <m/>
  </r>
  <r>
    <x v="32"/>
    <x v="15"/>
    <x v="0"/>
    <n v="392"/>
    <m/>
    <m/>
    <m/>
    <m/>
    <m/>
    <n v="561550"/>
    <m/>
  </r>
  <r>
    <x v="32"/>
    <x v="15"/>
    <x v="5"/>
    <n v="230"/>
    <m/>
    <m/>
    <m/>
    <m/>
    <m/>
    <n v="105900"/>
    <m/>
  </r>
  <r>
    <x v="32"/>
    <x v="15"/>
    <x v="9"/>
    <n v="369"/>
    <m/>
    <m/>
    <m/>
    <m/>
    <m/>
    <n v="378900"/>
    <m/>
  </r>
  <r>
    <x v="32"/>
    <x v="15"/>
    <x v="7"/>
    <n v="389"/>
    <m/>
    <m/>
    <m/>
    <m/>
    <m/>
    <n v="229000"/>
    <m/>
  </r>
  <r>
    <x v="32"/>
    <x v="15"/>
    <x v="2"/>
    <n v="654"/>
    <m/>
    <m/>
    <m/>
    <m/>
    <m/>
    <n v="470350"/>
    <m/>
  </r>
  <r>
    <x v="32"/>
    <x v="15"/>
    <x v="1"/>
    <n v="417"/>
    <m/>
    <m/>
    <m/>
    <m/>
    <m/>
    <n v="230500"/>
    <m/>
  </r>
  <r>
    <x v="32"/>
    <x v="15"/>
    <x v="12"/>
    <n v="410"/>
    <m/>
    <m/>
    <m/>
    <m/>
    <m/>
    <n v="142750"/>
    <m/>
  </r>
  <r>
    <x v="32"/>
    <x v="15"/>
    <x v="13"/>
    <n v="789"/>
    <m/>
    <m/>
    <m/>
    <m/>
    <m/>
    <n v="127000"/>
    <m/>
  </r>
  <r>
    <x v="32"/>
    <x v="15"/>
    <x v="14"/>
    <n v="448"/>
    <m/>
    <m/>
    <m/>
    <m/>
    <m/>
    <n v="333250"/>
    <m/>
  </r>
  <r>
    <x v="32"/>
    <x v="15"/>
    <x v="15"/>
    <n v="437"/>
    <m/>
    <m/>
    <m/>
    <m/>
    <m/>
    <n v="118900"/>
    <m/>
  </r>
  <r>
    <x v="32"/>
    <x v="15"/>
    <x v="16"/>
    <n v="337"/>
    <m/>
    <m/>
    <m/>
    <m/>
    <m/>
    <n v="102960"/>
    <m/>
  </r>
  <r>
    <x v="32"/>
    <x v="15"/>
    <x v="17"/>
    <n v="231"/>
    <m/>
    <m/>
    <m/>
    <m/>
    <m/>
    <n v="388350"/>
    <m/>
  </r>
  <r>
    <x v="32"/>
    <x v="15"/>
    <x v="18"/>
    <n v="316"/>
    <m/>
    <m/>
    <m/>
    <m/>
    <m/>
    <n v="135800"/>
    <m/>
  </r>
  <r>
    <x v="32"/>
    <x v="15"/>
    <x v="19"/>
    <n v="205"/>
    <m/>
    <m/>
    <m/>
    <m/>
    <m/>
    <n v="84000"/>
    <m/>
  </r>
  <r>
    <x v="32"/>
    <x v="15"/>
    <x v="20"/>
    <n v="286"/>
    <m/>
    <m/>
    <m/>
    <m/>
    <m/>
    <n v="76450"/>
    <m/>
  </r>
  <r>
    <x v="32"/>
    <x v="15"/>
    <x v="21"/>
    <n v="234"/>
    <m/>
    <m/>
    <m/>
    <m/>
    <m/>
    <n v="174350"/>
    <m/>
  </r>
  <r>
    <x v="32"/>
    <x v="15"/>
    <x v="22"/>
    <n v="212"/>
    <m/>
    <m/>
    <m/>
    <m/>
    <m/>
    <n v="42250"/>
    <m/>
  </r>
  <r>
    <x v="32"/>
    <x v="15"/>
    <x v="23"/>
    <n v="521"/>
    <m/>
    <m/>
    <m/>
    <m/>
    <m/>
    <n v="36000"/>
    <m/>
  </r>
  <r>
    <x v="32"/>
    <x v="15"/>
    <x v="24"/>
    <n v="143"/>
    <m/>
    <m/>
    <m/>
    <m/>
    <m/>
    <n v="87980"/>
    <m/>
  </r>
  <r>
    <x v="32"/>
    <x v="15"/>
    <x v="25"/>
    <n v="235"/>
    <m/>
    <m/>
    <m/>
    <m/>
    <m/>
    <n v="76300"/>
    <m/>
  </r>
  <r>
    <x v="32"/>
    <x v="15"/>
    <x v="26"/>
    <n v="251"/>
    <m/>
    <m/>
    <m/>
    <m/>
    <m/>
    <n v="46250"/>
    <m/>
  </r>
  <r>
    <x v="32"/>
    <x v="15"/>
    <x v="27"/>
    <n v="183"/>
    <m/>
    <m/>
    <m/>
    <m/>
    <m/>
    <n v="36500"/>
    <m/>
  </r>
  <r>
    <x v="32"/>
    <x v="15"/>
    <x v="28"/>
    <n v="309"/>
    <m/>
    <m/>
    <m/>
    <m/>
    <m/>
    <n v="56850"/>
    <m/>
  </r>
  <r>
    <x v="32"/>
    <x v="29"/>
    <x v="0"/>
    <m/>
    <n v="12"/>
    <n v="1"/>
    <n v="34"/>
    <n v="6"/>
    <n v="7"/>
    <m/>
    <m/>
  </r>
  <r>
    <x v="32"/>
    <x v="0"/>
    <x v="0"/>
    <m/>
    <n v="41"/>
    <n v="5"/>
    <n v="57"/>
    <n v="1"/>
    <n v="31"/>
    <m/>
    <m/>
  </r>
  <r>
    <x v="32"/>
    <x v="56"/>
    <x v="0"/>
    <m/>
    <n v="14"/>
    <n v="2"/>
    <n v="0"/>
    <n v="0"/>
    <n v="2"/>
    <m/>
    <m/>
  </r>
  <r>
    <x v="32"/>
    <x v="28"/>
    <x v="10"/>
    <m/>
    <n v="24"/>
    <n v="1"/>
    <n v="29"/>
    <n v="1"/>
    <n v="13"/>
    <m/>
    <m/>
  </r>
  <r>
    <x v="32"/>
    <x v="7"/>
    <x v="2"/>
    <m/>
    <n v="67"/>
    <n v="14"/>
    <n v="33"/>
    <n v="11"/>
    <n v="21"/>
    <m/>
    <m/>
  </r>
  <r>
    <x v="32"/>
    <x v="39"/>
    <x v="2"/>
    <m/>
    <n v="25"/>
    <n v="23"/>
    <n v="12"/>
    <n v="7"/>
    <n v="14"/>
    <m/>
    <m/>
  </r>
  <r>
    <x v="32"/>
    <x v="50"/>
    <x v="5"/>
    <m/>
    <n v="0"/>
    <n v="1"/>
    <n v="0"/>
    <n v="0"/>
    <n v="1"/>
    <m/>
    <m/>
  </r>
  <r>
    <x v="32"/>
    <x v="4"/>
    <x v="5"/>
    <m/>
    <n v="34"/>
    <n v="0"/>
    <n v="17"/>
    <n v="1"/>
    <n v="7"/>
    <m/>
    <m/>
  </r>
  <r>
    <x v="32"/>
    <x v="4"/>
    <x v="6"/>
    <m/>
    <n v="9"/>
    <n v="0"/>
    <n v="3"/>
    <n v="0"/>
    <n v="0"/>
    <m/>
    <m/>
  </r>
  <r>
    <x v="32"/>
    <x v="51"/>
    <x v="6"/>
    <m/>
    <n v="34"/>
    <n v="3"/>
    <n v="17"/>
    <n v="4"/>
    <n v="6"/>
    <m/>
    <m/>
  </r>
  <r>
    <x v="32"/>
    <x v="13"/>
    <x v="6"/>
    <m/>
    <n v="0"/>
    <n v="2"/>
    <n v="0"/>
    <n v="0"/>
    <n v="2"/>
    <m/>
    <m/>
  </r>
  <r>
    <x v="32"/>
    <x v="50"/>
    <x v="3"/>
    <m/>
    <n v="33"/>
    <n v="7"/>
    <n v="16"/>
    <n v="0"/>
    <n v="10"/>
    <m/>
    <m/>
  </r>
  <r>
    <x v="32"/>
    <x v="43"/>
    <x v="3"/>
    <m/>
    <n v="8"/>
    <n v="1"/>
    <n v="5"/>
    <n v="0"/>
    <n v="1"/>
    <m/>
    <m/>
  </r>
  <r>
    <x v="32"/>
    <x v="43"/>
    <x v="4"/>
    <m/>
    <n v="10"/>
    <n v="0"/>
    <n v="9"/>
    <n v="5"/>
    <n v="3"/>
    <m/>
    <m/>
  </r>
  <r>
    <x v="32"/>
    <x v="13"/>
    <x v="4"/>
    <m/>
    <n v="39"/>
    <n v="8"/>
    <n v="46"/>
    <n v="4"/>
    <n v="20"/>
    <m/>
    <m/>
  </r>
  <r>
    <x v="32"/>
    <x v="16"/>
    <x v="4"/>
    <m/>
    <n v="27"/>
    <n v="0"/>
    <n v="25"/>
    <n v="4"/>
    <n v="7"/>
    <m/>
    <m/>
  </r>
  <r>
    <x v="32"/>
    <x v="46"/>
    <x v="4"/>
    <m/>
    <n v="3"/>
    <n v="0"/>
    <n v="0"/>
    <n v="0"/>
    <n v="2"/>
    <m/>
    <m/>
  </r>
  <r>
    <x v="32"/>
    <x v="50"/>
    <x v="4"/>
    <m/>
    <n v="1"/>
    <n v="0"/>
    <n v="0"/>
    <n v="0"/>
    <n v="0"/>
    <m/>
    <m/>
  </r>
  <r>
    <x v="32"/>
    <x v="10"/>
    <x v="9"/>
    <m/>
    <n v="50"/>
    <n v="5"/>
    <n v="50"/>
    <n v="5"/>
    <n v="14"/>
    <m/>
    <m/>
  </r>
  <r>
    <x v="32"/>
    <x v="12"/>
    <x v="9"/>
    <m/>
    <n v="20"/>
    <n v="2"/>
    <n v="31"/>
    <n v="6"/>
    <n v="13"/>
    <m/>
    <m/>
  </r>
  <r>
    <x v="32"/>
    <x v="44"/>
    <x v="1"/>
    <m/>
    <n v="27"/>
    <n v="14"/>
    <n v="26"/>
    <n v="19"/>
    <n v="10"/>
    <m/>
    <m/>
  </r>
  <r>
    <x v="32"/>
    <x v="52"/>
    <x v="1"/>
    <m/>
    <n v="23"/>
    <n v="14"/>
    <n v="15"/>
    <n v="2"/>
    <n v="7"/>
    <m/>
    <m/>
  </r>
  <r>
    <x v="32"/>
    <x v="14"/>
    <x v="11"/>
    <m/>
    <n v="30"/>
    <n v="0"/>
    <n v="39"/>
    <n v="0"/>
    <n v="14"/>
    <m/>
    <m/>
  </r>
  <r>
    <x v="32"/>
    <x v="37"/>
    <x v="11"/>
    <m/>
    <n v="36"/>
    <n v="0"/>
    <n v="21"/>
    <n v="0"/>
    <n v="19"/>
    <m/>
    <m/>
  </r>
  <r>
    <x v="32"/>
    <x v="13"/>
    <x v="8"/>
    <m/>
    <n v="2"/>
    <n v="0"/>
    <n v="16"/>
    <n v="0"/>
    <n v="4"/>
    <m/>
    <m/>
  </r>
  <r>
    <x v="32"/>
    <x v="46"/>
    <x v="8"/>
    <m/>
    <n v="29"/>
    <n v="2"/>
    <n v="14"/>
    <n v="0"/>
    <n v="12"/>
    <m/>
    <m/>
  </r>
  <r>
    <x v="32"/>
    <x v="5"/>
    <x v="7"/>
    <m/>
    <n v="34"/>
    <n v="0"/>
    <n v="21"/>
    <n v="6"/>
    <n v="17"/>
    <m/>
    <m/>
  </r>
  <r>
    <x v="32"/>
    <x v="30"/>
    <x v="12"/>
    <m/>
    <n v="40"/>
    <n v="13"/>
    <n v="24"/>
    <n v="6"/>
    <n v="10"/>
    <m/>
    <m/>
  </r>
  <r>
    <x v="32"/>
    <x v="19"/>
    <x v="13"/>
    <m/>
    <n v="28"/>
    <n v="10"/>
    <n v="23"/>
    <n v="2"/>
    <n v="10"/>
    <m/>
    <m/>
  </r>
  <r>
    <x v="32"/>
    <x v="47"/>
    <x v="14"/>
    <m/>
    <n v="19"/>
    <n v="5"/>
    <n v="16"/>
    <n v="8"/>
    <n v="9"/>
    <m/>
    <m/>
  </r>
  <r>
    <x v="32"/>
    <x v="53"/>
    <x v="14"/>
    <m/>
    <n v="27"/>
    <n v="16"/>
    <n v="13"/>
    <n v="6"/>
    <n v="16"/>
    <m/>
    <m/>
  </r>
  <r>
    <x v="32"/>
    <x v="21"/>
    <x v="15"/>
    <m/>
    <n v="26"/>
    <n v="15"/>
    <n v="49"/>
    <n v="15"/>
    <n v="9"/>
    <m/>
    <m/>
  </r>
  <r>
    <x v="32"/>
    <x v="22"/>
    <x v="16"/>
    <m/>
    <n v="36"/>
    <n v="3"/>
    <n v="37"/>
    <n v="4"/>
    <n v="8"/>
    <m/>
    <m/>
  </r>
  <r>
    <x v="32"/>
    <x v="45"/>
    <x v="24"/>
    <m/>
    <n v="26"/>
    <n v="12"/>
    <n v="9"/>
    <n v="0"/>
    <n v="7"/>
    <m/>
    <m/>
  </r>
  <r>
    <x v="32"/>
    <x v="27"/>
    <x v="17"/>
    <m/>
    <n v="31"/>
    <n v="10"/>
    <n v="21"/>
    <n v="12"/>
    <n v="29"/>
    <m/>
    <m/>
  </r>
  <r>
    <x v="32"/>
    <x v="33"/>
    <x v="18"/>
    <m/>
    <n v="8"/>
    <n v="6"/>
    <n v="11"/>
    <n v="16"/>
    <n v="10"/>
    <m/>
    <m/>
  </r>
  <r>
    <x v="32"/>
    <x v="29"/>
    <x v="20"/>
    <m/>
    <n v="8"/>
    <n v="0"/>
    <n v="22"/>
    <n v="3"/>
    <n v="6"/>
    <m/>
    <m/>
  </r>
  <r>
    <x v="32"/>
    <x v="56"/>
    <x v="20"/>
    <m/>
    <n v="10"/>
    <n v="1"/>
    <n v="0"/>
    <n v="0"/>
    <n v="0"/>
    <m/>
    <m/>
  </r>
  <r>
    <x v="32"/>
    <x v="38"/>
    <x v="21"/>
    <m/>
    <n v="17"/>
    <n v="11"/>
    <n v="19"/>
    <n v="11"/>
    <n v="13"/>
    <m/>
    <m/>
  </r>
  <r>
    <x v="32"/>
    <x v="40"/>
    <x v="19"/>
    <m/>
    <n v="9"/>
    <n v="7"/>
    <n v="12"/>
    <n v="5"/>
    <n v="7"/>
    <m/>
    <m/>
  </r>
  <r>
    <x v="32"/>
    <x v="41"/>
    <x v="22"/>
    <m/>
    <n v="17"/>
    <n v="5"/>
    <n v="11"/>
    <n v="1"/>
    <n v="3"/>
    <m/>
    <m/>
  </r>
  <r>
    <x v="32"/>
    <x v="42"/>
    <x v="23"/>
    <m/>
    <n v="11"/>
    <n v="19"/>
    <n v="5"/>
    <n v="0"/>
    <n v="3"/>
    <m/>
    <m/>
  </r>
  <r>
    <x v="32"/>
    <x v="48"/>
    <x v="25"/>
    <m/>
    <n v="22"/>
    <n v="3"/>
    <n v="14"/>
    <n v="1"/>
    <n v="6"/>
    <m/>
    <m/>
  </r>
  <r>
    <x v="32"/>
    <x v="49"/>
    <x v="26"/>
    <m/>
    <n v="8"/>
    <n v="2"/>
    <n v="12"/>
    <n v="5"/>
    <n v="2"/>
    <m/>
    <m/>
  </r>
  <r>
    <x v="32"/>
    <x v="50"/>
    <x v="26"/>
    <m/>
    <n v="23"/>
    <n v="0"/>
    <n v="0"/>
    <n v="0"/>
    <n v="1"/>
    <m/>
    <m/>
  </r>
  <r>
    <x v="32"/>
    <x v="54"/>
    <x v="27"/>
    <m/>
    <n v="9"/>
    <n v="5"/>
    <n v="4"/>
    <n v="0"/>
    <n v="3"/>
    <m/>
    <m/>
  </r>
  <r>
    <x v="32"/>
    <x v="55"/>
    <x v="28"/>
    <m/>
    <n v="20"/>
    <n v="2"/>
    <n v="2"/>
    <n v="1"/>
    <n v="4"/>
    <m/>
    <m/>
  </r>
  <r>
    <x v="33"/>
    <x v="15"/>
    <x v="3"/>
    <n v="646"/>
    <m/>
    <m/>
    <m/>
    <m/>
    <m/>
    <n v="242400"/>
    <m/>
  </r>
  <r>
    <x v="33"/>
    <x v="15"/>
    <x v="8"/>
    <n v="301"/>
    <m/>
    <m/>
    <m/>
    <m/>
    <m/>
    <n v="203300"/>
    <m/>
  </r>
  <r>
    <x v="33"/>
    <x v="15"/>
    <x v="4"/>
    <n v="608"/>
    <m/>
    <m/>
    <m/>
    <m/>
    <m/>
    <n v="387350"/>
    <m/>
  </r>
  <r>
    <x v="33"/>
    <x v="15"/>
    <x v="6"/>
    <n v="467"/>
    <m/>
    <m/>
    <m/>
    <m/>
    <m/>
    <n v="137900"/>
    <m/>
  </r>
  <r>
    <x v="33"/>
    <x v="15"/>
    <x v="11"/>
    <n v="515"/>
    <m/>
    <m/>
    <m/>
    <m/>
    <m/>
    <n v="442200"/>
    <m/>
  </r>
  <r>
    <x v="33"/>
    <x v="15"/>
    <x v="10"/>
    <n v="293"/>
    <m/>
    <m/>
    <m/>
    <m/>
    <m/>
    <n v="66900"/>
    <m/>
  </r>
  <r>
    <x v="33"/>
    <x v="15"/>
    <x v="0"/>
    <n v="830"/>
    <m/>
    <m/>
    <m/>
    <m/>
    <m/>
    <n v="690500"/>
    <m/>
  </r>
  <r>
    <x v="33"/>
    <x v="15"/>
    <x v="5"/>
    <n v="329"/>
    <m/>
    <m/>
    <m/>
    <m/>
    <m/>
    <n v="105000"/>
    <m/>
  </r>
  <r>
    <x v="33"/>
    <x v="15"/>
    <x v="9"/>
    <n v="391"/>
    <m/>
    <m/>
    <m/>
    <m/>
    <m/>
    <n v="456200"/>
    <m/>
  </r>
  <r>
    <x v="33"/>
    <x v="15"/>
    <x v="7"/>
    <n v="383"/>
    <m/>
    <m/>
    <m/>
    <m/>
    <m/>
    <n v="187200"/>
    <m/>
  </r>
  <r>
    <x v="33"/>
    <x v="15"/>
    <x v="2"/>
    <n v="579"/>
    <m/>
    <m/>
    <m/>
    <m/>
    <m/>
    <n v="296200"/>
    <m/>
  </r>
  <r>
    <x v="33"/>
    <x v="15"/>
    <x v="1"/>
    <n v="445"/>
    <m/>
    <m/>
    <m/>
    <m/>
    <m/>
    <n v="355950"/>
    <m/>
  </r>
  <r>
    <x v="33"/>
    <x v="15"/>
    <x v="12"/>
    <n v="671"/>
    <m/>
    <m/>
    <m/>
    <m/>
    <m/>
    <n v="216700"/>
    <m/>
  </r>
  <r>
    <x v="33"/>
    <x v="15"/>
    <x v="13"/>
    <n v="829"/>
    <m/>
    <m/>
    <m/>
    <m/>
    <m/>
    <n v="143010"/>
    <m/>
  </r>
  <r>
    <x v="33"/>
    <x v="15"/>
    <x v="14"/>
    <n v="493"/>
    <m/>
    <m/>
    <m/>
    <m/>
    <m/>
    <n v="206800"/>
    <m/>
  </r>
  <r>
    <x v="33"/>
    <x v="15"/>
    <x v="15"/>
    <n v="442"/>
    <m/>
    <m/>
    <m/>
    <m/>
    <m/>
    <n v="52000"/>
    <m/>
  </r>
  <r>
    <x v="33"/>
    <x v="15"/>
    <x v="16"/>
    <n v="322"/>
    <m/>
    <m/>
    <m/>
    <m/>
    <m/>
    <n v="138960"/>
    <m/>
  </r>
  <r>
    <x v="33"/>
    <x v="15"/>
    <x v="17"/>
    <n v="225"/>
    <m/>
    <m/>
    <m/>
    <m/>
    <m/>
    <n v="328200"/>
    <m/>
  </r>
  <r>
    <x v="33"/>
    <x v="15"/>
    <x v="18"/>
    <n v="464"/>
    <m/>
    <m/>
    <m/>
    <m/>
    <m/>
    <n v="172750"/>
    <m/>
  </r>
  <r>
    <x v="33"/>
    <x v="15"/>
    <x v="19"/>
    <n v="383"/>
    <m/>
    <m/>
    <m/>
    <m/>
    <m/>
    <n v="54850"/>
    <m/>
  </r>
  <r>
    <x v="33"/>
    <x v="15"/>
    <x v="20"/>
    <n v="273"/>
    <m/>
    <m/>
    <m/>
    <m/>
    <m/>
    <n v="139500"/>
    <m/>
  </r>
  <r>
    <x v="33"/>
    <x v="15"/>
    <x v="21"/>
    <n v="308"/>
    <m/>
    <m/>
    <m/>
    <m/>
    <m/>
    <n v="78500"/>
    <m/>
  </r>
  <r>
    <x v="33"/>
    <x v="15"/>
    <x v="22"/>
    <n v="265"/>
    <m/>
    <m/>
    <m/>
    <m/>
    <m/>
    <n v="140200"/>
    <m/>
  </r>
  <r>
    <x v="33"/>
    <x v="15"/>
    <x v="23"/>
    <n v="552"/>
    <m/>
    <m/>
    <m/>
    <m/>
    <m/>
    <n v="25990"/>
    <m/>
  </r>
  <r>
    <x v="33"/>
    <x v="15"/>
    <x v="24"/>
    <n v="224"/>
    <m/>
    <m/>
    <m/>
    <m/>
    <m/>
    <n v="24990"/>
    <m/>
  </r>
  <r>
    <x v="33"/>
    <x v="15"/>
    <x v="25"/>
    <n v="282"/>
    <m/>
    <m/>
    <m/>
    <m/>
    <m/>
    <n v="131200"/>
    <m/>
  </r>
  <r>
    <x v="33"/>
    <x v="15"/>
    <x v="26"/>
    <n v="348"/>
    <m/>
    <m/>
    <m/>
    <m/>
    <m/>
    <n v="44800"/>
    <m/>
  </r>
  <r>
    <x v="33"/>
    <x v="15"/>
    <x v="27"/>
    <n v="210"/>
    <m/>
    <m/>
    <m/>
    <m/>
    <m/>
    <n v="37500"/>
    <m/>
  </r>
  <r>
    <x v="33"/>
    <x v="15"/>
    <x v="28"/>
    <n v="350"/>
    <m/>
    <m/>
    <m/>
    <m/>
    <m/>
    <n v="81450"/>
    <m/>
  </r>
  <r>
    <x v="33"/>
    <x v="0"/>
    <x v="0"/>
    <m/>
    <n v="49"/>
    <n v="6"/>
    <n v="67"/>
    <n v="6"/>
    <n v="38"/>
    <m/>
    <m/>
  </r>
  <r>
    <x v="33"/>
    <x v="56"/>
    <x v="0"/>
    <m/>
    <n v="36"/>
    <n v="6"/>
    <n v="20"/>
    <n v="1"/>
    <n v="12"/>
    <m/>
    <m/>
  </r>
  <r>
    <x v="33"/>
    <x v="28"/>
    <x v="10"/>
    <m/>
    <n v="12"/>
    <n v="0"/>
    <n v="67"/>
    <n v="6"/>
    <n v="4"/>
    <m/>
    <m/>
  </r>
  <r>
    <x v="33"/>
    <x v="57"/>
    <x v="10"/>
    <m/>
    <n v="25"/>
    <n v="1"/>
    <n v="3"/>
    <n v="2"/>
    <n v="1"/>
    <m/>
    <m/>
  </r>
  <r>
    <x v="33"/>
    <x v="7"/>
    <x v="2"/>
    <m/>
    <n v="22"/>
    <n v="2"/>
    <n v="7"/>
    <n v="7"/>
    <n v="14"/>
    <m/>
    <m/>
  </r>
  <r>
    <x v="33"/>
    <x v="39"/>
    <x v="2"/>
    <m/>
    <n v="30"/>
    <n v="19"/>
    <n v="16"/>
    <n v="3"/>
    <n v="7"/>
    <m/>
    <m/>
  </r>
  <r>
    <x v="33"/>
    <x v="4"/>
    <x v="5"/>
    <m/>
    <n v="42"/>
    <n v="2"/>
    <n v="22"/>
    <n v="1"/>
    <n v="8"/>
    <m/>
    <m/>
  </r>
  <r>
    <x v="33"/>
    <x v="4"/>
    <x v="6"/>
    <m/>
    <n v="6"/>
    <n v="0"/>
    <n v="4"/>
    <n v="0"/>
    <n v="5"/>
    <m/>
    <m/>
  </r>
  <r>
    <x v="33"/>
    <x v="51"/>
    <x v="6"/>
    <m/>
    <n v="31"/>
    <n v="3"/>
    <n v="15"/>
    <n v="3"/>
    <n v="6"/>
    <m/>
    <m/>
  </r>
  <r>
    <x v="33"/>
    <x v="50"/>
    <x v="3"/>
    <m/>
    <n v="22"/>
    <n v="2"/>
    <n v="19"/>
    <n v="3"/>
    <n v="15"/>
    <m/>
    <m/>
  </r>
  <r>
    <x v="33"/>
    <x v="43"/>
    <x v="3"/>
    <m/>
    <n v="22"/>
    <n v="1"/>
    <n v="17"/>
    <n v="2"/>
    <n v="4"/>
    <m/>
    <m/>
  </r>
  <r>
    <x v="33"/>
    <x v="43"/>
    <x v="4"/>
    <m/>
    <n v="4"/>
    <n v="0"/>
    <n v="11"/>
    <n v="1"/>
    <n v="4"/>
    <m/>
    <m/>
  </r>
  <r>
    <x v="33"/>
    <x v="13"/>
    <x v="4"/>
    <m/>
    <n v="26"/>
    <n v="1"/>
    <n v="39"/>
    <n v="1"/>
    <n v="17"/>
    <m/>
    <m/>
  </r>
  <r>
    <x v="33"/>
    <x v="16"/>
    <x v="4"/>
    <m/>
    <n v="11"/>
    <n v="1"/>
    <n v="17"/>
    <n v="3"/>
    <n v="6"/>
    <m/>
    <m/>
  </r>
  <r>
    <x v="33"/>
    <x v="50"/>
    <x v="4"/>
    <m/>
    <n v="2"/>
    <n v="0"/>
    <n v="1"/>
    <n v="0"/>
    <n v="2"/>
    <m/>
    <m/>
  </r>
  <r>
    <x v="33"/>
    <x v="10"/>
    <x v="9"/>
    <m/>
    <n v="12"/>
    <n v="1"/>
    <n v="35"/>
    <n v="6"/>
    <n v="13"/>
    <m/>
    <m/>
  </r>
  <r>
    <x v="33"/>
    <x v="12"/>
    <x v="9"/>
    <m/>
    <n v="30"/>
    <n v="5"/>
    <n v="48"/>
    <n v="2"/>
    <n v="17"/>
    <m/>
    <m/>
  </r>
  <r>
    <x v="33"/>
    <x v="58"/>
    <x v="9"/>
    <m/>
    <n v="46"/>
    <n v="6"/>
    <n v="2"/>
    <n v="0"/>
    <n v="4"/>
    <m/>
    <m/>
  </r>
  <r>
    <x v="33"/>
    <x v="44"/>
    <x v="1"/>
    <m/>
    <n v="28"/>
    <n v="5"/>
    <n v="24"/>
    <n v="10"/>
    <n v="15"/>
    <m/>
    <m/>
  </r>
  <r>
    <x v="33"/>
    <x v="52"/>
    <x v="1"/>
    <m/>
    <n v="29"/>
    <n v="8"/>
    <n v="17"/>
    <n v="3"/>
    <n v="11"/>
    <m/>
    <m/>
  </r>
  <r>
    <x v="33"/>
    <x v="14"/>
    <x v="11"/>
    <m/>
    <n v="20"/>
    <n v="0"/>
    <n v="30"/>
    <n v="0"/>
    <n v="14"/>
    <m/>
    <m/>
  </r>
  <r>
    <x v="33"/>
    <x v="37"/>
    <x v="11"/>
    <m/>
    <n v="37"/>
    <n v="0"/>
    <n v="18"/>
    <n v="0"/>
    <n v="14"/>
    <m/>
    <m/>
  </r>
  <r>
    <x v="33"/>
    <x v="13"/>
    <x v="8"/>
    <m/>
    <n v="3"/>
    <n v="0"/>
    <n v="19"/>
    <n v="0"/>
    <n v="3"/>
    <m/>
    <m/>
  </r>
  <r>
    <x v="33"/>
    <x v="46"/>
    <x v="8"/>
    <m/>
    <n v="36"/>
    <n v="1"/>
    <n v="15"/>
    <n v="3"/>
    <n v="13"/>
    <m/>
    <m/>
  </r>
  <r>
    <x v="33"/>
    <x v="5"/>
    <x v="7"/>
    <m/>
    <n v="8"/>
    <n v="0"/>
    <n v="9"/>
    <n v="5"/>
    <n v="8"/>
    <m/>
    <m/>
  </r>
  <r>
    <x v="33"/>
    <x v="22"/>
    <x v="7"/>
    <m/>
    <n v="43"/>
    <n v="8"/>
    <n v="6"/>
    <n v="1"/>
    <n v="6"/>
    <m/>
    <m/>
  </r>
  <r>
    <x v="33"/>
    <x v="30"/>
    <x v="12"/>
    <m/>
    <n v="32"/>
    <n v="4"/>
    <n v="20"/>
    <n v="8"/>
    <n v="15"/>
    <m/>
    <m/>
  </r>
  <r>
    <x v="33"/>
    <x v="19"/>
    <x v="13"/>
    <m/>
    <n v="22"/>
    <n v="14"/>
    <n v="17"/>
    <n v="7"/>
    <n v="11"/>
    <m/>
    <m/>
  </r>
  <r>
    <x v="33"/>
    <x v="47"/>
    <x v="14"/>
    <m/>
    <n v="17"/>
    <n v="6"/>
    <n v="13"/>
    <n v="8"/>
    <n v="4"/>
    <m/>
    <m/>
  </r>
  <r>
    <x v="33"/>
    <x v="53"/>
    <x v="14"/>
    <m/>
    <n v="29"/>
    <n v="13"/>
    <n v="27"/>
    <n v="6"/>
    <n v="12"/>
    <m/>
    <m/>
  </r>
  <r>
    <x v="33"/>
    <x v="21"/>
    <x v="15"/>
    <m/>
    <n v="26"/>
    <n v="9"/>
    <n v="36"/>
    <n v="10"/>
    <n v="4"/>
    <m/>
    <m/>
  </r>
  <r>
    <x v="33"/>
    <x v="45"/>
    <x v="16"/>
    <m/>
    <n v="21"/>
    <n v="6"/>
    <n v="12"/>
    <n v="0"/>
    <n v="11"/>
    <m/>
    <m/>
  </r>
  <r>
    <x v="33"/>
    <x v="45"/>
    <x v="24"/>
    <m/>
    <n v="17"/>
    <n v="4"/>
    <n v="0"/>
    <n v="4"/>
    <n v="2"/>
    <m/>
    <m/>
  </r>
  <r>
    <x v="33"/>
    <x v="27"/>
    <x v="17"/>
    <m/>
    <n v="27"/>
    <n v="14"/>
    <n v="35"/>
    <n v="9"/>
    <n v="25"/>
    <m/>
    <m/>
  </r>
  <r>
    <x v="33"/>
    <x v="33"/>
    <x v="18"/>
    <m/>
    <n v="23"/>
    <n v="12"/>
    <n v="34"/>
    <n v="26"/>
    <n v="13"/>
    <m/>
    <m/>
  </r>
  <r>
    <x v="33"/>
    <x v="56"/>
    <x v="20"/>
    <m/>
    <n v="17"/>
    <n v="0"/>
    <n v="14"/>
    <n v="3"/>
    <n v="11"/>
    <m/>
    <m/>
  </r>
  <r>
    <x v="33"/>
    <x v="38"/>
    <x v="21"/>
    <m/>
    <n v="37"/>
    <n v="5"/>
    <n v="28"/>
    <n v="9"/>
    <n v="6"/>
    <m/>
    <m/>
  </r>
  <r>
    <x v="33"/>
    <x v="40"/>
    <x v="19"/>
    <m/>
    <n v="4"/>
    <n v="8"/>
    <n v="4"/>
    <n v="6"/>
    <n v="4"/>
    <m/>
    <m/>
  </r>
  <r>
    <x v="33"/>
    <x v="41"/>
    <x v="22"/>
    <m/>
    <n v="9"/>
    <n v="2"/>
    <n v="13"/>
    <n v="0"/>
    <n v="10"/>
    <m/>
    <m/>
  </r>
  <r>
    <x v="33"/>
    <x v="42"/>
    <x v="23"/>
    <m/>
    <n v="7"/>
    <n v="11"/>
    <n v="4"/>
    <n v="5"/>
    <n v="2"/>
    <m/>
    <m/>
  </r>
  <r>
    <x v="33"/>
    <x v="48"/>
    <x v="25"/>
    <m/>
    <n v="13"/>
    <n v="1"/>
    <n v="13"/>
    <n v="0"/>
    <n v="10"/>
    <m/>
    <m/>
  </r>
  <r>
    <x v="33"/>
    <x v="50"/>
    <x v="26"/>
    <m/>
    <n v="25"/>
    <n v="2"/>
    <n v="2"/>
    <n v="0"/>
    <n v="3"/>
    <m/>
    <m/>
  </r>
  <r>
    <x v="33"/>
    <x v="54"/>
    <x v="27"/>
    <m/>
    <n v="23"/>
    <n v="8"/>
    <n v="5"/>
    <n v="0"/>
    <n v="3"/>
    <m/>
    <m/>
  </r>
  <r>
    <x v="33"/>
    <x v="55"/>
    <x v="28"/>
    <m/>
    <n v="7"/>
    <n v="6"/>
    <n v="6"/>
    <n v="1"/>
    <n v="6"/>
    <m/>
    <m/>
  </r>
  <r>
    <x v="34"/>
    <x v="15"/>
    <x v="3"/>
    <n v="548"/>
    <m/>
    <m/>
    <m/>
    <m/>
    <m/>
    <n v="194250"/>
    <m/>
  </r>
  <r>
    <x v="34"/>
    <x v="15"/>
    <x v="8"/>
    <n v="326"/>
    <m/>
    <m/>
    <m/>
    <m/>
    <m/>
    <n v="181300"/>
    <m/>
  </r>
  <r>
    <x v="34"/>
    <x v="15"/>
    <x v="4"/>
    <n v="649"/>
    <m/>
    <m/>
    <m/>
    <m/>
    <m/>
    <n v="364500"/>
    <m/>
  </r>
  <r>
    <x v="34"/>
    <x v="15"/>
    <x v="6"/>
    <n v="473"/>
    <m/>
    <m/>
    <m/>
    <m/>
    <m/>
    <n v="112800"/>
    <m/>
  </r>
  <r>
    <x v="34"/>
    <x v="15"/>
    <x v="11"/>
    <n v="456"/>
    <m/>
    <m/>
    <m/>
    <m/>
    <m/>
    <n v="483150"/>
    <m/>
  </r>
  <r>
    <x v="34"/>
    <x v="15"/>
    <x v="10"/>
    <n v="348"/>
    <m/>
    <m/>
    <m/>
    <m/>
    <m/>
    <n v="144350"/>
    <m/>
  </r>
  <r>
    <x v="34"/>
    <x v="15"/>
    <x v="0"/>
    <n v="464"/>
    <m/>
    <m/>
    <m/>
    <m/>
    <m/>
    <n v="688260"/>
    <m/>
  </r>
  <r>
    <x v="34"/>
    <x v="15"/>
    <x v="5"/>
    <n v="352"/>
    <m/>
    <m/>
    <m/>
    <m/>
    <m/>
    <n v="197750"/>
    <m/>
  </r>
  <r>
    <x v="34"/>
    <x v="15"/>
    <x v="9"/>
    <n v="412"/>
    <m/>
    <m/>
    <m/>
    <m/>
    <m/>
    <n v="483050"/>
    <m/>
  </r>
  <r>
    <x v="34"/>
    <x v="15"/>
    <x v="7"/>
    <n v="406"/>
    <m/>
    <m/>
    <m/>
    <m/>
    <m/>
    <n v="201050"/>
    <m/>
  </r>
  <r>
    <x v="34"/>
    <x v="15"/>
    <x v="2"/>
    <n v="553"/>
    <m/>
    <m/>
    <m/>
    <m/>
    <m/>
    <n v="499400"/>
    <m/>
  </r>
  <r>
    <x v="34"/>
    <x v="15"/>
    <x v="1"/>
    <n v="477"/>
    <m/>
    <m/>
    <m/>
    <m/>
    <m/>
    <n v="270400"/>
    <m/>
  </r>
  <r>
    <x v="34"/>
    <x v="15"/>
    <x v="12"/>
    <n v="532"/>
    <m/>
    <m/>
    <m/>
    <m/>
    <m/>
    <n v="220350"/>
    <m/>
  </r>
  <r>
    <x v="34"/>
    <x v="15"/>
    <x v="13"/>
    <n v="810"/>
    <m/>
    <m/>
    <m/>
    <m/>
    <m/>
    <n v="146770"/>
    <m/>
  </r>
  <r>
    <x v="34"/>
    <x v="15"/>
    <x v="14"/>
    <n v="505"/>
    <m/>
    <m/>
    <m/>
    <m/>
    <m/>
    <n v="268650"/>
    <m/>
  </r>
  <r>
    <x v="34"/>
    <x v="15"/>
    <x v="15"/>
    <n v="481"/>
    <m/>
    <m/>
    <m/>
    <m/>
    <m/>
    <n v="78500"/>
    <m/>
  </r>
  <r>
    <x v="34"/>
    <x v="15"/>
    <x v="16"/>
    <n v="214"/>
    <m/>
    <m/>
    <m/>
    <m/>
    <m/>
    <n v="206920"/>
    <m/>
  </r>
  <r>
    <x v="34"/>
    <x v="15"/>
    <x v="17"/>
    <n v="255"/>
    <m/>
    <m/>
    <m/>
    <m/>
    <m/>
    <n v="332100"/>
    <m/>
  </r>
  <r>
    <x v="34"/>
    <x v="15"/>
    <x v="18"/>
    <n v="465"/>
    <m/>
    <m/>
    <m/>
    <m/>
    <m/>
    <n v="148700"/>
    <m/>
  </r>
  <r>
    <x v="34"/>
    <x v="15"/>
    <x v="19"/>
    <n v="323"/>
    <m/>
    <m/>
    <m/>
    <m/>
    <m/>
    <n v="12900"/>
    <m/>
  </r>
  <r>
    <x v="34"/>
    <x v="15"/>
    <x v="20"/>
    <n v="375"/>
    <m/>
    <m/>
    <m/>
    <m/>
    <m/>
    <n v="51900"/>
    <m/>
  </r>
  <r>
    <x v="34"/>
    <x v="15"/>
    <x v="21"/>
    <n v="320"/>
    <m/>
    <m/>
    <m/>
    <m/>
    <m/>
    <n v="91000"/>
    <m/>
  </r>
  <r>
    <x v="34"/>
    <x v="15"/>
    <x v="22"/>
    <n v="191"/>
    <m/>
    <m/>
    <m/>
    <m/>
    <m/>
    <n v="39950"/>
    <m/>
  </r>
  <r>
    <x v="34"/>
    <x v="15"/>
    <x v="23"/>
    <n v="680"/>
    <m/>
    <m/>
    <m/>
    <m/>
    <m/>
    <n v="0"/>
    <m/>
  </r>
  <r>
    <x v="34"/>
    <x v="15"/>
    <x v="24"/>
    <n v="202"/>
    <m/>
    <m/>
    <m/>
    <m/>
    <m/>
    <n v="38980"/>
    <m/>
  </r>
  <r>
    <x v="34"/>
    <x v="15"/>
    <x v="25"/>
    <n v="290"/>
    <m/>
    <m/>
    <m/>
    <m/>
    <m/>
    <n v="108100"/>
    <m/>
  </r>
  <r>
    <x v="34"/>
    <x v="15"/>
    <x v="26"/>
    <n v="351"/>
    <m/>
    <m/>
    <m/>
    <m/>
    <m/>
    <n v="73750"/>
    <m/>
  </r>
  <r>
    <x v="34"/>
    <x v="15"/>
    <x v="27"/>
    <n v="147"/>
    <m/>
    <m/>
    <m/>
    <m/>
    <m/>
    <n v="25700"/>
    <m/>
  </r>
  <r>
    <x v="34"/>
    <x v="15"/>
    <x v="28"/>
    <n v="288"/>
    <m/>
    <m/>
    <m/>
    <m/>
    <m/>
    <n v="40450"/>
    <m/>
  </r>
  <r>
    <x v="34"/>
    <x v="15"/>
    <x v="29"/>
    <n v="181"/>
    <m/>
    <m/>
    <m/>
    <m/>
    <m/>
    <n v="0"/>
    <m/>
  </r>
  <r>
    <x v="34"/>
    <x v="0"/>
    <x v="0"/>
    <m/>
    <n v="60"/>
    <n v="3"/>
    <n v="84"/>
    <n v="9"/>
    <n v="27"/>
    <m/>
    <m/>
  </r>
  <r>
    <x v="34"/>
    <x v="56"/>
    <x v="0"/>
    <m/>
    <n v="28"/>
    <n v="4"/>
    <n v="28"/>
    <n v="6"/>
    <n v="23"/>
    <m/>
    <m/>
  </r>
  <r>
    <x v="34"/>
    <x v="57"/>
    <x v="10"/>
    <m/>
    <n v="34"/>
    <n v="2"/>
    <n v="21"/>
    <n v="0"/>
    <n v="11"/>
    <m/>
    <m/>
  </r>
  <r>
    <x v="34"/>
    <x v="7"/>
    <x v="2"/>
    <m/>
    <n v="46"/>
    <n v="16"/>
    <n v="29"/>
    <n v="14"/>
    <n v="26"/>
    <m/>
    <m/>
  </r>
  <r>
    <x v="34"/>
    <x v="39"/>
    <x v="2"/>
    <m/>
    <n v="13"/>
    <n v="7"/>
    <n v="12"/>
    <n v="4"/>
    <n v="9"/>
    <m/>
    <m/>
  </r>
  <r>
    <x v="34"/>
    <x v="4"/>
    <x v="5"/>
    <m/>
    <n v="40"/>
    <n v="1"/>
    <n v="41"/>
    <n v="3"/>
    <n v="15"/>
    <m/>
    <m/>
  </r>
  <r>
    <x v="34"/>
    <x v="51"/>
    <x v="6"/>
    <m/>
    <n v="27"/>
    <n v="5"/>
    <n v="20"/>
    <n v="1"/>
    <n v="9"/>
    <m/>
    <m/>
  </r>
  <r>
    <x v="34"/>
    <x v="50"/>
    <x v="3"/>
    <m/>
    <n v="19"/>
    <n v="10"/>
    <n v="17"/>
    <n v="3"/>
    <n v="10"/>
    <m/>
    <m/>
  </r>
  <r>
    <x v="34"/>
    <x v="43"/>
    <x v="3"/>
    <m/>
    <n v="7"/>
    <n v="1"/>
    <n v="11"/>
    <n v="1"/>
    <n v="5"/>
    <m/>
    <m/>
  </r>
  <r>
    <x v="34"/>
    <x v="43"/>
    <x v="4"/>
    <m/>
    <n v="8"/>
    <n v="3"/>
    <n v="6"/>
    <n v="0"/>
    <n v="1"/>
    <m/>
    <m/>
  </r>
  <r>
    <x v="34"/>
    <x v="13"/>
    <x v="4"/>
    <m/>
    <n v="26"/>
    <n v="3"/>
    <n v="38"/>
    <n v="3"/>
    <n v="15"/>
    <m/>
    <m/>
  </r>
  <r>
    <x v="34"/>
    <x v="16"/>
    <x v="4"/>
    <m/>
    <n v="6"/>
    <n v="1"/>
    <n v="16"/>
    <n v="1"/>
    <n v="7"/>
    <m/>
    <m/>
  </r>
  <r>
    <x v="34"/>
    <x v="50"/>
    <x v="4"/>
    <m/>
    <n v="10"/>
    <n v="0"/>
    <n v="4"/>
    <n v="0"/>
    <n v="4"/>
    <m/>
    <m/>
  </r>
  <r>
    <x v="34"/>
    <x v="10"/>
    <x v="9"/>
    <m/>
    <n v="2"/>
    <n v="2"/>
    <n v="46"/>
    <n v="6"/>
    <n v="9"/>
    <m/>
    <m/>
  </r>
  <r>
    <x v="34"/>
    <x v="12"/>
    <x v="9"/>
    <m/>
    <n v="14"/>
    <n v="2"/>
    <n v="52"/>
    <n v="1"/>
    <n v="14"/>
    <m/>
    <m/>
  </r>
  <r>
    <x v="34"/>
    <x v="58"/>
    <x v="9"/>
    <m/>
    <n v="45"/>
    <n v="6"/>
    <n v="12"/>
    <n v="3"/>
    <n v="12"/>
    <m/>
    <m/>
  </r>
  <r>
    <x v="34"/>
    <x v="44"/>
    <x v="1"/>
    <m/>
    <n v="18"/>
    <n v="5"/>
    <n v="29"/>
    <n v="9"/>
    <n v="13"/>
    <m/>
    <m/>
  </r>
  <r>
    <x v="34"/>
    <x v="52"/>
    <x v="1"/>
    <m/>
    <n v="17"/>
    <n v="14"/>
    <n v="19"/>
    <n v="4"/>
    <n v="7"/>
    <m/>
    <m/>
  </r>
  <r>
    <x v="34"/>
    <x v="14"/>
    <x v="11"/>
    <m/>
    <n v="28"/>
    <n v="0"/>
    <n v="37"/>
    <n v="0"/>
    <n v="13"/>
    <m/>
    <m/>
  </r>
  <r>
    <x v="34"/>
    <x v="37"/>
    <x v="11"/>
    <m/>
    <n v="34"/>
    <n v="0"/>
    <n v="27"/>
    <n v="0"/>
    <n v="18"/>
    <m/>
    <m/>
  </r>
  <r>
    <x v="34"/>
    <x v="13"/>
    <x v="8"/>
    <m/>
    <n v="1"/>
    <n v="0"/>
    <n v="9"/>
    <n v="0"/>
    <n v="1"/>
    <m/>
    <m/>
  </r>
  <r>
    <x v="34"/>
    <x v="46"/>
    <x v="8"/>
    <m/>
    <n v="17"/>
    <n v="1"/>
    <n v="19"/>
    <n v="1"/>
    <n v="13"/>
    <m/>
    <m/>
  </r>
  <r>
    <x v="34"/>
    <x v="22"/>
    <x v="7"/>
    <m/>
    <n v="62"/>
    <n v="9"/>
    <n v="35"/>
    <n v="9"/>
    <n v="14"/>
    <m/>
    <m/>
  </r>
  <r>
    <x v="34"/>
    <x v="30"/>
    <x v="12"/>
    <m/>
    <n v="35"/>
    <n v="5"/>
    <n v="31"/>
    <n v="12"/>
    <n v="15"/>
    <m/>
    <m/>
  </r>
  <r>
    <x v="34"/>
    <x v="19"/>
    <x v="13"/>
    <m/>
    <n v="23"/>
    <n v="16"/>
    <n v="23"/>
    <n v="11"/>
    <n v="11"/>
    <m/>
    <m/>
  </r>
  <r>
    <x v="34"/>
    <x v="47"/>
    <x v="14"/>
    <m/>
    <n v="19"/>
    <n v="7"/>
    <n v="11"/>
    <n v="11"/>
    <n v="7"/>
    <m/>
    <m/>
  </r>
  <r>
    <x v="34"/>
    <x v="53"/>
    <x v="14"/>
    <m/>
    <n v="20"/>
    <n v="10"/>
    <n v="17"/>
    <n v="1"/>
    <n v="13"/>
    <m/>
    <m/>
  </r>
  <r>
    <x v="34"/>
    <x v="21"/>
    <x v="15"/>
    <m/>
    <n v="18"/>
    <n v="12"/>
    <n v="29"/>
    <n v="14"/>
    <n v="6"/>
    <m/>
    <m/>
  </r>
  <r>
    <x v="34"/>
    <x v="45"/>
    <x v="16"/>
    <m/>
    <n v="38"/>
    <n v="11"/>
    <n v="9"/>
    <n v="2"/>
    <n v="16"/>
    <m/>
    <m/>
  </r>
  <r>
    <x v="34"/>
    <x v="45"/>
    <x v="24"/>
    <m/>
    <n v="17"/>
    <n v="5"/>
    <n v="2"/>
    <n v="0"/>
    <n v="3"/>
    <m/>
    <m/>
  </r>
  <r>
    <x v="34"/>
    <x v="27"/>
    <x v="17"/>
    <m/>
    <n v="40"/>
    <n v="7"/>
    <n v="32"/>
    <n v="4"/>
    <n v="26"/>
    <m/>
    <m/>
  </r>
  <r>
    <x v="34"/>
    <x v="33"/>
    <x v="18"/>
    <m/>
    <n v="20"/>
    <n v="13"/>
    <n v="25"/>
    <n v="4"/>
    <n v="11"/>
    <m/>
    <m/>
  </r>
  <r>
    <x v="34"/>
    <x v="56"/>
    <x v="20"/>
    <m/>
    <n v="15"/>
    <n v="2"/>
    <n v="23"/>
    <n v="3"/>
    <n v="4"/>
    <m/>
    <m/>
  </r>
  <r>
    <x v="34"/>
    <x v="38"/>
    <x v="21"/>
    <m/>
    <n v="30"/>
    <n v="11"/>
    <n v="32"/>
    <n v="4"/>
    <n v="7"/>
    <m/>
    <m/>
  </r>
  <r>
    <x v="34"/>
    <x v="40"/>
    <x v="19"/>
    <m/>
    <n v="17"/>
    <n v="6"/>
    <n v="7"/>
    <n v="8"/>
    <n v="1"/>
    <m/>
    <m/>
  </r>
  <r>
    <x v="34"/>
    <x v="41"/>
    <x v="22"/>
    <m/>
    <n v="11"/>
    <n v="4"/>
    <n v="7"/>
    <n v="0"/>
    <n v="3"/>
    <m/>
    <m/>
  </r>
  <r>
    <x v="34"/>
    <x v="42"/>
    <x v="23"/>
    <m/>
    <n v="7"/>
    <n v="9"/>
    <n v="9"/>
    <n v="0"/>
    <n v="0"/>
    <m/>
    <m/>
  </r>
  <r>
    <x v="34"/>
    <x v="48"/>
    <x v="25"/>
    <m/>
    <n v="15"/>
    <n v="5"/>
    <n v="12"/>
    <n v="2"/>
    <n v="8"/>
    <m/>
    <m/>
  </r>
  <r>
    <x v="34"/>
    <x v="49"/>
    <x v="26"/>
    <m/>
    <n v="2"/>
    <n v="0"/>
    <n v="0"/>
    <n v="0"/>
    <n v="2"/>
    <m/>
    <m/>
  </r>
  <r>
    <x v="34"/>
    <x v="50"/>
    <x v="26"/>
    <m/>
    <n v="12"/>
    <n v="2"/>
    <n v="5"/>
    <n v="1"/>
    <n v="3"/>
    <m/>
    <m/>
  </r>
  <r>
    <x v="34"/>
    <x v="54"/>
    <x v="27"/>
    <m/>
    <n v="14"/>
    <n v="10"/>
    <n v="6"/>
    <n v="0"/>
    <n v="2"/>
    <m/>
    <m/>
  </r>
  <r>
    <x v="34"/>
    <x v="55"/>
    <x v="28"/>
    <m/>
    <n v="4"/>
    <n v="3"/>
    <n v="2"/>
    <n v="0"/>
    <n v="3"/>
    <m/>
    <m/>
  </r>
  <r>
    <x v="34"/>
    <x v="59"/>
    <x v="29"/>
    <m/>
    <n v="5"/>
    <n v="3"/>
    <n v="0"/>
    <n v="0"/>
    <n v="0"/>
    <m/>
    <m/>
  </r>
  <r>
    <x v="35"/>
    <x v="15"/>
    <x v="3"/>
    <n v="486"/>
    <m/>
    <m/>
    <m/>
    <m/>
    <m/>
    <n v="121200"/>
    <m/>
  </r>
  <r>
    <x v="35"/>
    <x v="15"/>
    <x v="8"/>
    <n v="336"/>
    <m/>
    <m/>
    <m/>
    <m/>
    <m/>
    <n v="149500"/>
    <m/>
  </r>
  <r>
    <x v="35"/>
    <x v="15"/>
    <x v="4"/>
    <n v="599"/>
    <m/>
    <m/>
    <m/>
    <m/>
    <m/>
    <n v="320000"/>
    <m/>
  </r>
  <r>
    <x v="35"/>
    <x v="15"/>
    <x v="6"/>
    <n v="391"/>
    <m/>
    <m/>
    <m/>
    <m/>
    <m/>
    <n v="63800"/>
    <m/>
  </r>
  <r>
    <x v="35"/>
    <x v="15"/>
    <x v="11"/>
    <n v="424"/>
    <m/>
    <m/>
    <m/>
    <m/>
    <m/>
    <n v="370050"/>
    <m/>
  </r>
  <r>
    <x v="35"/>
    <x v="15"/>
    <x v="10"/>
    <n v="292"/>
    <m/>
    <m/>
    <m/>
    <m/>
    <m/>
    <n v="209500"/>
    <m/>
  </r>
  <r>
    <x v="35"/>
    <x v="15"/>
    <x v="0"/>
    <n v="430"/>
    <m/>
    <m/>
    <m/>
    <m/>
    <m/>
    <n v="589450"/>
    <m/>
  </r>
  <r>
    <x v="35"/>
    <x v="15"/>
    <x v="5"/>
    <n v="403"/>
    <m/>
    <m/>
    <m/>
    <m/>
    <m/>
    <n v="117450"/>
    <m/>
  </r>
  <r>
    <x v="35"/>
    <x v="15"/>
    <x v="9"/>
    <n v="370"/>
    <m/>
    <m/>
    <m/>
    <m/>
    <m/>
    <n v="351850"/>
    <m/>
  </r>
  <r>
    <x v="35"/>
    <x v="15"/>
    <x v="7"/>
    <n v="400"/>
    <m/>
    <m/>
    <m/>
    <m/>
    <m/>
    <n v="112500"/>
    <m/>
  </r>
  <r>
    <x v="35"/>
    <x v="15"/>
    <x v="2"/>
    <n v="504"/>
    <m/>
    <m/>
    <m/>
    <m/>
    <m/>
    <n v="444565.04"/>
    <m/>
  </r>
  <r>
    <x v="35"/>
    <x v="15"/>
    <x v="1"/>
    <n v="461"/>
    <m/>
    <m/>
    <m/>
    <m/>
    <m/>
    <n v="324950"/>
    <m/>
  </r>
  <r>
    <x v="35"/>
    <x v="15"/>
    <x v="12"/>
    <n v="352"/>
    <m/>
    <m/>
    <m/>
    <m/>
    <m/>
    <n v="78050"/>
    <m/>
  </r>
  <r>
    <x v="35"/>
    <x v="15"/>
    <x v="13"/>
    <n v="681"/>
    <m/>
    <m/>
    <m/>
    <m/>
    <m/>
    <n v="63490"/>
    <m/>
  </r>
  <r>
    <x v="35"/>
    <x v="15"/>
    <x v="14"/>
    <n v="620"/>
    <m/>
    <m/>
    <m/>
    <m/>
    <m/>
    <n v="259900"/>
    <m/>
  </r>
  <r>
    <x v="35"/>
    <x v="15"/>
    <x v="15"/>
    <n v="411"/>
    <m/>
    <m/>
    <m/>
    <m/>
    <m/>
    <n v="41000"/>
    <m/>
  </r>
  <r>
    <x v="35"/>
    <x v="15"/>
    <x v="16"/>
    <n v="155"/>
    <m/>
    <m/>
    <m/>
    <m/>
    <m/>
    <n v="128920"/>
    <m/>
  </r>
  <r>
    <x v="35"/>
    <x v="15"/>
    <x v="17"/>
    <n v="202"/>
    <m/>
    <m/>
    <m/>
    <m/>
    <m/>
    <n v="339500"/>
    <m/>
  </r>
  <r>
    <x v="35"/>
    <x v="15"/>
    <x v="18"/>
    <n v="372"/>
    <m/>
    <m/>
    <m/>
    <m/>
    <m/>
    <n v="150800"/>
    <m/>
  </r>
  <r>
    <x v="35"/>
    <x v="15"/>
    <x v="19"/>
    <n v="276"/>
    <m/>
    <m/>
    <m/>
    <m/>
    <m/>
    <n v="24000"/>
    <m/>
  </r>
  <r>
    <x v="35"/>
    <x v="15"/>
    <x v="20"/>
    <n v="352"/>
    <m/>
    <m/>
    <m/>
    <m/>
    <m/>
    <n v="112000"/>
    <m/>
  </r>
  <r>
    <x v="35"/>
    <x v="15"/>
    <x v="21"/>
    <n v="290"/>
    <m/>
    <m/>
    <m/>
    <m/>
    <m/>
    <n v="133950"/>
    <m/>
  </r>
  <r>
    <x v="35"/>
    <x v="15"/>
    <x v="22"/>
    <n v="97"/>
    <m/>
    <m/>
    <m/>
    <m/>
    <m/>
    <n v="13500"/>
    <m/>
  </r>
  <r>
    <x v="35"/>
    <x v="15"/>
    <x v="23"/>
    <n v="465"/>
    <m/>
    <m/>
    <m/>
    <m/>
    <m/>
    <n v="12000"/>
    <m/>
  </r>
  <r>
    <x v="35"/>
    <x v="15"/>
    <x v="24"/>
    <n v="179"/>
    <m/>
    <m/>
    <m/>
    <m/>
    <m/>
    <n v="72990"/>
    <m/>
  </r>
  <r>
    <x v="35"/>
    <x v="15"/>
    <x v="25"/>
    <n v="302"/>
    <m/>
    <m/>
    <m/>
    <m/>
    <m/>
    <n v="109400"/>
    <m/>
  </r>
  <r>
    <x v="35"/>
    <x v="15"/>
    <x v="26"/>
    <n v="263"/>
    <m/>
    <m/>
    <m/>
    <m/>
    <m/>
    <n v="84350"/>
    <m/>
  </r>
  <r>
    <x v="35"/>
    <x v="15"/>
    <x v="27"/>
    <n v="80"/>
    <m/>
    <m/>
    <m/>
    <m/>
    <m/>
    <n v="121500"/>
    <m/>
  </r>
  <r>
    <x v="35"/>
    <x v="15"/>
    <x v="28"/>
    <n v="254"/>
    <m/>
    <m/>
    <m/>
    <m/>
    <m/>
    <n v="14450"/>
    <m/>
  </r>
  <r>
    <x v="35"/>
    <x v="15"/>
    <x v="29"/>
    <n v="294"/>
    <m/>
    <m/>
    <m/>
    <m/>
    <m/>
    <n v="0"/>
    <m/>
  </r>
  <r>
    <x v="35"/>
    <x v="0"/>
    <x v="0"/>
    <m/>
    <n v="71"/>
    <n v="3"/>
    <n v="63"/>
    <n v="10"/>
    <n v="36"/>
    <m/>
    <m/>
  </r>
  <r>
    <x v="35"/>
    <x v="56"/>
    <x v="0"/>
    <m/>
    <n v="25"/>
    <n v="9"/>
    <n v="29"/>
    <n v="2"/>
    <n v="7"/>
    <m/>
    <m/>
  </r>
  <r>
    <x v="35"/>
    <x v="57"/>
    <x v="10"/>
    <m/>
    <n v="29"/>
    <n v="0"/>
    <n v="33"/>
    <n v="4"/>
    <n v="16"/>
    <m/>
    <m/>
  </r>
  <r>
    <x v="35"/>
    <x v="7"/>
    <x v="2"/>
    <m/>
    <n v="34"/>
    <n v="25"/>
    <n v="23"/>
    <n v="11"/>
    <n v="14"/>
    <m/>
    <m/>
  </r>
  <r>
    <x v="35"/>
    <x v="39"/>
    <x v="2"/>
    <m/>
    <n v="5"/>
    <n v="2"/>
    <n v="17"/>
    <n v="6"/>
    <n v="18"/>
    <m/>
    <m/>
  </r>
  <r>
    <x v="35"/>
    <x v="4"/>
    <x v="5"/>
    <m/>
    <n v="35"/>
    <n v="4"/>
    <n v="30"/>
    <n v="2"/>
    <n v="9"/>
    <m/>
    <m/>
  </r>
  <r>
    <x v="35"/>
    <x v="51"/>
    <x v="6"/>
    <m/>
    <n v="38"/>
    <n v="3"/>
    <n v="28"/>
    <n v="1"/>
    <n v="5"/>
    <m/>
    <m/>
  </r>
  <r>
    <x v="35"/>
    <x v="50"/>
    <x v="3"/>
    <m/>
    <n v="21"/>
    <n v="2"/>
    <n v="25"/>
    <n v="0"/>
    <n v="6"/>
    <m/>
    <m/>
  </r>
  <r>
    <x v="35"/>
    <x v="43"/>
    <x v="3"/>
    <m/>
    <n v="15"/>
    <n v="1"/>
    <n v="19"/>
    <n v="2"/>
    <n v="3"/>
    <m/>
    <m/>
  </r>
  <r>
    <x v="35"/>
    <x v="43"/>
    <x v="4"/>
    <m/>
    <n v="21"/>
    <n v="3"/>
    <n v="12"/>
    <n v="2"/>
    <n v="6"/>
    <m/>
    <m/>
  </r>
  <r>
    <x v="35"/>
    <x v="13"/>
    <x v="4"/>
    <m/>
    <n v="24"/>
    <n v="6"/>
    <n v="33"/>
    <n v="2"/>
    <n v="10"/>
    <m/>
    <m/>
  </r>
  <r>
    <x v="35"/>
    <x v="16"/>
    <x v="4"/>
    <m/>
    <n v="14"/>
    <n v="5"/>
    <n v="14"/>
    <n v="2"/>
    <n v="3"/>
    <m/>
    <m/>
  </r>
  <r>
    <x v="35"/>
    <x v="50"/>
    <x v="4"/>
    <m/>
    <n v="2"/>
    <n v="0"/>
    <n v="5"/>
    <n v="0"/>
    <n v="2"/>
    <m/>
    <m/>
  </r>
  <r>
    <x v="35"/>
    <x v="46"/>
    <x v="4"/>
    <m/>
    <n v="1"/>
    <n v="0"/>
    <n v="0"/>
    <n v="0"/>
    <n v="1"/>
    <m/>
    <m/>
  </r>
  <r>
    <x v="35"/>
    <x v="51"/>
    <x v="4"/>
    <m/>
    <n v="1"/>
    <n v="0"/>
    <n v="0"/>
    <n v="0"/>
    <n v="1"/>
    <m/>
    <m/>
  </r>
  <r>
    <x v="35"/>
    <x v="12"/>
    <x v="9"/>
    <m/>
    <n v="1"/>
    <n v="0"/>
    <n v="14"/>
    <n v="1"/>
    <n v="1"/>
    <m/>
    <m/>
  </r>
  <r>
    <x v="35"/>
    <x v="58"/>
    <x v="9"/>
    <m/>
    <n v="68"/>
    <n v="7"/>
    <n v="46"/>
    <n v="4"/>
    <n v="24"/>
    <m/>
    <m/>
  </r>
  <r>
    <x v="35"/>
    <x v="44"/>
    <x v="1"/>
    <m/>
    <n v="18"/>
    <n v="7"/>
    <n v="31"/>
    <n v="14"/>
    <n v="10"/>
    <m/>
    <m/>
  </r>
  <r>
    <x v="35"/>
    <x v="52"/>
    <x v="1"/>
    <m/>
    <n v="5"/>
    <n v="9"/>
    <n v="15"/>
    <n v="10"/>
    <n v="14"/>
    <m/>
    <m/>
  </r>
  <r>
    <x v="35"/>
    <x v="14"/>
    <x v="11"/>
    <m/>
    <n v="13"/>
    <n v="0"/>
    <n v="36"/>
    <n v="0"/>
    <n v="12"/>
    <m/>
    <m/>
  </r>
  <r>
    <x v="35"/>
    <x v="37"/>
    <x v="11"/>
    <m/>
    <n v="38"/>
    <n v="0"/>
    <n v="20"/>
    <n v="0"/>
    <n v="12"/>
    <m/>
    <m/>
  </r>
  <r>
    <x v="35"/>
    <x v="13"/>
    <x v="8"/>
    <m/>
    <n v="1"/>
    <n v="0"/>
    <n v="0"/>
    <n v="0"/>
    <n v="1"/>
    <m/>
    <m/>
  </r>
  <r>
    <x v="35"/>
    <x v="46"/>
    <x v="8"/>
    <m/>
    <n v="34"/>
    <n v="0"/>
    <n v="26"/>
    <n v="2"/>
    <n v="10"/>
    <m/>
    <m/>
  </r>
  <r>
    <x v="35"/>
    <x v="22"/>
    <x v="7"/>
    <m/>
    <n v="64"/>
    <n v="14"/>
    <n v="25"/>
    <n v="6"/>
    <n v="8"/>
    <m/>
    <m/>
  </r>
  <r>
    <x v="35"/>
    <x v="30"/>
    <x v="12"/>
    <m/>
    <n v="20"/>
    <n v="8"/>
    <n v="21"/>
    <n v="5"/>
    <n v="5"/>
    <m/>
    <m/>
  </r>
  <r>
    <x v="35"/>
    <x v="19"/>
    <x v="13"/>
    <m/>
    <n v="22"/>
    <n v="11"/>
    <n v="13"/>
    <n v="7"/>
    <n v="5"/>
    <m/>
    <m/>
  </r>
  <r>
    <x v="35"/>
    <x v="47"/>
    <x v="14"/>
    <m/>
    <n v="21"/>
    <n v="8"/>
    <n v="13"/>
    <n v="6"/>
    <n v="7"/>
    <m/>
    <m/>
  </r>
  <r>
    <x v="35"/>
    <x v="53"/>
    <x v="14"/>
    <m/>
    <n v="16"/>
    <n v="14"/>
    <n v="20"/>
    <n v="4"/>
    <n v="13"/>
    <m/>
    <m/>
  </r>
  <r>
    <x v="35"/>
    <x v="21"/>
    <x v="15"/>
    <m/>
    <n v="23"/>
    <n v="2"/>
    <n v="21"/>
    <n v="15"/>
    <n v="3"/>
    <m/>
    <m/>
  </r>
  <r>
    <x v="35"/>
    <x v="45"/>
    <x v="16"/>
    <m/>
    <n v="22"/>
    <n v="7"/>
    <n v="9"/>
    <n v="2"/>
    <n v="10"/>
    <m/>
    <m/>
  </r>
  <r>
    <x v="35"/>
    <x v="45"/>
    <x v="24"/>
    <m/>
    <n v="13"/>
    <n v="0"/>
    <n v="4"/>
    <n v="0"/>
    <n v="6"/>
    <m/>
    <m/>
  </r>
  <r>
    <x v="35"/>
    <x v="27"/>
    <x v="17"/>
    <m/>
    <n v="16"/>
    <n v="7"/>
    <n v="13"/>
    <n v="1"/>
    <n v="26"/>
    <m/>
    <m/>
  </r>
  <r>
    <x v="35"/>
    <x v="33"/>
    <x v="18"/>
    <m/>
    <n v="9"/>
    <n v="18"/>
    <n v="27"/>
    <n v="17"/>
    <n v="12"/>
    <m/>
    <m/>
  </r>
  <r>
    <x v="35"/>
    <x v="56"/>
    <x v="20"/>
    <m/>
    <n v="14"/>
    <n v="0"/>
    <n v="24"/>
    <n v="1"/>
    <n v="9"/>
    <m/>
    <m/>
  </r>
  <r>
    <x v="35"/>
    <x v="38"/>
    <x v="21"/>
    <m/>
    <n v="13"/>
    <n v="9"/>
    <n v="27"/>
    <n v="12"/>
    <n v="10"/>
    <m/>
    <m/>
  </r>
  <r>
    <x v="35"/>
    <x v="40"/>
    <x v="19"/>
    <m/>
    <n v="6"/>
    <n v="14"/>
    <n v="7"/>
    <n v="5"/>
    <n v="2"/>
    <m/>
    <m/>
  </r>
  <r>
    <x v="35"/>
    <x v="41"/>
    <x v="22"/>
    <m/>
    <n v="16"/>
    <n v="1"/>
    <n v="8"/>
    <n v="1"/>
    <n v="1"/>
    <m/>
    <m/>
  </r>
  <r>
    <x v="35"/>
    <x v="42"/>
    <x v="23"/>
    <m/>
    <n v="16"/>
    <n v="4"/>
    <n v="3"/>
    <n v="1"/>
    <n v="1"/>
    <m/>
    <m/>
  </r>
  <r>
    <x v="35"/>
    <x v="48"/>
    <x v="25"/>
    <m/>
    <n v="15"/>
    <n v="3"/>
    <n v="14"/>
    <n v="2"/>
    <n v="8"/>
    <m/>
    <m/>
  </r>
  <r>
    <x v="35"/>
    <x v="49"/>
    <x v="26"/>
    <m/>
    <n v="31"/>
    <n v="1"/>
    <n v="19"/>
    <n v="1"/>
    <n v="4"/>
    <m/>
    <m/>
  </r>
  <r>
    <x v="35"/>
    <x v="50"/>
    <x v="26"/>
    <m/>
    <n v="1"/>
    <n v="0"/>
    <n v="1"/>
    <n v="0"/>
    <n v="2"/>
    <m/>
    <m/>
  </r>
  <r>
    <x v="35"/>
    <x v="54"/>
    <x v="27"/>
    <m/>
    <n v="8"/>
    <n v="0"/>
    <n v="6"/>
    <n v="0"/>
    <n v="10"/>
    <m/>
    <m/>
  </r>
  <r>
    <x v="35"/>
    <x v="55"/>
    <x v="28"/>
    <m/>
    <n v="15"/>
    <n v="4"/>
    <n v="7"/>
    <n v="1"/>
    <n v="1"/>
    <m/>
    <m/>
  </r>
  <r>
    <x v="35"/>
    <x v="59"/>
    <x v="29"/>
    <m/>
    <n v="4"/>
    <n v="5"/>
    <n v="0"/>
    <n v="0"/>
    <n v="0"/>
    <m/>
    <m/>
  </r>
  <r>
    <x v="36"/>
    <x v="15"/>
    <x v="3"/>
    <n v="421"/>
    <m/>
    <m/>
    <m/>
    <m/>
    <m/>
    <n v="199400"/>
    <m/>
  </r>
  <r>
    <x v="36"/>
    <x v="15"/>
    <x v="8"/>
    <n v="369"/>
    <m/>
    <m/>
    <m/>
    <m/>
    <m/>
    <n v="129900"/>
    <m/>
  </r>
  <r>
    <x v="36"/>
    <x v="15"/>
    <x v="4"/>
    <n v="407"/>
    <m/>
    <m/>
    <m/>
    <m/>
    <m/>
    <n v="292400"/>
    <m/>
  </r>
  <r>
    <x v="36"/>
    <x v="15"/>
    <x v="6"/>
    <n v="422"/>
    <m/>
    <m/>
    <m/>
    <m/>
    <m/>
    <n v="133300"/>
    <m/>
  </r>
  <r>
    <x v="36"/>
    <x v="15"/>
    <x v="11"/>
    <n v="373"/>
    <m/>
    <m/>
    <m/>
    <m/>
    <m/>
    <n v="332700"/>
    <m/>
  </r>
  <r>
    <x v="36"/>
    <x v="15"/>
    <x v="10"/>
    <n v="277"/>
    <m/>
    <m/>
    <m/>
    <m/>
    <m/>
    <n v="131000"/>
    <m/>
  </r>
  <r>
    <x v="36"/>
    <x v="15"/>
    <x v="0"/>
    <n v="403"/>
    <m/>
    <m/>
    <m/>
    <m/>
    <m/>
    <n v="571500"/>
    <m/>
  </r>
  <r>
    <x v="36"/>
    <x v="15"/>
    <x v="5"/>
    <n v="401"/>
    <m/>
    <m/>
    <m/>
    <m/>
    <m/>
    <n v="97350"/>
    <m/>
  </r>
  <r>
    <x v="36"/>
    <x v="15"/>
    <x v="9"/>
    <n v="334"/>
    <m/>
    <m/>
    <m/>
    <m/>
    <m/>
    <n v="306450"/>
    <m/>
  </r>
  <r>
    <x v="36"/>
    <x v="15"/>
    <x v="7"/>
    <n v="195"/>
    <m/>
    <m/>
    <m/>
    <m/>
    <m/>
    <n v="109350"/>
    <m/>
  </r>
  <r>
    <x v="36"/>
    <x v="15"/>
    <x v="2"/>
    <n v="487"/>
    <m/>
    <m/>
    <m/>
    <m/>
    <m/>
    <n v="415750"/>
    <m/>
  </r>
  <r>
    <x v="36"/>
    <x v="15"/>
    <x v="1"/>
    <n v="419"/>
    <m/>
    <m/>
    <m/>
    <m/>
    <m/>
    <n v="265000"/>
    <m/>
  </r>
  <r>
    <x v="36"/>
    <x v="15"/>
    <x v="12"/>
    <n v="437"/>
    <m/>
    <m/>
    <m/>
    <m/>
    <m/>
    <n v="134300"/>
    <m/>
  </r>
  <r>
    <x v="36"/>
    <x v="15"/>
    <x v="13"/>
    <n v="646"/>
    <m/>
    <m/>
    <m/>
    <m/>
    <m/>
    <n v="99990"/>
    <m/>
  </r>
  <r>
    <x v="36"/>
    <x v="15"/>
    <x v="14"/>
    <n v="314"/>
    <m/>
    <m/>
    <m/>
    <m/>
    <m/>
    <n v="255350"/>
    <m/>
  </r>
  <r>
    <x v="36"/>
    <x v="15"/>
    <x v="15"/>
    <n v="555"/>
    <m/>
    <m/>
    <m/>
    <m/>
    <m/>
    <n v="87500"/>
    <m/>
  </r>
  <r>
    <x v="36"/>
    <x v="15"/>
    <x v="16"/>
    <n v="155"/>
    <m/>
    <m/>
    <m/>
    <m/>
    <m/>
    <n v="160480"/>
    <m/>
  </r>
  <r>
    <x v="36"/>
    <x v="15"/>
    <x v="17"/>
    <n v="231"/>
    <m/>
    <m/>
    <m/>
    <m/>
    <m/>
    <n v="257000"/>
    <m/>
  </r>
  <r>
    <x v="36"/>
    <x v="15"/>
    <x v="18"/>
    <n v="372"/>
    <m/>
    <m/>
    <m/>
    <m/>
    <m/>
    <n v="131900"/>
    <m/>
  </r>
  <r>
    <x v="36"/>
    <x v="15"/>
    <x v="19"/>
    <n v="236"/>
    <m/>
    <m/>
    <m/>
    <m/>
    <m/>
    <n v="99400"/>
    <m/>
  </r>
  <r>
    <x v="36"/>
    <x v="15"/>
    <x v="20"/>
    <n v="365"/>
    <m/>
    <m/>
    <m/>
    <m/>
    <m/>
    <n v="85500"/>
    <m/>
  </r>
  <r>
    <x v="36"/>
    <x v="15"/>
    <x v="21"/>
    <n v="277"/>
    <m/>
    <m/>
    <m/>
    <m/>
    <m/>
    <n v="144902"/>
    <m/>
  </r>
  <r>
    <x v="36"/>
    <x v="15"/>
    <x v="22"/>
    <n v="277"/>
    <m/>
    <m/>
    <m/>
    <m/>
    <m/>
    <n v="51000"/>
    <m/>
  </r>
  <r>
    <x v="36"/>
    <x v="15"/>
    <x v="23"/>
    <n v="396"/>
    <m/>
    <m/>
    <m/>
    <m/>
    <m/>
    <n v="12990"/>
    <m/>
  </r>
  <r>
    <x v="36"/>
    <x v="15"/>
    <x v="24"/>
    <n v="108"/>
    <m/>
    <m/>
    <m/>
    <m/>
    <m/>
    <n v="48000"/>
    <m/>
  </r>
  <r>
    <x v="36"/>
    <x v="15"/>
    <x v="25"/>
    <n v="323"/>
    <m/>
    <m/>
    <m/>
    <m/>
    <m/>
    <n v="67000"/>
    <m/>
  </r>
  <r>
    <x v="36"/>
    <x v="15"/>
    <x v="26"/>
    <n v="237"/>
    <m/>
    <m/>
    <m/>
    <m/>
    <m/>
    <n v="55800"/>
    <m/>
  </r>
  <r>
    <x v="36"/>
    <x v="15"/>
    <x v="27"/>
    <n v="73"/>
    <m/>
    <m/>
    <m/>
    <m/>
    <m/>
    <n v="12000"/>
    <m/>
  </r>
  <r>
    <x v="36"/>
    <x v="15"/>
    <x v="28"/>
    <n v="236"/>
    <m/>
    <m/>
    <m/>
    <m/>
    <m/>
    <n v="37500"/>
    <m/>
  </r>
  <r>
    <x v="36"/>
    <x v="15"/>
    <x v="29"/>
    <n v="218"/>
    <m/>
    <m/>
    <m/>
    <m/>
    <m/>
    <n v="14450"/>
    <m/>
  </r>
  <r>
    <x v="36"/>
    <x v="15"/>
    <x v="30"/>
    <n v="263"/>
    <m/>
    <m/>
    <m/>
    <m/>
    <m/>
    <n v="0"/>
    <m/>
  </r>
  <r>
    <x v="36"/>
    <x v="0"/>
    <x v="0"/>
    <m/>
    <n v="42"/>
    <n v="6"/>
    <n v="61"/>
    <n v="7"/>
    <n v="33"/>
    <m/>
    <m/>
  </r>
  <r>
    <x v="36"/>
    <x v="56"/>
    <x v="0"/>
    <m/>
    <n v="8"/>
    <n v="3"/>
    <n v="10"/>
    <n v="1"/>
    <n v="7"/>
    <m/>
    <m/>
  </r>
  <r>
    <x v="36"/>
    <x v="57"/>
    <x v="0"/>
    <m/>
    <n v="1"/>
    <n v="0"/>
    <n v="1"/>
    <n v="0"/>
    <n v="1"/>
    <m/>
    <m/>
  </r>
  <r>
    <x v="36"/>
    <x v="57"/>
    <x v="10"/>
    <m/>
    <n v="11"/>
    <n v="0"/>
    <n v="29"/>
    <n v="2"/>
    <n v="10"/>
    <m/>
    <m/>
  </r>
  <r>
    <x v="36"/>
    <x v="7"/>
    <x v="2"/>
    <m/>
    <n v="9"/>
    <n v="1"/>
    <n v="13"/>
    <n v="3"/>
    <n v="23"/>
    <m/>
    <m/>
  </r>
  <r>
    <x v="36"/>
    <x v="39"/>
    <x v="2"/>
    <m/>
    <n v="6"/>
    <n v="10"/>
    <n v="7"/>
    <n v="7"/>
    <n v="7"/>
    <m/>
    <m/>
  </r>
  <r>
    <x v="36"/>
    <x v="4"/>
    <x v="5"/>
    <m/>
    <n v="18"/>
    <n v="1"/>
    <n v="13"/>
    <n v="1"/>
    <n v="7"/>
    <m/>
    <m/>
  </r>
  <r>
    <x v="36"/>
    <x v="51"/>
    <x v="6"/>
    <m/>
    <n v="15"/>
    <n v="2"/>
    <n v="12"/>
    <n v="1"/>
    <n v="11"/>
    <m/>
    <m/>
  </r>
  <r>
    <x v="36"/>
    <x v="50"/>
    <x v="3"/>
    <m/>
    <n v="11"/>
    <n v="3"/>
    <n v="22"/>
    <n v="3"/>
    <n v="10"/>
    <m/>
    <m/>
  </r>
  <r>
    <x v="36"/>
    <x v="43"/>
    <x v="3"/>
    <m/>
    <n v="8"/>
    <n v="1"/>
    <n v="14"/>
    <n v="0"/>
    <n v="4"/>
    <m/>
    <m/>
  </r>
  <r>
    <x v="36"/>
    <x v="43"/>
    <x v="4"/>
    <m/>
    <n v="4"/>
    <n v="6"/>
    <n v="14"/>
    <n v="1"/>
    <n v="6"/>
    <m/>
    <m/>
  </r>
  <r>
    <x v="36"/>
    <x v="13"/>
    <x v="4"/>
    <m/>
    <n v="12"/>
    <n v="2"/>
    <n v="28"/>
    <n v="4"/>
    <n v="8"/>
    <m/>
    <m/>
  </r>
  <r>
    <x v="36"/>
    <x v="16"/>
    <x v="4"/>
    <m/>
    <n v="11"/>
    <n v="3"/>
    <n v="16"/>
    <n v="6"/>
    <n v="5"/>
    <m/>
    <m/>
  </r>
  <r>
    <x v="36"/>
    <x v="50"/>
    <x v="4"/>
    <m/>
    <n v="2"/>
    <n v="0"/>
    <n v="1"/>
    <n v="0"/>
    <n v="2"/>
    <m/>
    <m/>
  </r>
  <r>
    <x v="36"/>
    <x v="46"/>
    <x v="4"/>
    <m/>
    <n v="1"/>
    <n v="0"/>
    <n v="0"/>
    <n v="0"/>
    <n v="1"/>
    <m/>
    <m/>
  </r>
  <r>
    <x v="36"/>
    <x v="58"/>
    <x v="9"/>
    <m/>
    <n v="39"/>
    <n v="3"/>
    <n v="26"/>
    <n v="8"/>
    <n v="22"/>
    <m/>
    <m/>
  </r>
  <r>
    <x v="36"/>
    <x v="44"/>
    <x v="1"/>
    <m/>
    <n v="13"/>
    <n v="3"/>
    <n v="23"/>
    <n v="9"/>
    <n v="10"/>
    <m/>
    <m/>
  </r>
  <r>
    <x v="36"/>
    <x v="52"/>
    <x v="1"/>
    <m/>
    <n v="6"/>
    <n v="7"/>
    <n v="27"/>
    <n v="5"/>
    <n v="10"/>
    <m/>
    <m/>
  </r>
  <r>
    <x v="36"/>
    <x v="14"/>
    <x v="11"/>
    <m/>
    <n v="10"/>
    <n v="0"/>
    <n v="20"/>
    <n v="0"/>
    <n v="13"/>
    <m/>
    <m/>
  </r>
  <r>
    <x v="36"/>
    <x v="37"/>
    <x v="11"/>
    <m/>
    <n v="8"/>
    <n v="0"/>
    <n v="11"/>
    <n v="0"/>
    <n v="9"/>
    <m/>
    <m/>
  </r>
  <r>
    <x v="36"/>
    <x v="13"/>
    <x v="8"/>
    <m/>
    <n v="4"/>
    <n v="0"/>
    <n v="16"/>
    <n v="0"/>
    <n v="1"/>
    <m/>
    <m/>
  </r>
  <r>
    <x v="36"/>
    <x v="46"/>
    <x v="8"/>
    <m/>
    <n v="3"/>
    <n v="0"/>
    <n v="2"/>
    <n v="1"/>
    <n v="9"/>
    <m/>
    <m/>
  </r>
  <r>
    <x v="36"/>
    <x v="22"/>
    <x v="7"/>
    <m/>
    <n v="17"/>
    <n v="6"/>
    <n v="12"/>
    <n v="0"/>
    <n v="8"/>
    <m/>
    <m/>
  </r>
  <r>
    <x v="36"/>
    <x v="30"/>
    <x v="12"/>
    <m/>
    <n v="15"/>
    <n v="7"/>
    <n v="16"/>
    <n v="8"/>
    <n v="9"/>
    <m/>
    <m/>
  </r>
  <r>
    <x v="36"/>
    <x v="19"/>
    <x v="13"/>
    <m/>
    <n v="18"/>
    <n v="12"/>
    <n v="14"/>
    <n v="6"/>
    <n v="8"/>
    <m/>
    <m/>
  </r>
  <r>
    <x v="36"/>
    <x v="47"/>
    <x v="14"/>
    <m/>
    <n v="13"/>
    <n v="5"/>
    <n v="13"/>
    <n v="5"/>
    <n v="6"/>
    <m/>
    <m/>
  </r>
  <r>
    <x v="36"/>
    <x v="53"/>
    <x v="14"/>
    <m/>
    <n v="22"/>
    <n v="14"/>
    <n v="19"/>
    <n v="12"/>
    <n v="14"/>
    <m/>
    <m/>
  </r>
  <r>
    <x v="36"/>
    <x v="21"/>
    <x v="15"/>
    <m/>
    <n v="16"/>
    <n v="4"/>
    <n v="23"/>
    <n v="10"/>
    <n v="7"/>
    <m/>
    <m/>
  </r>
  <r>
    <x v="36"/>
    <x v="45"/>
    <x v="16"/>
    <m/>
    <n v="27"/>
    <n v="5"/>
    <n v="16"/>
    <n v="2"/>
    <n v="13"/>
    <m/>
    <m/>
  </r>
  <r>
    <x v="36"/>
    <x v="45"/>
    <x v="24"/>
    <m/>
    <n v="7"/>
    <n v="1"/>
    <n v="2"/>
    <n v="1"/>
    <n v="4"/>
    <m/>
    <m/>
  </r>
  <r>
    <x v="36"/>
    <x v="27"/>
    <x v="17"/>
    <m/>
    <n v="31"/>
    <n v="4"/>
    <n v="34"/>
    <n v="2"/>
    <n v="20"/>
    <m/>
    <m/>
  </r>
  <r>
    <x v="36"/>
    <x v="33"/>
    <x v="18"/>
    <m/>
    <n v="12"/>
    <n v="5"/>
    <n v="28"/>
    <n v="20"/>
    <n v="10"/>
    <m/>
    <m/>
  </r>
  <r>
    <x v="36"/>
    <x v="56"/>
    <x v="20"/>
    <m/>
    <n v="16"/>
    <n v="1"/>
    <n v="15"/>
    <n v="4"/>
    <n v="7"/>
    <m/>
    <m/>
  </r>
  <r>
    <x v="36"/>
    <x v="38"/>
    <x v="21"/>
    <m/>
    <n v="11"/>
    <n v="6"/>
    <n v="19"/>
    <n v="5"/>
    <n v="11"/>
    <m/>
    <m/>
  </r>
  <r>
    <x v="36"/>
    <x v="40"/>
    <x v="19"/>
    <m/>
    <n v="11"/>
    <n v="3"/>
    <n v="4"/>
    <n v="3"/>
    <n v="8"/>
    <m/>
    <m/>
  </r>
  <r>
    <x v="36"/>
    <x v="41"/>
    <x v="22"/>
    <m/>
    <n v="8"/>
    <n v="1"/>
    <n v="9"/>
    <n v="1"/>
    <n v="4"/>
    <m/>
    <m/>
  </r>
  <r>
    <x v="36"/>
    <x v="42"/>
    <x v="23"/>
    <m/>
    <n v="5"/>
    <n v="5"/>
    <n v="4"/>
    <n v="0"/>
    <n v="1"/>
    <m/>
    <m/>
  </r>
  <r>
    <x v="36"/>
    <x v="48"/>
    <x v="25"/>
    <m/>
    <n v="8"/>
    <n v="1"/>
    <n v="12"/>
    <n v="2"/>
    <n v="5"/>
    <m/>
    <m/>
  </r>
  <r>
    <x v="36"/>
    <x v="49"/>
    <x v="26"/>
    <m/>
    <n v="23"/>
    <n v="1"/>
    <n v="15"/>
    <n v="1"/>
    <n v="4"/>
    <m/>
    <m/>
  </r>
  <r>
    <x v="36"/>
    <x v="54"/>
    <x v="27"/>
    <m/>
    <n v="10"/>
    <n v="1"/>
    <n v="11"/>
    <n v="0"/>
    <n v="1"/>
    <m/>
    <m/>
  </r>
  <r>
    <x v="36"/>
    <x v="55"/>
    <x v="28"/>
    <m/>
    <n v="2"/>
    <n v="2"/>
    <n v="0"/>
    <n v="0"/>
    <n v="3"/>
    <m/>
    <m/>
  </r>
  <r>
    <x v="36"/>
    <x v="59"/>
    <x v="29"/>
    <m/>
    <n v="14"/>
    <n v="3"/>
    <n v="1"/>
    <n v="0"/>
    <n v="1"/>
    <m/>
    <m/>
  </r>
  <r>
    <x v="36"/>
    <x v="57"/>
    <x v="30"/>
    <m/>
    <n v="4"/>
    <n v="0"/>
    <n v="0"/>
    <n v="0"/>
    <n v="0"/>
    <m/>
    <m/>
  </r>
  <r>
    <x v="37"/>
    <x v="15"/>
    <x v="3"/>
    <n v="733"/>
    <m/>
    <m/>
    <m/>
    <m/>
    <m/>
    <n v="150800"/>
    <m/>
  </r>
  <r>
    <x v="37"/>
    <x v="15"/>
    <x v="8"/>
    <n v="456"/>
    <m/>
    <m/>
    <m/>
    <m/>
    <m/>
    <n v="192400"/>
    <m/>
  </r>
  <r>
    <x v="37"/>
    <x v="15"/>
    <x v="4"/>
    <n v="764"/>
    <m/>
    <m/>
    <m/>
    <m/>
    <m/>
    <n v="364350"/>
    <m/>
  </r>
  <r>
    <x v="37"/>
    <x v="15"/>
    <x v="6"/>
    <n v="607"/>
    <m/>
    <m/>
    <m/>
    <m/>
    <m/>
    <n v="64000"/>
    <m/>
  </r>
  <r>
    <x v="37"/>
    <x v="15"/>
    <x v="11"/>
    <n v="455"/>
    <m/>
    <m/>
    <m/>
    <m/>
    <m/>
    <n v="487000"/>
    <m/>
  </r>
  <r>
    <x v="37"/>
    <x v="15"/>
    <x v="10"/>
    <n v="381"/>
    <m/>
    <m/>
    <m/>
    <m/>
    <m/>
    <n v="199950"/>
    <m/>
  </r>
  <r>
    <x v="37"/>
    <x v="15"/>
    <x v="0"/>
    <n v="484"/>
    <m/>
    <m/>
    <m/>
    <m/>
    <m/>
    <n v="584350"/>
    <m/>
  </r>
  <r>
    <x v="37"/>
    <x v="15"/>
    <x v="5"/>
    <n v="354"/>
    <m/>
    <m/>
    <m/>
    <m/>
    <m/>
    <n v="150750"/>
    <m/>
  </r>
  <r>
    <x v="37"/>
    <x v="15"/>
    <x v="9"/>
    <n v="604"/>
    <m/>
    <m/>
    <m/>
    <m/>
    <m/>
    <n v="286500"/>
    <m/>
  </r>
  <r>
    <x v="37"/>
    <x v="15"/>
    <x v="7"/>
    <n v="575"/>
    <m/>
    <m/>
    <m/>
    <m/>
    <m/>
    <n v="85100"/>
    <m/>
  </r>
  <r>
    <x v="37"/>
    <x v="15"/>
    <x v="2"/>
    <n v="812"/>
    <m/>
    <m/>
    <m/>
    <m/>
    <m/>
    <n v="440100"/>
    <m/>
  </r>
  <r>
    <x v="37"/>
    <x v="15"/>
    <x v="1"/>
    <n v="785"/>
    <m/>
    <m/>
    <m/>
    <m/>
    <m/>
    <n v="300800"/>
    <m/>
  </r>
  <r>
    <x v="37"/>
    <x v="15"/>
    <x v="12"/>
    <n v="303"/>
    <m/>
    <m/>
    <m/>
    <m/>
    <m/>
    <n v="149850"/>
    <m/>
  </r>
  <r>
    <x v="37"/>
    <x v="15"/>
    <x v="13"/>
    <n v="811"/>
    <m/>
    <m/>
    <m/>
    <m/>
    <m/>
    <n v="203430"/>
    <m/>
  </r>
  <r>
    <x v="37"/>
    <x v="15"/>
    <x v="14"/>
    <n v="676"/>
    <m/>
    <m/>
    <m/>
    <m/>
    <m/>
    <n v="204900"/>
    <m/>
  </r>
  <r>
    <x v="37"/>
    <x v="15"/>
    <x v="15"/>
    <n v="705"/>
    <m/>
    <m/>
    <m/>
    <m/>
    <m/>
    <n v="152000"/>
    <m/>
  </r>
  <r>
    <x v="37"/>
    <x v="15"/>
    <x v="16"/>
    <n v="303"/>
    <m/>
    <m/>
    <m/>
    <m/>
    <m/>
    <n v="182890"/>
    <m/>
  </r>
  <r>
    <x v="37"/>
    <x v="15"/>
    <x v="17"/>
    <n v="373"/>
    <m/>
    <m/>
    <m/>
    <m/>
    <m/>
    <n v="332700"/>
    <m/>
  </r>
  <r>
    <x v="37"/>
    <x v="15"/>
    <x v="18"/>
    <n v="604"/>
    <m/>
    <m/>
    <m/>
    <m/>
    <m/>
    <n v="149250"/>
    <m/>
  </r>
  <r>
    <x v="37"/>
    <x v="15"/>
    <x v="19"/>
    <n v="373"/>
    <m/>
    <m/>
    <m/>
    <m/>
    <m/>
    <n v="130900"/>
    <m/>
  </r>
  <r>
    <x v="37"/>
    <x v="15"/>
    <x v="20"/>
    <n v="440"/>
    <m/>
    <m/>
    <m/>
    <m/>
    <m/>
    <n v="171900"/>
    <m/>
  </r>
  <r>
    <x v="37"/>
    <x v="15"/>
    <x v="21"/>
    <n v="392"/>
    <m/>
    <m/>
    <m/>
    <m/>
    <m/>
    <n v="67500"/>
    <m/>
  </r>
  <r>
    <x v="37"/>
    <x v="15"/>
    <x v="22"/>
    <n v="190"/>
    <m/>
    <m/>
    <m/>
    <m/>
    <m/>
    <n v="129250"/>
    <m/>
  </r>
  <r>
    <x v="37"/>
    <x v="15"/>
    <x v="23"/>
    <n v="609"/>
    <m/>
    <m/>
    <m/>
    <m/>
    <m/>
    <n v="40490"/>
    <m/>
  </r>
  <r>
    <x v="37"/>
    <x v="15"/>
    <x v="24"/>
    <n v="191"/>
    <m/>
    <m/>
    <m/>
    <m/>
    <m/>
    <n v="12000"/>
    <m/>
  </r>
  <r>
    <x v="37"/>
    <x v="15"/>
    <x v="25"/>
    <n v="406"/>
    <m/>
    <m/>
    <m/>
    <m/>
    <m/>
    <n v="41300"/>
    <m/>
  </r>
  <r>
    <x v="37"/>
    <x v="15"/>
    <x v="26"/>
    <n v="409"/>
    <m/>
    <m/>
    <m/>
    <m/>
    <m/>
    <n v="112350"/>
    <m/>
  </r>
  <r>
    <x v="37"/>
    <x v="15"/>
    <x v="27"/>
    <n v="95"/>
    <m/>
    <m/>
    <m/>
    <m/>
    <m/>
    <n v="63100"/>
    <m/>
  </r>
  <r>
    <x v="37"/>
    <x v="15"/>
    <x v="28"/>
    <n v="382"/>
    <m/>
    <m/>
    <m/>
    <m/>
    <m/>
    <n v="29000"/>
    <m/>
  </r>
  <r>
    <x v="37"/>
    <x v="15"/>
    <x v="29"/>
    <n v="346"/>
    <m/>
    <m/>
    <m/>
    <m/>
    <m/>
    <n v="14000"/>
    <m/>
  </r>
  <r>
    <x v="37"/>
    <x v="15"/>
    <x v="30"/>
    <n v="422"/>
    <m/>
    <m/>
    <m/>
    <m/>
    <m/>
    <n v="40450"/>
    <m/>
  </r>
  <r>
    <x v="37"/>
    <x v="0"/>
    <x v="0"/>
    <m/>
    <n v="41"/>
    <n v="7"/>
    <n v="85"/>
    <n v="3"/>
    <n v="32"/>
    <m/>
    <m/>
  </r>
  <r>
    <x v="37"/>
    <x v="56"/>
    <x v="0"/>
    <m/>
    <n v="21"/>
    <n v="1"/>
    <n v="34"/>
    <n v="2"/>
    <n v="8"/>
    <m/>
    <m/>
  </r>
  <r>
    <x v="37"/>
    <x v="57"/>
    <x v="10"/>
    <m/>
    <n v="39"/>
    <n v="2"/>
    <n v="37"/>
    <n v="3"/>
    <n v="15"/>
    <m/>
    <m/>
  </r>
  <r>
    <x v="38"/>
    <x v="57"/>
    <x v="30"/>
    <m/>
    <n v="9"/>
    <n v="1"/>
    <n v="1"/>
    <n v="9"/>
    <n v="3"/>
    <m/>
    <m/>
  </r>
  <r>
    <x v="37"/>
    <x v="7"/>
    <x v="2"/>
    <m/>
    <n v="23"/>
    <n v="12"/>
    <n v="20"/>
    <n v="10"/>
    <n v="22"/>
    <m/>
    <m/>
  </r>
  <r>
    <x v="37"/>
    <x v="60"/>
    <x v="2"/>
    <m/>
    <n v="34"/>
    <n v="22"/>
    <n v="1"/>
    <n v="0"/>
    <n v="2"/>
    <m/>
    <m/>
  </r>
  <r>
    <x v="37"/>
    <x v="39"/>
    <x v="2"/>
    <m/>
    <n v="1"/>
    <n v="0"/>
    <n v="18"/>
    <n v="11"/>
    <n v="8"/>
    <m/>
    <m/>
  </r>
  <r>
    <x v="37"/>
    <x v="4"/>
    <x v="5"/>
    <m/>
    <n v="52"/>
    <n v="3"/>
    <n v="27"/>
    <n v="2"/>
    <n v="11"/>
    <m/>
    <m/>
  </r>
  <r>
    <x v="37"/>
    <x v="51"/>
    <x v="6"/>
    <m/>
    <n v="25"/>
    <n v="2"/>
    <n v="19"/>
    <n v="3"/>
    <n v="5"/>
    <m/>
    <m/>
  </r>
  <r>
    <x v="37"/>
    <x v="50"/>
    <x v="3"/>
    <m/>
    <n v="26"/>
    <n v="1"/>
    <n v="28"/>
    <n v="3"/>
    <n v="7"/>
    <m/>
    <m/>
  </r>
  <r>
    <x v="37"/>
    <x v="43"/>
    <x v="3"/>
    <m/>
    <n v="27"/>
    <n v="1"/>
    <n v="18"/>
    <n v="1"/>
    <n v="4"/>
    <m/>
    <m/>
  </r>
  <r>
    <x v="37"/>
    <x v="43"/>
    <x v="4"/>
    <m/>
    <n v="7"/>
    <n v="1"/>
    <n v="5"/>
    <n v="1"/>
    <n v="7"/>
    <m/>
    <m/>
  </r>
  <r>
    <x v="37"/>
    <x v="13"/>
    <x v="4"/>
    <m/>
    <n v="36"/>
    <n v="6"/>
    <n v="28"/>
    <n v="7"/>
    <n v="13"/>
    <m/>
    <m/>
  </r>
  <r>
    <x v="37"/>
    <x v="16"/>
    <x v="4"/>
    <m/>
    <n v="14"/>
    <n v="2"/>
    <n v="16"/>
    <n v="2"/>
    <n v="5"/>
    <m/>
    <m/>
  </r>
  <r>
    <x v="37"/>
    <x v="50"/>
    <x v="4"/>
    <m/>
    <n v="1"/>
    <n v="0"/>
    <n v="4"/>
    <n v="0"/>
    <n v="1"/>
    <m/>
    <m/>
  </r>
  <r>
    <x v="37"/>
    <x v="58"/>
    <x v="9"/>
    <m/>
    <n v="72"/>
    <n v="11"/>
    <n v="60"/>
    <n v="3"/>
    <n v="20"/>
    <m/>
    <m/>
  </r>
  <r>
    <x v="37"/>
    <x v="44"/>
    <x v="1"/>
    <m/>
    <n v="24"/>
    <n v="6"/>
    <n v="34"/>
    <n v="11"/>
    <n v="14"/>
    <m/>
    <m/>
  </r>
  <r>
    <x v="37"/>
    <x v="52"/>
    <x v="1"/>
    <m/>
    <n v="28"/>
    <n v="13"/>
    <n v="19"/>
    <n v="10"/>
    <n v="8"/>
    <m/>
    <m/>
  </r>
  <r>
    <x v="37"/>
    <x v="14"/>
    <x v="11"/>
    <m/>
    <n v="37"/>
    <n v="0"/>
    <n v="42"/>
    <n v="0"/>
    <n v="19"/>
    <m/>
    <m/>
  </r>
  <r>
    <x v="37"/>
    <x v="37"/>
    <x v="11"/>
    <m/>
    <n v="28"/>
    <n v="0"/>
    <n v="16"/>
    <n v="0"/>
    <n v="12"/>
    <m/>
    <m/>
  </r>
  <r>
    <x v="37"/>
    <x v="13"/>
    <x v="8"/>
    <m/>
    <n v="3"/>
    <n v="0"/>
    <n v="1"/>
    <n v="0"/>
    <n v="3"/>
    <m/>
    <m/>
  </r>
  <r>
    <x v="37"/>
    <x v="46"/>
    <x v="8"/>
    <m/>
    <n v="28"/>
    <n v="2"/>
    <n v="20"/>
    <n v="0"/>
    <n v="12"/>
    <m/>
    <m/>
  </r>
  <r>
    <x v="37"/>
    <x v="22"/>
    <x v="7"/>
    <m/>
    <n v="47"/>
    <n v="8"/>
    <n v="24"/>
    <n v="8"/>
    <n v="6"/>
    <m/>
    <m/>
  </r>
  <r>
    <x v="37"/>
    <x v="30"/>
    <x v="12"/>
    <m/>
    <n v="15"/>
    <n v="6"/>
    <n v="30"/>
    <n v="5"/>
    <n v="10"/>
    <m/>
    <m/>
  </r>
  <r>
    <x v="37"/>
    <x v="19"/>
    <x v="13"/>
    <m/>
    <n v="26"/>
    <n v="13"/>
    <n v="22"/>
    <n v="6"/>
    <n v="16"/>
    <m/>
    <m/>
  </r>
  <r>
    <x v="37"/>
    <x v="47"/>
    <x v="14"/>
    <m/>
    <n v="18"/>
    <n v="10"/>
    <n v="13"/>
    <n v="7"/>
    <n v="7"/>
    <m/>
    <m/>
  </r>
  <r>
    <x v="37"/>
    <x v="53"/>
    <x v="14"/>
    <m/>
    <n v="36"/>
    <n v="8"/>
    <n v="18"/>
    <n v="9"/>
    <n v="8"/>
    <m/>
    <m/>
  </r>
  <r>
    <x v="37"/>
    <x v="21"/>
    <x v="15"/>
    <m/>
    <n v="20"/>
    <n v="11"/>
    <n v="24"/>
    <n v="11"/>
    <n v="12"/>
    <m/>
    <m/>
  </r>
  <r>
    <x v="37"/>
    <x v="45"/>
    <x v="16"/>
    <m/>
    <n v="45"/>
    <n v="10"/>
    <n v="25"/>
    <n v="1"/>
    <n v="14"/>
    <m/>
    <m/>
  </r>
  <r>
    <x v="37"/>
    <x v="45"/>
    <x v="24"/>
    <m/>
    <n v="11"/>
    <n v="0"/>
    <n v="1"/>
    <n v="2"/>
    <n v="1"/>
    <m/>
    <m/>
  </r>
  <r>
    <x v="37"/>
    <x v="27"/>
    <x v="17"/>
    <m/>
    <n v="42"/>
    <n v="10"/>
    <n v="30"/>
    <n v="3"/>
    <n v="25"/>
    <m/>
    <m/>
  </r>
  <r>
    <x v="37"/>
    <x v="33"/>
    <x v="18"/>
    <m/>
    <n v="22"/>
    <n v="12"/>
    <n v="37"/>
    <n v="22"/>
    <n v="11"/>
    <m/>
    <m/>
  </r>
  <r>
    <x v="37"/>
    <x v="56"/>
    <x v="20"/>
    <m/>
    <n v="14"/>
    <n v="1"/>
    <n v="21"/>
    <n v="0"/>
    <n v="13"/>
    <m/>
    <m/>
  </r>
  <r>
    <x v="37"/>
    <x v="38"/>
    <x v="21"/>
    <m/>
    <n v="24"/>
    <n v="11"/>
    <n v="20"/>
    <n v="7"/>
    <n v="5"/>
    <m/>
    <m/>
  </r>
  <r>
    <x v="37"/>
    <x v="40"/>
    <x v="19"/>
    <m/>
    <n v="15"/>
    <n v="9"/>
    <n v="6"/>
    <n v="10"/>
    <n v="10"/>
    <m/>
    <m/>
  </r>
  <r>
    <x v="37"/>
    <x v="41"/>
    <x v="22"/>
    <m/>
    <n v="11"/>
    <n v="3"/>
    <n v="15"/>
    <n v="1"/>
    <n v="10"/>
    <m/>
    <m/>
  </r>
  <r>
    <x v="37"/>
    <x v="42"/>
    <x v="23"/>
    <m/>
    <n v="9"/>
    <n v="2"/>
    <n v="2"/>
    <n v="1"/>
    <n v="3"/>
    <m/>
    <m/>
  </r>
  <r>
    <x v="37"/>
    <x v="48"/>
    <x v="25"/>
    <m/>
    <n v="31"/>
    <n v="8"/>
    <n v="23"/>
    <n v="5"/>
    <n v="3"/>
    <m/>
    <m/>
  </r>
  <r>
    <x v="37"/>
    <x v="49"/>
    <x v="26"/>
    <m/>
    <n v="39"/>
    <n v="2"/>
    <n v="12"/>
    <n v="1"/>
    <n v="8"/>
    <m/>
    <m/>
  </r>
  <r>
    <x v="37"/>
    <x v="54"/>
    <x v="27"/>
    <m/>
    <n v="11"/>
    <n v="4"/>
    <n v="14"/>
    <n v="0"/>
    <n v="5"/>
    <m/>
    <m/>
  </r>
  <r>
    <x v="37"/>
    <x v="55"/>
    <x v="28"/>
    <m/>
    <n v="32"/>
    <n v="2"/>
    <n v="5"/>
    <n v="0"/>
    <n v="2"/>
    <m/>
    <m/>
  </r>
  <r>
    <x v="37"/>
    <x v="59"/>
    <x v="29"/>
    <m/>
    <n v="17"/>
    <n v="13"/>
    <n v="0"/>
    <n v="0"/>
    <n v="1"/>
    <m/>
    <m/>
  </r>
  <r>
    <x v="39"/>
    <x v="15"/>
    <x v="3"/>
    <n v="815"/>
    <m/>
    <m/>
    <m/>
    <m/>
    <m/>
    <n v="87200"/>
    <m/>
  </r>
  <r>
    <x v="39"/>
    <x v="15"/>
    <x v="8"/>
    <n v="302"/>
    <m/>
    <m/>
    <m/>
    <m/>
    <m/>
    <n v="159550"/>
    <m/>
  </r>
  <r>
    <x v="39"/>
    <x v="15"/>
    <x v="4"/>
    <n v="627"/>
    <m/>
    <m/>
    <m/>
    <m/>
    <m/>
    <n v="317900"/>
    <m/>
  </r>
  <r>
    <x v="39"/>
    <x v="15"/>
    <x v="6"/>
    <n v="432"/>
    <m/>
    <m/>
    <m/>
    <m/>
    <m/>
    <n v="52500"/>
    <m/>
  </r>
  <r>
    <x v="39"/>
    <x v="15"/>
    <x v="11"/>
    <n v="312"/>
    <m/>
    <m/>
    <m/>
    <m/>
    <m/>
    <n v="394100"/>
    <m/>
  </r>
  <r>
    <x v="39"/>
    <x v="15"/>
    <x v="10"/>
    <n v="319"/>
    <m/>
    <m/>
    <m/>
    <m/>
    <m/>
    <n v="248800"/>
    <m/>
  </r>
  <r>
    <x v="39"/>
    <x v="15"/>
    <x v="0"/>
    <n v="546"/>
    <m/>
    <m/>
    <m/>
    <m/>
    <m/>
    <n v="575450"/>
    <m/>
  </r>
  <r>
    <x v="39"/>
    <x v="15"/>
    <x v="5"/>
    <n v="401"/>
    <m/>
    <m/>
    <m/>
    <m/>
    <m/>
    <n v="107350"/>
    <m/>
  </r>
  <r>
    <x v="39"/>
    <x v="15"/>
    <x v="9"/>
    <n v="566"/>
    <m/>
    <m/>
    <m/>
    <m/>
    <m/>
    <n v="357327"/>
    <m/>
  </r>
  <r>
    <x v="39"/>
    <x v="15"/>
    <x v="7"/>
    <n v="609"/>
    <m/>
    <m/>
    <m/>
    <m/>
    <m/>
    <n v="172450"/>
    <m/>
  </r>
  <r>
    <x v="39"/>
    <x v="15"/>
    <x v="2"/>
    <n v="969"/>
    <m/>
    <m/>
    <m/>
    <m/>
    <m/>
    <n v="385100"/>
    <m/>
  </r>
  <r>
    <x v="39"/>
    <x v="15"/>
    <x v="1"/>
    <n v="742"/>
    <m/>
    <m/>
    <m/>
    <m/>
    <m/>
    <n v="181300"/>
    <m/>
  </r>
  <r>
    <x v="39"/>
    <x v="15"/>
    <x v="12"/>
    <n v="370"/>
    <m/>
    <m/>
    <m/>
    <m/>
    <m/>
    <n v="120950"/>
    <m/>
  </r>
  <r>
    <x v="39"/>
    <x v="15"/>
    <x v="13"/>
    <n v="554"/>
    <m/>
    <m/>
    <m/>
    <m/>
    <m/>
    <n v="129640"/>
    <m/>
  </r>
  <r>
    <x v="39"/>
    <x v="15"/>
    <x v="14"/>
    <n v="707"/>
    <m/>
    <m/>
    <m/>
    <m/>
    <m/>
    <n v="209890"/>
    <m/>
  </r>
  <r>
    <x v="39"/>
    <x v="15"/>
    <x v="15"/>
    <n v="668"/>
    <m/>
    <m/>
    <m/>
    <m/>
    <m/>
    <n v="81450"/>
    <m/>
  </r>
  <r>
    <x v="39"/>
    <x v="15"/>
    <x v="16"/>
    <n v="214"/>
    <m/>
    <m/>
    <m/>
    <m/>
    <m/>
    <n v="39480"/>
    <m/>
  </r>
  <r>
    <x v="39"/>
    <x v="15"/>
    <x v="17"/>
    <n v="252"/>
    <m/>
    <m/>
    <m/>
    <m/>
    <m/>
    <n v="326000"/>
    <m/>
  </r>
  <r>
    <x v="39"/>
    <x v="15"/>
    <x v="18"/>
    <n v="376"/>
    <m/>
    <m/>
    <m/>
    <m/>
    <m/>
    <n v="29900"/>
    <m/>
  </r>
  <r>
    <x v="39"/>
    <x v="15"/>
    <x v="19"/>
    <n v="261"/>
    <m/>
    <m/>
    <m/>
    <m/>
    <m/>
    <n v="63000"/>
    <m/>
  </r>
  <r>
    <x v="39"/>
    <x v="15"/>
    <x v="20"/>
    <n v="455"/>
    <m/>
    <m/>
    <m/>
    <m/>
    <m/>
    <n v="132500"/>
    <m/>
  </r>
  <r>
    <x v="39"/>
    <x v="15"/>
    <x v="21"/>
    <n v="362"/>
    <m/>
    <m/>
    <m/>
    <m/>
    <m/>
    <n v="109500"/>
    <m/>
  </r>
  <r>
    <x v="39"/>
    <x v="15"/>
    <x v="22"/>
    <n v="102"/>
    <m/>
    <m/>
    <m/>
    <m/>
    <m/>
    <n v="27000"/>
    <m/>
  </r>
  <r>
    <x v="39"/>
    <x v="15"/>
    <x v="23"/>
    <n v="617"/>
    <m/>
    <m/>
    <m/>
    <m/>
    <m/>
    <n v="24990"/>
    <m/>
  </r>
  <r>
    <x v="39"/>
    <x v="15"/>
    <x v="24"/>
    <n v="188"/>
    <m/>
    <m/>
    <m/>
    <m/>
    <m/>
    <n v="50970"/>
    <m/>
  </r>
  <r>
    <x v="39"/>
    <x v="15"/>
    <x v="25"/>
    <n v="293"/>
    <m/>
    <m/>
    <m/>
    <m/>
    <m/>
    <n v="41500"/>
    <m/>
  </r>
  <r>
    <x v="39"/>
    <x v="15"/>
    <x v="26"/>
    <n v="319"/>
    <m/>
    <m/>
    <m/>
    <m/>
    <m/>
    <n v="144100"/>
    <m/>
  </r>
  <r>
    <x v="39"/>
    <x v="15"/>
    <x v="27"/>
    <n v="116"/>
    <m/>
    <m/>
    <m/>
    <m/>
    <m/>
    <n v="38000"/>
    <m/>
  </r>
  <r>
    <x v="39"/>
    <x v="15"/>
    <x v="28"/>
    <n v="308"/>
    <m/>
    <m/>
    <m/>
    <m/>
    <m/>
    <n v="67950"/>
    <m/>
  </r>
  <r>
    <x v="39"/>
    <x v="15"/>
    <x v="29"/>
    <n v="312"/>
    <m/>
    <m/>
    <m/>
    <m/>
    <m/>
    <n v="58800"/>
    <m/>
  </r>
  <r>
    <x v="39"/>
    <x v="15"/>
    <x v="30"/>
    <n v="313"/>
    <m/>
    <m/>
    <m/>
    <m/>
    <m/>
    <n v="15000"/>
    <m/>
  </r>
  <r>
    <x v="39"/>
    <x v="0"/>
    <x v="0"/>
    <m/>
    <n v="42"/>
    <n v="7"/>
    <n v="57"/>
    <n v="10"/>
    <n v="31"/>
    <m/>
    <m/>
  </r>
  <r>
    <x v="39"/>
    <x v="56"/>
    <x v="0"/>
    <m/>
    <n v="11"/>
    <n v="4"/>
    <n v="15"/>
    <n v="6"/>
    <n v="8"/>
    <m/>
    <m/>
  </r>
  <r>
    <x v="39"/>
    <x v="57"/>
    <x v="10"/>
    <m/>
    <n v="31"/>
    <n v="0"/>
    <n v="48"/>
    <n v="8"/>
    <n v="19"/>
    <m/>
    <m/>
  </r>
  <r>
    <x v="39"/>
    <x v="57"/>
    <x v="30"/>
    <m/>
    <n v="8"/>
    <n v="0"/>
    <n v="3"/>
    <n v="0"/>
    <n v="1"/>
    <m/>
    <m/>
  </r>
  <r>
    <x v="39"/>
    <x v="7"/>
    <x v="2"/>
    <m/>
    <n v="11"/>
    <n v="9"/>
    <n v="24"/>
    <n v="14"/>
    <n v="13"/>
    <m/>
    <m/>
  </r>
  <r>
    <x v="39"/>
    <x v="60"/>
    <x v="2"/>
    <m/>
    <n v="29"/>
    <n v="36"/>
    <n v="16"/>
    <n v="5"/>
    <n v="14"/>
    <m/>
    <m/>
  </r>
  <r>
    <x v="39"/>
    <x v="4"/>
    <x v="5"/>
    <m/>
    <n v="48"/>
    <n v="1"/>
    <n v="30"/>
    <n v="1"/>
    <n v="8"/>
    <m/>
    <m/>
  </r>
  <r>
    <x v="39"/>
    <x v="51"/>
    <x v="6"/>
    <m/>
    <n v="29"/>
    <n v="1"/>
    <n v="32"/>
    <n v="1"/>
    <n v="4"/>
    <m/>
    <m/>
  </r>
  <r>
    <x v="39"/>
    <x v="50"/>
    <x v="3"/>
    <m/>
    <n v="3"/>
    <n v="0"/>
    <n v="10"/>
    <n v="4"/>
    <n v="3"/>
    <m/>
    <m/>
  </r>
  <r>
    <x v="39"/>
    <x v="43"/>
    <x v="3"/>
    <m/>
    <n v="23"/>
    <n v="8"/>
    <n v="12"/>
    <n v="2"/>
    <n v="3"/>
    <m/>
    <m/>
  </r>
  <r>
    <x v="39"/>
    <x v="43"/>
    <x v="4"/>
    <m/>
    <n v="2"/>
    <n v="0"/>
    <n v="0"/>
    <n v="1"/>
    <n v="2"/>
    <m/>
    <m/>
  </r>
  <r>
    <x v="39"/>
    <x v="13"/>
    <x v="4"/>
    <m/>
    <n v="19"/>
    <n v="6"/>
    <n v="24"/>
    <n v="6"/>
    <n v="12"/>
    <m/>
    <m/>
  </r>
  <r>
    <x v="39"/>
    <x v="16"/>
    <x v="4"/>
    <m/>
    <n v="10"/>
    <n v="1"/>
    <n v="19"/>
    <n v="1"/>
    <n v="6"/>
    <m/>
    <m/>
  </r>
  <r>
    <x v="39"/>
    <x v="50"/>
    <x v="4"/>
    <m/>
    <n v="25"/>
    <n v="6"/>
    <n v="9"/>
    <n v="3"/>
    <n v="3"/>
    <m/>
    <m/>
  </r>
  <r>
    <x v="39"/>
    <x v="58"/>
    <x v="9"/>
    <m/>
    <n v="49"/>
    <n v="10"/>
    <n v="42"/>
    <n v="4"/>
    <n v="21"/>
    <m/>
    <m/>
  </r>
  <r>
    <x v="39"/>
    <x v="10"/>
    <x v="9"/>
    <m/>
    <n v="27"/>
    <n v="2"/>
    <n v="44"/>
    <n v="7"/>
    <n v="5"/>
    <m/>
    <m/>
  </r>
  <r>
    <x v="39"/>
    <x v="44"/>
    <x v="1"/>
    <m/>
    <n v="23"/>
    <n v="12"/>
    <n v="25"/>
    <n v="15"/>
    <n v="8"/>
    <m/>
    <m/>
  </r>
  <r>
    <x v="39"/>
    <x v="52"/>
    <x v="1"/>
    <m/>
    <n v="13"/>
    <n v="6"/>
    <n v="11"/>
    <n v="11"/>
    <n v="5"/>
    <m/>
    <m/>
  </r>
  <r>
    <x v="39"/>
    <x v="14"/>
    <x v="11"/>
    <m/>
    <n v="16"/>
    <n v="0"/>
    <n v="36"/>
    <n v="0"/>
    <n v="16"/>
    <m/>
    <m/>
  </r>
  <r>
    <x v="39"/>
    <x v="37"/>
    <x v="11"/>
    <m/>
    <n v="33"/>
    <n v="0"/>
    <n v="17"/>
    <n v="0"/>
    <n v="9"/>
    <m/>
    <m/>
  </r>
  <r>
    <x v="39"/>
    <x v="13"/>
    <x v="8"/>
    <m/>
    <n v="1"/>
    <n v="0"/>
    <n v="13"/>
    <n v="2"/>
    <n v="1"/>
    <m/>
    <m/>
  </r>
  <r>
    <x v="39"/>
    <x v="46"/>
    <x v="8"/>
    <m/>
    <n v="30"/>
    <n v="1"/>
    <n v="15"/>
    <n v="0"/>
    <n v="11"/>
    <m/>
    <m/>
  </r>
  <r>
    <x v="39"/>
    <x v="22"/>
    <x v="7"/>
    <m/>
    <n v="33"/>
    <n v="5"/>
    <n v="37"/>
    <n v="5"/>
    <n v="12"/>
    <m/>
    <m/>
  </r>
  <r>
    <x v="39"/>
    <x v="30"/>
    <x v="12"/>
    <m/>
    <n v="4"/>
    <n v="1"/>
    <n v="29"/>
    <n v="16"/>
    <n v="4"/>
    <m/>
    <m/>
  </r>
  <r>
    <x v="39"/>
    <x v="61"/>
    <x v="12"/>
    <m/>
    <n v="36"/>
    <n v="16"/>
    <n v="2"/>
    <n v="0"/>
    <n v="4"/>
    <m/>
    <m/>
  </r>
  <r>
    <x v="39"/>
    <x v="19"/>
    <x v="13"/>
    <m/>
    <n v="24"/>
    <n v="3"/>
    <n v="14"/>
    <n v="15"/>
    <n v="10"/>
    <m/>
    <m/>
  </r>
  <r>
    <x v="39"/>
    <x v="47"/>
    <x v="14"/>
    <m/>
    <n v="22"/>
    <n v="12"/>
    <n v="9"/>
    <n v="7"/>
    <n v="7"/>
    <m/>
    <m/>
  </r>
  <r>
    <x v="39"/>
    <x v="53"/>
    <x v="14"/>
    <m/>
    <n v="20"/>
    <n v="7"/>
    <n v="11"/>
    <n v="2"/>
    <n v="8"/>
    <m/>
    <m/>
  </r>
  <r>
    <x v="39"/>
    <x v="21"/>
    <x v="15"/>
    <m/>
    <n v="14"/>
    <n v="6"/>
    <n v="24"/>
    <n v="11"/>
    <n v="6"/>
    <m/>
    <m/>
  </r>
  <r>
    <x v="39"/>
    <x v="45"/>
    <x v="16"/>
    <m/>
    <n v="32"/>
    <n v="8"/>
    <n v="9"/>
    <n v="7"/>
    <n v="3"/>
    <m/>
    <m/>
  </r>
  <r>
    <x v="39"/>
    <x v="45"/>
    <x v="24"/>
    <m/>
    <n v="3"/>
    <n v="0"/>
    <n v="0"/>
    <n v="0"/>
    <n v="3"/>
    <m/>
    <m/>
  </r>
  <r>
    <x v="39"/>
    <x v="62"/>
    <x v="24"/>
    <m/>
    <n v="10"/>
    <n v="0"/>
    <n v="3"/>
    <n v="1"/>
    <n v="1"/>
    <m/>
    <m/>
  </r>
  <r>
    <x v="39"/>
    <x v="27"/>
    <x v="17"/>
    <m/>
    <n v="22"/>
    <n v="6"/>
    <n v="14"/>
    <n v="3"/>
    <n v="24"/>
    <m/>
    <m/>
  </r>
  <r>
    <x v="39"/>
    <x v="33"/>
    <x v="18"/>
    <m/>
    <n v="10"/>
    <n v="4"/>
    <n v="15"/>
    <n v="21"/>
    <n v="2"/>
    <m/>
    <m/>
  </r>
  <r>
    <x v="39"/>
    <x v="56"/>
    <x v="20"/>
    <m/>
    <n v="18"/>
    <n v="2"/>
    <n v="27"/>
    <n v="0"/>
    <n v="10"/>
    <m/>
    <m/>
  </r>
  <r>
    <x v="39"/>
    <x v="38"/>
    <x v="21"/>
    <m/>
    <n v="18"/>
    <n v="7"/>
    <n v="31"/>
    <n v="6"/>
    <n v="8"/>
    <m/>
    <m/>
  </r>
  <r>
    <x v="39"/>
    <x v="40"/>
    <x v="19"/>
    <m/>
    <n v="12"/>
    <n v="12"/>
    <n v="10"/>
    <n v="3"/>
    <n v="5"/>
    <m/>
    <m/>
  </r>
  <r>
    <x v="39"/>
    <x v="41"/>
    <x v="22"/>
    <m/>
    <n v="5"/>
    <n v="1"/>
    <n v="6"/>
    <n v="0"/>
    <n v="2"/>
    <m/>
    <m/>
  </r>
  <r>
    <x v="39"/>
    <x v="42"/>
    <x v="23"/>
    <m/>
    <n v="17"/>
    <n v="9"/>
    <n v="5"/>
    <n v="0"/>
    <n v="2"/>
    <m/>
    <m/>
  </r>
  <r>
    <x v="39"/>
    <x v="48"/>
    <x v="25"/>
    <m/>
    <n v="19"/>
    <n v="1"/>
    <n v="10"/>
    <n v="1"/>
    <n v="3"/>
    <m/>
    <m/>
  </r>
  <r>
    <x v="39"/>
    <x v="49"/>
    <x v="26"/>
    <m/>
    <n v="30"/>
    <n v="2"/>
    <n v="16"/>
    <n v="0"/>
    <n v="10"/>
    <m/>
    <m/>
  </r>
  <r>
    <x v="39"/>
    <x v="54"/>
    <x v="27"/>
    <m/>
    <n v="7"/>
    <n v="1"/>
    <n v="7"/>
    <n v="1"/>
    <n v="3"/>
    <m/>
    <m/>
  </r>
  <r>
    <x v="39"/>
    <x v="55"/>
    <x v="28"/>
    <m/>
    <n v="17"/>
    <n v="1"/>
    <n v="8"/>
    <n v="1"/>
    <n v="5"/>
    <m/>
    <m/>
  </r>
  <r>
    <x v="39"/>
    <x v="59"/>
    <x v="29"/>
    <m/>
    <n v="11"/>
    <n v="1"/>
    <n v="3"/>
    <n v="0"/>
    <n v="4"/>
    <m/>
    <m/>
  </r>
  <r>
    <x v="40"/>
    <x v="15"/>
    <x v="3"/>
    <n v="688"/>
    <m/>
    <m/>
    <m/>
    <m/>
    <m/>
    <n v="213800"/>
    <m/>
  </r>
  <r>
    <x v="40"/>
    <x v="15"/>
    <x v="8"/>
    <n v="283"/>
    <m/>
    <m/>
    <m/>
    <m/>
    <m/>
    <n v="136450"/>
    <m/>
  </r>
  <r>
    <x v="40"/>
    <x v="15"/>
    <x v="4"/>
    <n v="669"/>
    <m/>
    <m/>
    <m/>
    <m/>
    <m/>
    <n v="347900"/>
    <m/>
  </r>
  <r>
    <x v="40"/>
    <x v="15"/>
    <x v="6"/>
    <n v="403"/>
    <m/>
    <m/>
    <m/>
    <m/>
    <m/>
    <n v="141950"/>
    <m/>
  </r>
  <r>
    <x v="40"/>
    <x v="15"/>
    <x v="11"/>
    <n v="490"/>
    <m/>
    <m/>
    <m/>
    <m/>
    <m/>
    <n v="341400"/>
    <m/>
  </r>
  <r>
    <x v="40"/>
    <x v="15"/>
    <x v="10"/>
    <n v="351"/>
    <m/>
    <m/>
    <m/>
    <m/>
    <m/>
    <n v="158500"/>
    <m/>
  </r>
  <r>
    <x v="40"/>
    <x v="15"/>
    <x v="0"/>
    <n v="492"/>
    <m/>
    <m/>
    <m/>
    <m/>
    <m/>
    <n v="505200"/>
    <m/>
  </r>
  <r>
    <x v="40"/>
    <x v="15"/>
    <x v="5"/>
    <n v="289"/>
    <m/>
    <m/>
    <m/>
    <m/>
    <m/>
    <n v="111600"/>
    <m/>
  </r>
  <r>
    <x v="40"/>
    <x v="15"/>
    <x v="9"/>
    <n v="559"/>
    <m/>
    <m/>
    <m/>
    <m/>
    <m/>
    <n v="371350"/>
    <m/>
  </r>
  <r>
    <x v="40"/>
    <x v="15"/>
    <x v="7"/>
    <n v="466"/>
    <m/>
    <m/>
    <m/>
    <m/>
    <m/>
    <n v="162900"/>
    <m/>
  </r>
  <r>
    <x v="40"/>
    <x v="15"/>
    <x v="2"/>
    <n v="839"/>
    <m/>
    <m/>
    <m/>
    <m/>
    <m/>
    <n v="363950"/>
    <m/>
  </r>
  <r>
    <x v="40"/>
    <x v="15"/>
    <x v="1"/>
    <n v="566"/>
    <m/>
    <m/>
    <m/>
    <m/>
    <m/>
    <n v="322950"/>
    <m/>
  </r>
  <r>
    <x v="40"/>
    <x v="15"/>
    <x v="12"/>
    <n v="671"/>
    <m/>
    <m/>
    <m/>
    <m/>
    <m/>
    <n v="122000"/>
    <m/>
  </r>
  <r>
    <x v="40"/>
    <x v="15"/>
    <x v="13"/>
    <n v="520"/>
    <m/>
    <m/>
    <m/>
    <m/>
    <m/>
    <n v="100880"/>
    <m/>
  </r>
  <r>
    <x v="40"/>
    <x v="15"/>
    <x v="14"/>
    <n v="550"/>
    <m/>
    <m/>
    <m/>
    <m/>
    <m/>
    <n v="234350"/>
    <m/>
  </r>
  <r>
    <x v="40"/>
    <x v="15"/>
    <x v="15"/>
    <n v="538"/>
    <m/>
    <m/>
    <m/>
    <m/>
    <m/>
    <n v="38200"/>
    <m/>
  </r>
  <r>
    <x v="40"/>
    <x v="15"/>
    <x v="16"/>
    <n v="170"/>
    <m/>
    <m/>
    <m/>
    <m/>
    <m/>
    <n v="164000"/>
    <m/>
  </r>
  <r>
    <x v="40"/>
    <x v="15"/>
    <x v="17"/>
    <n v="196"/>
    <m/>
    <m/>
    <m/>
    <m/>
    <m/>
    <n v="320800"/>
    <m/>
  </r>
  <r>
    <x v="40"/>
    <x v="15"/>
    <x v="18"/>
    <n v="501"/>
    <m/>
    <m/>
    <m/>
    <m/>
    <m/>
    <n v="55800"/>
    <m/>
  </r>
  <r>
    <x v="40"/>
    <x v="15"/>
    <x v="19"/>
    <n v="335"/>
    <m/>
    <m/>
    <m/>
    <m/>
    <m/>
    <n v="39500"/>
    <m/>
  </r>
  <r>
    <x v="40"/>
    <x v="15"/>
    <x v="20"/>
    <n v="369"/>
    <m/>
    <m/>
    <m/>
    <m/>
    <m/>
    <n v="132500"/>
    <m/>
  </r>
  <r>
    <x v="40"/>
    <x v="15"/>
    <x v="21"/>
    <n v="316"/>
    <m/>
    <m/>
    <m/>
    <m/>
    <m/>
    <n v="137400"/>
    <m/>
  </r>
  <r>
    <x v="40"/>
    <x v="15"/>
    <x v="22"/>
    <n v="162"/>
    <m/>
    <m/>
    <m/>
    <m/>
    <m/>
    <n v="95300"/>
    <m/>
  </r>
  <r>
    <x v="40"/>
    <x v="15"/>
    <x v="23"/>
    <n v="458"/>
    <m/>
    <m/>
    <m/>
    <m/>
    <m/>
    <n v="38000"/>
    <m/>
  </r>
  <r>
    <x v="40"/>
    <x v="15"/>
    <x v="24"/>
    <n v="191"/>
    <m/>
    <m/>
    <m/>
    <m/>
    <m/>
    <n v="26490"/>
    <m/>
  </r>
  <r>
    <x v="40"/>
    <x v="15"/>
    <x v="25"/>
    <n v="354"/>
    <m/>
    <m/>
    <m/>
    <m/>
    <m/>
    <n v="84000"/>
    <m/>
  </r>
  <r>
    <x v="40"/>
    <x v="15"/>
    <x v="26"/>
    <n v="263"/>
    <m/>
    <m/>
    <m/>
    <m/>
    <m/>
    <n v="147500"/>
    <m/>
  </r>
  <r>
    <x v="40"/>
    <x v="15"/>
    <x v="27"/>
    <n v="255"/>
    <m/>
    <m/>
    <m/>
    <m/>
    <m/>
    <n v="13000"/>
    <m/>
  </r>
  <r>
    <x v="40"/>
    <x v="15"/>
    <x v="28"/>
    <n v="256"/>
    <m/>
    <m/>
    <m/>
    <m/>
    <m/>
    <n v="29500"/>
    <m/>
  </r>
  <r>
    <x v="40"/>
    <x v="15"/>
    <x v="29"/>
    <n v="282"/>
    <m/>
    <m/>
    <m/>
    <m/>
    <m/>
    <n v="41000"/>
    <m/>
  </r>
  <r>
    <x v="40"/>
    <x v="15"/>
    <x v="30"/>
    <n v="254"/>
    <m/>
    <m/>
    <m/>
    <m/>
    <m/>
    <n v="26000"/>
    <m/>
  </r>
  <r>
    <x v="40"/>
    <x v="0"/>
    <x v="0"/>
    <m/>
    <n v="38"/>
    <n v="12"/>
    <n v="74"/>
    <n v="10"/>
    <n v="26"/>
    <m/>
    <m/>
  </r>
  <r>
    <x v="40"/>
    <x v="56"/>
    <x v="0"/>
    <m/>
    <n v="15"/>
    <n v="2"/>
    <n v="32"/>
    <n v="4"/>
    <n v="9"/>
    <m/>
    <m/>
  </r>
  <r>
    <x v="40"/>
    <x v="57"/>
    <x v="10"/>
    <m/>
    <n v="15"/>
    <n v="0"/>
    <n v="37"/>
    <n v="5"/>
    <n v="12"/>
    <m/>
    <m/>
  </r>
  <r>
    <x v="40"/>
    <x v="57"/>
    <x v="30"/>
    <m/>
    <n v="8"/>
    <n v="1"/>
    <n v="4"/>
    <n v="0"/>
    <n v="2"/>
    <m/>
    <m/>
  </r>
  <r>
    <x v="40"/>
    <x v="7"/>
    <x v="2"/>
    <m/>
    <n v="25"/>
    <n v="15"/>
    <n v="40"/>
    <n v="14"/>
    <n v="17"/>
    <m/>
    <m/>
  </r>
  <r>
    <x v="40"/>
    <x v="60"/>
    <x v="2"/>
    <m/>
    <n v="20"/>
    <n v="23"/>
    <n v="13"/>
    <n v="11"/>
    <n v="9"/>
    <m/>
    <m/>
  </r>
  <r>
    <x v="40"/>
    <x v="4"/>
    <x v="5"/>
    <m/>
    <n v="28"/>
    <n v="3"/>
    <n v="14"/>
    <n v="3"/>
    <n v="8"/>
    <m/>
    <m/>
  </r>
  <r>
    <x v="40"/>
    <x v="51"/>
    <x v="6"/>
    <m/>
    <n v="14"/>
    <n v="2"/>
    <n v="16"/>
    <n v="0"/>
    <n v="11"/>
    <m/>
    <m/>
  </r>
  <r>
    <x v="40"/>
    <x v="50"/>
    <x v="3"/>
    <m/>
    <n v="0"/>
    <n v="1"/>
    <n v="7"/>
    <n v="1"/>
    <n v="1"/>
    <m/>
    <m/>
  </r>
  <r>
    <x v="40"/>
    <x v="43"/>
    <x v="3"/>
    <m/>
    <n v="25"/>
    <n v="0"/>
    <n v="7"/>
    <n v="0"/>
    <n v="14"/>
    <m/>
    <m/>
  </r>
  <r>
    <x v="40"/>
    <x v="43"/>
    <x v="4"/>
    <m/>
    <n v="3"/>
    <n v="0"/>
    <n v="2"/>
    <n v="1"/>
    <n v="3"/>
    <m/>
    <m/>
  </r>
  <r>
    <x v="40"/>
    <x v="13"/>
    <x v="4"/>
    <m/>
    <n v="10"/>
    <n v="1"/>
    <n v="25"/>
    <n v="4"/>
    <n v="9"/>
    <m/>
    <m/>
  </r>
  <r>
    <x v="40"/>
    <x v="16"/>
    <x v="4"/>
    <m/>
    <n v="10"/>
    <n v="5"/>
    <n v="14"/>
    <n v="3"/>
    <n v="1"/>
    <m/>
    <m/>
  </r>
  <r>
    <x v="40"/>
    <x v="50"/>
    <x v="4"/>
    <m/>
    <n v="19"/>
    <n v="12"/>
    <n v="20"/>
    <n v="4"/>
    <n v="12"/>
    <m/>
    <m/>
  </r>
  <r>
    <x v="40"/>
    <x v="58"/>
    <x v="9"/>
    <m/>
    <n v="27"/>
    <n v="6"/>
    <n v="60"/>
    <n v="7"/>
    <n v="16"/>
    <m/>
    <m/>
  </r>
  <r>
    <x v="40"/>
    <x v="10"/>
    <x v="9"/>
    <m/>
    <n v="18"/>
    <n v="6"/>
    <n v="58"/>
    <n v="0"/>
    <n v="10"/>
    <m/>
    <m/>
  </r>
  <r>
    <x v="40"/>
    <x v="44"/>
    <x v="1"/>
    <m/>
    <n v="17"/>
    <n v="10"/>
    <n v="18"/>
    <n v="6"/>
    <n v="9"/>
    <m/>
    <m/>
  </r>
  <r>
    <x v="40"/>
    <x v="52"/>
    <x v="1"/>
    <m/>
    <n v="18"/>
    <n v="13"/>
    <n v="12"/>
    <n v="12"/>
    <n v="15"/>
    <m/>
    <m/>
  </r>
  <r>
    <x v="40"/>
    <x v="14"/>
    <x v="11"/>
    <m/>
    <n v="5"/>
    <n v="0"/>
    <n v="22"/>
    <n v="0"/>
    <n v="10"/>
    <m/>
    <m/>
  </r>
  <r>
    <x v="40"/>
    <x v="37"/>
    <x v="11"/>
    <m/>
    <n v="38"/>
    <n v="0"/>
    <n v="19"/>
    <n v="0"/>
    <n v="12"/>
    <m/>
    <m/>
  </r>
  <r>
    <x v="40"/>
    <x v="13"/>
    <x v="8"/>
    <m/>
    <n v="1"/>
    <n v="0"/>
    <n v="1"/>
    <n v="0"/>
    <n v="1"/>
    <m/>
    <m/>
  </r>
  <r>
    <x v="40"/>
    <x v="46"/>
    <x v="8"/>
    <m/>
    <n v="26"/>
    <n v="0"/>
    <n v="27"/>
    <n v="0"/>
    <n v="9"/>
    <m/>
    <m/>
  </r>
  <r>
    <x v="40"/>
    <x v="22"/>
    <x v="7"/>
    <m/>
    <n v="29"/>
    <n v="8"/>
    <n v="35"/>
    <n v="3"/>
    <n v="11"/>
    <m/>
    <m/>
  </r>
  <r>
    <x v="40"/>
    <x v="61"/>
    <x v="12"/>
    <m/>
    <n v="31"/>
    <n v="8"/>
    <n v="24"/>
    <n v="3"/>
    <n v="8"/>
    <m/>
    <m/>
  </r>
  <r>
    <x v="40"/>
    <x v="19"/>
    <x v="13"/>
    <m/>
    <n v="19"/>
    <n v="4"/>
    <n v="20"/>
    <n v="5"/>
    <n v="8"/>
    <m/>
    <m/>
  </r>
  <r>
    <x v="40"/>
    <x v="47"/>
    <x v="14"/>
    <m/>
    <n v="19"/>
    <n v="7"/>
    <n v="12"/>
    <n v="12"/>
    <n v="6"/>
    <m/>
    <m/>
  </r>
  <r>
    <x v="40"/>
    <x v="53"/>
    <x v="14"/>
    <m/>
    <n v="40"/>
    <n v="6"/>
    <n v="20"/>
    <n v="9"/>
    <n v="11"/>
    <m/>
    <m/>
  </r>
  <r>
    <x v="40"/>
    <x v="21"/>
    <x v="15"/>
    <m/>
    <n v="18"/>
    <n v="4"/>
    <n v="33"/>
    <n v="4"/>
    <n v="3"/>
    <m/>
    <m/>
  </r>
  <r>
    <x v="40"/>
    <x v="45"/>
    <x v="16"/>
    <m/>
    <n v="20"/>
    <n v="3"/>
    <n v="7"/>
    <n v="4"/>
    <n v="11"/>
    <m/>
    <m/>
  </r>
  <r>
    <x v="40"/>
    <x v="62"/>
    <x v="16"/>
    <m/>
    <n v="6"/>
    <n v="0"/>
    <n v="1"/>
    <n v="0"/>
    <n v="2"/>
    <m/>
    <m/>
  </r>
  <r>
    <x v="40"/>
    <x v="62"/>
    <x v="24"/>
    <m/>
    <n v="13"/>
    <n v="2"/>
    <n v="4"/>
    <n v="1"/>
    <n v="2"/>
    <m/>
    <m/>
  </r>
  <r>
    <x v="40"/>
    <x v="27"/>
    <x v="17"/>
    <m/>
    <n v="11"/>
    <n v="6"/>
    <n v="34"/>
    <n v="3"/>
    <n v="24"/>
    <m/>
    <m/>
  </r>
  <r>
    <x v="40"/>
    <x v="33"/>
    <x v="18"/>
    <m/>
    <n v="13"/>
    <n v="8"/>
    <n v="22"/>
    <n v="14"/>
    <n v="4"/>
    <m/>
    <m/>
  </r>
  <r>
    <x v="40"/>
    <x v="56"/>
    <x v="20"/>
    <m/>
    <n v="18"/>
    <n v="2"/>
    <n v="18"/>
    <n v="0"/>
    <n v="10"/>
    <m/>
    <m/>
  </r>
  <r>
    <x v="40"/>
    <x v="38"/>
    <x v="21"/>
    <m/>
    <n v="15"/>
    <n v="2"/>
    <n v="21"/>
    <n v="7"/>
    <n v="10"/>
    <m/>
    <m/>
  </r>
  <r>
    <x v="40"/>
    <x v="40"/>
    <x v="19"/>
    <m/>
    <n v="12"/>
    <n v="6"/>
    <n v="4"/>
    <n v="3"/>
    <n v="3"/>
    <m/>
    <m/>
  </r>
  <r>
    <x v="40"/>
    <x v="41"/>
    <x v="22"/>
    <m/>
    <n v="10"/>
    <n v="4"/>
    <n v="10"/>
    <n v="2"/>
    <n v="7"/>
    <m/>
    <m/>
  </r>
  <r>
    <x v="40"/>
    <x v="42"/>
    <x v="23"/>
    <m/>
    <n v="10"/>
    <n v="3"/>
    <n v="5"/>
    <n v="0"/>
    <n v="3"/>
    <m/>
    <m/>
  </r>
  <r>
    <x v="40"/>
    <x v="48"/>
    <x v="25"/>
    <m/>
    <n v="12"/>
    <n v="3"/>
    <n v="15"/>
    <n v="1"/>
    <n v="6"/>
    <m/>
    <m/>
  </r>
  <r>
    <x v="40"/>
    <x v="49"/>
    <x v="26"/>
    <m/>
    <n v="25"/>
    <n v="2"/>
    <n v="17"/>
    <n v="1"/>
    <n v="10"/>
    <m/>
    <m/>
  </r>
  <r>
    <x v="40"/>
    <x v="54"/>
    <x v="27"/>
    <m/>
    <n v="19"/>
    <n v="4"/>
    <n v="7"/>
    <n v="1"/>
    <n v="1"/>
    <m/>
    <m/>
  </r>
  <r>
    <x v="40"/>
    <x v="55"/>
    <x v="28"/>
    <m/>
    <n v="15"/>
    <n v="4"/>
    <n v="2"/>
    <n v="1"/>
    <n v="2"/>
    <m/>
    <m/>
  </r>
  <r>
    <x v="40"/>
    <x v="59"/>
    <x v="29"/>
    <m/>
    <n v="12"/>
    <n v="2"/>
    <n v="3"/>
    <n v="0"/>
    <n v="3"/>
    <m/>
    <m/>
  </r>
  <r>
    <x v="41"/>
    <x v="15"/>
    <x v="3"/>
    <n v="699"/>
    <m/>
    <m/>
    <m/>
    <m/>
    <m/>
    <n v="212500"/>
    <m/>
  </r>
  <r>
    <x v="41"/>
    <x v="15"/>
    <x v="8"/>
    <n v="303"/>
    <m/>
    <m/>
    <m/>
    <m/>
    <m/>
    <n v="132900"/>
    <m/>
  </r>
  <r>
    <x v="41"/>
    <x v="15"/>
    <x v="4"/>
    <n v="654"/>
    <m/>
    <m/>
    <m/>
    <m/>
    <m/>
    <n v="260150"/>
    <m/>
  </r>
  <r>
    <x v="41"/>
    <x v="15"/>
    <x v="6"/>
    <n v="465"/>
    <m/>
    <m/>
    <m/>
    <m/>
    <m/>
    <n v="104000"/>
    <m/>
  </r>
  <r>
    <x v="41"/>
    <x v="15"/>
    <x v="11"/>
    <n v="493"/>
    <m/>
    <m/>
    <m/>
    <m/>
    <m/>
    <n v="444500"/>
    <m/>
  </r>
  <r>
    <x v="41"/>
    <x v="15"/>
    <x v="10"/>
    <n v="313"/>
    <m/>
    <m/>
    <m/>
    <m/>
    <m/>
    <n v="133000"/>
    <m/>
  </r>
  <r>
    <x v="41"/>
    <x v="15"/>
    <x v="0"/>
    <n v="608"/>
    <m/>
    <m/>
    <m/>
    <m/>
    <m/>
    <n v="544800"/>
    <m/>
  </r>
  <r>
    <x v="41"/>
    <x v="15"/>
    <x v="5"/>
    <n v="303"/>
    <m/>
    <m/>
    <m/>
    <m/>
    <m/>
    <n v="160400"/>
    <m/>
  </r>
  <r>
    <x v="41"/>
    <x v="15"/>
    <x v="9"/>
    <n v="625"/>
    <m/>
    <m/>
    <m/>
    <m/>
    <m/>
    <n v="371400"/>
    <m/>
  </r>
  <r>
    <x v="41"/>
    <x v="15"/>
    <x v="7"/>
    <n v="694"/>
    <m/>
    <m/>
    <m/>
    <m/>
    <m/>
    <n v="69850"/>
    <m/>
  </r>
  <r>
    <x v="41"/>
    <x v="15"/>
    <x v="2"/>
    <n v="1040"/>
    <m/>
    <m/>
    <m/>
    <m/>
    <m/>
    <n v="425850"/>
    <m/>
  </r>
  <r>
    <x v="41"/>
    <x v="15"/>
    <x v="1"/>
    <n v="459"/>
    <m/>
    <m/>
    <m/>
    <m/>
    <m/>
    <n v="339500"/>
    <m/>
  </r>
  <r>
    <x v="41"/>
    <x v="15"/>
    <x v="12"/>
    <n v="693"/>
    <m/>
    <m/>
    <m/>
    <m/>
    <m/>
    <n v="76150"/>
    <m/>
  </r>
  <r>
    <x v="41"/>
    <x v="15"/>
    <x v="13"/>
    <n v="535"/>
    <m/>
    <m/>
    <m/>
    <m/>
    <m/>
    <n v="87480"/>
    <m/>
  </r>
  <r>
    <x v="41"/>
    <x v="15"/>
    <x v="14"/>
    <n v="707"/>
    <m/>
    <m/>
    <m/>
    <m/>
    <m/>
    <n v="233550"/>
    <m/>
  </r>
  <r>
    <x v="41"/>
    <x v="15"/>
    <x v="15"/>
    <n v="487"/>
    <m/>
    <m/>
    <m/>
    <m/>
    <m/>
    <n v="25000"/>
    <m/>
  </r>
  <r>
    <x v="41"/>
    <x v="15"/>
    <x v="16"/>
    <n v="207"/>
    <m/>
    <m/>
    <m/>
    <m/>
    <m/>
    <n v="183490"/>
    <m/>
  </r>
  <r>
    <x v="41"/>
    <x v="15"/>
    <x v="17"/>
    <n v="222"/>
    <m/>
    <m/>
    <m/>
    <m/>
    <m/>
    <n v="141500"/>
    <m/>
  </r>
  <r>
    <x v="41"/>
    <x v="15"/>
    <x v="18"/>
    <n v="355"/>
    <m/>
    <m/>
    <m/>
    <m/>
    <m/>
    <n v="93450"/>
    <m/>
  </r>
  <r>
    <x v="41"/>
    <x v="15"/>
    <x v="19"/>
    <n v="362"/>
    <m/>
    <m/>
    <m/>
    <m/>
    <m/>
    <n v="87500"/>
    <m/>
  </r>
  <r>
    <x v="41"/>
    <x v="15"/>
    <x v="20"/>
    <n v="415"/>
    <m/>
    <m/>
    <m/>
    <m/>
    <m/>
    <n v="132500"/>
    <m/>
  </r>
  <r>
    <x v="41"/>
    <x v="15"/>
    <x v="21"/>
    <n v="368"/>
    <m/>
    <m/>
    <m/>
    <m/>
    <m/>
    <n v="102450"/>
    <m/>
  </r>
  <r>
    <x v="41"/>
    <x v="15"/>
    <x v="22"/>
    <n v="146"/>
    <m/>
    <m/>
    <m/>
    <m/>
    <m/>
    <n v="66350"/>
    <m/>
  </r>
  <r>
    <x v="41"/>
    <x v="15"/>
    <x v="23"/>
    <n v="42"/>
    <m/>
    <m/>
    <m/>
    <m/>
    <m/>
    <n v="22000"/>
    <m/>
  </r>
  <r>
    <x v="41"/>
    <x v="15"/>
    <x v="24"/>
    <n v="228"/>
    <m/>
    <m/>
    <m/>
    <m/>
    <m/>
    <n v="73480"/>
    <m/>
  </r>
  <r>
    <x v="41"/>
    <x v="15"/>
    <x v="25"/>
    <n v="371"/>
    <m/>
    <m/>
    <m/>
    <m/>
    <m/>
    <n v="112200"/>
    <m/>
  </r>
  <r>
    <x v="41"/>
    <x v="15"/>
    <x v="26"/>
    <n v="333"/>
    <m/>
    <m/>
    <m/>
    <m/>
    <m/>
    <n v="148600"/>
    <m/>
  </r>
  <r>
    <x v="41"/>
    <x v="15"/>
    <x v="27"/>
    <n v="237"/>
    <m/>
    <m/>
    <m/>
    <m/>
    <m/>
    <n v="97300"/>
    <m/>
  </r>
  <r>
    <x v="41"/>
    <x v="15"/>
    <x v="28"/>
    <n v="297"/>
    <m/>
    <m/>
    <m/>
    <m/>
    <m/>
    <n v="54500"/>
    <m/>
  </r>
  <r>
    <x v="41"/>
    <x v="15"/>
    <x v="29"/>
    <n v="321"/>
    <m/>
    <m/>
    <m/>
    <m/>
    <m/>
    <n v="54500"/>
    <m/>
  </r>
  <r>
    <x v="41"/>
    <x v="15"/>
    <x v="30"/>
    <n v="352"/>
    <m/>
    <m/>
    <m/>
    <m/>
    <m/>
    <n v="28000"/>
    <m/>
  </r>
  <r>
    <x v="41"/>
    <x v="0"/>
    <x v="0"/>
    <m/>
    <n v="58"/>
    <n v="11"/>
    <n v="74"/>
    <n v="9"/>
    <n v="30"/>
    <m/>
    <m/>
  </r>
  <r>
    <x v="41"/>
    <x v="56"/>
    <x v="0"/>
    <m/>
    <n v="14"/>
    <n v="2"/>
    <n v="27"/>
    <n v="1"/>
    <n v="8"/>
    <m/>
    <m/>
  </r>
  <r>
    <x v="41"/>
    <x v="57"/>
    <x v="10"/>
    <m/>
    <n v="32"/>
    <n v="2"/>
    <n v="53"/>
    <n v="6"/>
    <n v="10"/>
    <m/>
    <m/>
  </r>
  <r>
    <x v="41"/>
    <x v="57"/>
    <x v="30"/>
    <m/>
    <n v="15"/>
    <n v="4"/>
    <n v="4"/>
    <n v="0"/>
    <n v="2"/>
    <m/>
    <m/>
  </r>
  <r>
    <x v="41"/>
    <x v="7"/>
    <x v="2"/>
    <m/>
    <n v="26"/>
    <n v="18"/>
    <n v="33"/>
    <n v="16"/>
    <n v="17"/>
    <m/>
    <m/>
  </r>
  <r>
    <x v="41"/>
    <x v="60"/>
    <x v="2"/>
    <m/>
    <n v="28"/>
    <n v="32"/>
    <n v="12"/>
    <n v="8"/>
    <n v="12"/>
    <m/>
    <m/>
  </r>
  <r>
    <x v="41"/>
    <x v="4"/>
    <x v="5"/>
    <m/>
    <n v="28"/>
    <n v="5"/>
    <n v="6"/>
    <n v="2"/>
    <n v="12"/>
    <m/>
    <m/>
  </r>
  <r>
    <x v="41"/>
    <x v="51"/>
    <x v="6"/>
    <m/>
    <n v="27"/>
    <n v="1"/>
    <n v="17"/>
    <n v="3"/>
    <n v="8"/>
    <m/>
    <m/>
  </r>
  <r>
    <x v="41"/>
    <x v="50"/>
    <x v="3"/>
    <m/>
    <n v="0"/>
    <n v="2"/>
    <n v="8"/>
    <n v="2"/>
    <n v="2"/>
    <m/>
    <m/>
  </r>
  <r>
    <x v="41"/>
    <x v="43"/>
    <x v="3"/>
    <m/>
    <n v="32"/>
    <n v="1"/>
    <n v="17"/>
    <n v="3"/>
    <n v="13"/>
    <m/>
    <m/>
  </r>
  <r>
    <x v="41"/>
    <x v="43"/>
    <x v="4"/>
    <m/>
    <n v="4"/>
    <n v="1"/>
    <n v="1"/>
    <n v="0"/>
    <n v="1"/>
    <m/>
    <m/>
  </r>
  <r>
    <x v="41"/>
    <x v="13"/>
    <x v="4"/>
    <m/>
    <n v="4"/>
    <n v="0"/>
    <n v="9"/>
    <n v="5"/>
    <n v="4"/>
    <m/>
    <m/>
  </r>
  <r>
    <x v="41"/>
    <x v="16"/>
    <x v="4"/>
    <m/>
    <n v="11"/>
    <n v="3"/>
    <n v="15"/>
    <n v="1"/>
    <n v="5"/>
    <m/>
    <m/>
  </r>
  <r>
    <x v="41"/>
    <x v="50"/>
    <x v="4"/>
    <m/>
    <n v="40"/>
    <n v="15"/>
    <n v="30"/>
    <n v="7"/>
    <n v="9"/>
    <m/>
    <m/>
  </r>
  <r>
    <x v="41"/>
    <x v="58"/>
    <x v="9"/>
    <m/>
    <n v="30"/>
    <n v="6"/>
    <n v="55"/>
    <n v="3"/>
    <n v="16"/>
    <m/>
    <m/>
  </r>
  <r>
    <x v="41"/>
    <x v="10"/>
    <x v="9"/>
    <m/>
    <n v="34"/>
    <n v="6"/>
    <n v="34"/>
    <n v="6"/>
    <n v="10"/>
    <m/>
    <m/>
  </r>
  <r>
    <x v="41"/>
    <x v="44"/>
    <x v="1"/>
    <m/>
    <n v="23"/>
    <n v="12"/>
    <n v="33"/>
    <n v="19"/>
    <n v="12"/>
    <m/>
    <m/>
  </r>
  <r>
    <x v="41"/>
    <x v="52"/>
    <x v="1"/>
    <m/>
    <n v="12"/>
    <n v="8"/>
    <n v="28"/>
    <n v="9"/>
    <n v="13"/>
    <m/>
    <m/>
  </r>
  <r>
    <x v="41"/>
    <x v="14"/>
    <x v="11"/>
    <m/>
    <n v="40"/>
    <n v="0"/>
    <n v="29"/>
    <n v="0"/>
    <n v="10"/>
    <m/>
    <m/>
  </r>
  <r>
    <x v="41"/>
    <x v="37"/>
    <x v="11"/>
    <m/>
    <n v="35"/>
    <n v="0"/>
    <n v="25"/>
    <n v="0"/>
    <n v="19"/>
    <m/>
    <m/>
  </r>
  <r>
    <x v="41"/>
    <x v="46"/>
    <x v="8"/>
    <m/>
    <n v="11"/>
    <n v="1"/>
    <n v="6"/>
    <n v="3"/>
    <n v="10"/>
    <m/>
    <m/>
  </r>
  <r>
    <x v="41"/>
    <x v="22"/>
    <x v="7"/>
    <m/>
    <n v="42"/>
    <n v="9"/>
    <n v="22"/>
    <n v="7"/>
    <n v="5"/>
    <m/>
    <m/>
  </r>
  <r>
    <x v="41"/>
    <x v="61"/>
    <x v="12"/>
    <m/>
    <n v="27"/>
    <n v="11"/>
    <n v="31"/>
    <n v="2"/>
    <n v="5"/>
    <m/>
    <m/>
  </r>
  <r>
    <x v="41"/>
    <x v="19"/>
    <x v="13"/>
    <m/>
    <n v="7"/>
    <n v="6"/>
    <n v="5"/>
    <n v="2"/>
    <n v="7"/>
    <m/>
    <m/>
  </r>
  <r>
    <x v="41"/>
    <x v="47"/>
    <x v="14"/>
    <m/>
    <n v="15"/>
    <n v="6"/>
    <n v="10"/>
    <n v="8"/>
    <n v="5"/>
    <m/>
    <m/>
  </r>
  <r>
    <x v="41"/>
    <x v="53"/>
    <x v="14"/>
    <m/>
    <n v="27"/>
    <n v="7"/>
    <n v="15"/>
    <n v="10"/>
    <n v="12"/>
    <m/>
    <m/>
  </r>
  <r>
    <x v="41"/>
    <x v="21"/>
    <x v="15"/>
    <m/>
    <n v="11"/>
    <n v="4"/>
    <n v="31"/>
    <n v="16"/>
    <n v="2"/>
    <m/>
    <m/>
  </r>
  <r>
    <x v="41"/>
    <x v="45"/>
    <x v="16"/>
    <m/>
    <n v="38"/>
    <n v="10"/>
    <n v="20"/>
    <n v="4"/>
    <n v="15"/>
    <m/>
    <m/>
  </r>
  <r>
    <x v="41"/>
    <x v="62"/>
    <x v="24"/>
    <m/>
    <n v="21"/>
    <n v="3"/>
    <n v="5"/>
    <n v="1"/>
    <n v="6"/>
    <m/>
    <m/>
  </r>
  <r>
    <x v="41"/>
    <x v="27"/>
    <x v="17"/>
    <m/>
    <n v="5"/>
    <n v="0"/>
    <n v="10"/>
    <n v="0"/>
    <n v="5"/>
    <m/>
    <m/>
  </r>
  <r>
    <x v="41"/>
    <x v="63"/>
    <x v="17"/>
    <m/>
    <n v="15"/>
    <n v="3"/>
    <n v="4"/>
    <n v="0"/>
    <n v="6"/>
    <m/>
    <m/>
  </r>
  <r>
    <x v="41"/>
    <x v="33"/>
    <x v="18"/>
    <m/>
    <n v="5"/>
    <n v="5"/>
    <n v="12"/>
    <n v="4"/>
    <n v="8"/>
    <m/>
    <m/>
  </r>
  <r>
    <x v="41"/>
    <x v="56"/>
    <x v="20"/>
    <m/>
    <n v="11"/>
    <n v="0"/>
    <n v="21"/>
    <n v="0"/>
    <n v="10"/>
    <m/>
    <m/>
  </r>
  <r>
    <x v="41"/>
    <x v="38"/>
    <x v="21"/>
    <m/>
    <n v="31"/>
    <n v="4"/>
    <n v="33"/>
    <n v="5"/>
    <n v="8"/>
    <m/>
    <m/>
  </r>
  <r>
    <x v="41"/>
    <x v="40"/>
    <x v="19"/>
    <m/>
    <n v="26"/>
    <n v="3"/>
    <n v="12"/>
    <n v="3"/>
    <n v="7"/>
    <m/>
    <m/>
  </r>
  <r>
    <x v="41"/>
    <x v="41"/>
    <x v="22"/>
    <m/>
    <n v="4"/>
    <n v="7"/>
    <n v="15"/>
    <n v="0"/>
    <n v="5"/>
    <m/>
    <m/>
  </r>
  <r>
    <x v="41"/>
    <x v="42"/>
    <x v="23"/>
    <m/>
    <n v="7"/>
    <n v="10"/>
    <n v="2"/>
    <n v="21"/>
    <n v="2"/>
    <m/>
    <m/>
  </r>
  <r>
    <x v="41"/>
    <x v="48"/>
    <x v="25"/>
    <m/>
    <n v="16"/>
    <n v="1"/>
    <n v="20"/>
    <n v="4"/>
    <n v="8"/>
    <m/>
    <m/>
  </r>
  <r>
    <x v="41"/>
    <x v="49"/>
    <x v="26"/>
    <m/>
    <n v="28"/>
    <n v="1"/>
    <n v="21"/>
    <n v="0"/>
    <n v="10"/>
    <m/>
    <m/>
  </r>
  <r>
    <x v="41"/>
    <x v="54"/>
    <x v="27"/>
    <m/>
    <n v="12"/>
    <n v="2"/>
    <n v="10"/>
    <n v="1"/>
    <n v="8"/>
    <m/>
    <m/>
  </r>
  <r>
    <x v="41"/>
    <x v="55"/>
    <x v="28"/>
    <m/>
    <n v="16"/>
    <n v="6"/>
    <n v="5"/>
    <n v="1"/>
    <n v="4"/>
    <m/>
    <m/>
  </r>
  <r>
    <x v="41"/>
    <x v="59"/>
    <x v="29"/>
    <m/>
    <n v="12"/>
    <n v="6"/>
    <n v="5"/>
    <n v="1"/>
    <n v="4"/>
    <m/>
    <m/>
  </r>
  <r>
    <x v="42"/>
    <x v="15"/>
    <x v="3"/>
    <n v="693"/>
    <m/>
    <m/>
    <m/>
    <m/>
    <m/>
    <n v="181650"/>
    <m/>
  </r>
  <r>
    <x v="42"/>
    <x v="15"/>
    <x v="8"/>
    <n v="256"/>
    <m/>
    <m/>
    <m/>
    <m/>
    <m/>
    <n v="63500"/>
    <m/>
  </r>
  <r>
    <x v="42"/>
    <x v="15"/>
    <x v="4"/>
    <n v="651"/>
    <m/>
    <m/>
    <m/>
    <m/>
    <m/>
    <n v="388130"/>
    <m/>
  </r>
  <r>
    <x v="42"/>
    <x v="15"/>
    <x v="6"/>
    <n v="399"/>
    <m/>
    <m/>
    <m/>
    <m/>
    <m/>
    <n v="52600"/>
    <m/>
  </r>
  <r>
    <x v="42"/>
    <x v="15"/>
    <x v="11"/>
    <n v="457"/>
    <m/>
    <m/>
    <m/>
    <m/>
    <m/>
    <n v="313800"/>
    <m/>
  </r>
  <r>
    <x v="42"/>
    <x v="15"/>
    <x v="10"/>
    <n v="243"/>
    <m/>
    <m/>
    <m/>
    <m/>
    <m/>
    <n v="189350"/>
    <m/>
  </r>
  <r>
    <x v="42"/>
    <x v="15"/>
    <x v="0"/>
    <n v="569"/>
    <m/>
    <m/>
    <m/>
    <m/>
    <m/>
    <n v="491799"/>
    <m/>
  </r>
  <r>
    <x v="42"/>
    <x v="15"/>
    <x v="5"/>
    <n v="344"/>
    <m/>
    <m/>
    <m/>
    <m/>
    <m/>
    <n v="109800"/>
    <m/>
  </r>
  <r>
    <x v="42"/>
    <x v="15"/>
    <x v="9"/>
    <n v="496"/>
    <m/>
    <m/>
    <m/>
    <m/>
    <m/>
    <n v="255000"/>
    <m/>
  </r>
  <r>
    <x v="42"/>
    <x v="15"/>
    <x v="7"/>
    <n v="450"/>
    <m/>
    <m/>
    <m/>
    <m/>
    <m/>
    <n v="87750"/>
    <m/>
  </r>
  <r>
    <x v="42"/>
    <x v="15"/>
    <x v="2"/>
    <n v="820"/>
    <m/>
    <m/>
    <m/>
    <m/>
    <m/>
    <n v="332100"/>
    <m/>
  </r>
  <r>
    <x v="42"/>
    <x v="15"/>
    <x v="1"/>
    <n v="410"/>
    <m/>
    <m/>
    <m/>
    <m/>
    <m/>
    <n v="182300"/>
    <m/>
  </r>
  <r>
    <x v="42"/>
    <x v="15"/>
    <x v="12"/>
    <n v="659"/>
    <m/>
    <m/>
    <m/>
    <m/>
    <m/>
    <n v="100050"/>
    <m/>
  </r>
  <r>
    <x v="42"/>
    <x v="15"/>
    <x v="13"/>
    <n v="666"/>
    <m/>
    <m/>
    <m/>
    <m/>
    <m/>
    <n v="96490"/>
    <m/>
  </r>
  <r>
    <x v="42"/>
    <x v="15"/>
    <x v="14"/>
    <n v="512"/>
    <m/>
    <m/>
    <m/>
    <m/>
    <m/>
    <n v="54000"/>
    <m/>
  </r>
  <r>
    <x v="42"/>
    <x v="15"/>
    <x v="15"/>
    <n v="460"/>
    <m/>
    <m/>
    <m/>
    <m/>
    <m/>
    <n v="52500"/>
    <m/>
  </r>
  <r>
    <x v="42"/>
    <x v="15"/>
    <x v="16"/>
    <n v="208"/>
    <m/>
    <m/>
    <m/>
    <m/>
    <m/>
    <n v="189500"/>
    <m/>
  </r>
  <r>
    <x v="42"/>
    <x v="15"/>
    <x v="17"/>
    <n v="185"/>
    <m/>
    <m/>
    <m/>
    <m/>
    <m/>
    <n v="109500"/>
    <m/>
  </r>
  <r>
    <x v="42"/>
    <x v="15"/>
    <x v="18"/>
    <n v="294"/>
    <m/>
    <m/>
    <m/>
    <m/>
    <m/>
    <n v="124500"/>
    <m/>
  </r>
  <r>
    <x v="42"/>
    <x v="15"/>
    <x v="19"/>
    <n v="281"/>
    <m/>
    <m/>
    <m/>
    <m/>
    <m/>
    <n v="13900"/>
    <m/>
  </r>
  <r>
    <x v="42"/>
    <x v="15"/>
    <x v="20"/>
    <n v="363"/>
    <m/>
    <m/>
    <m/>
    <m/>
    <m/>
    <n v="92500"/>
    <m/>
  </r>
  <r>
    <x v="42"/>
    <x v="15"/>
    <x v="21"/>
    <n v="314"/>
    <m/>
    <m/>
    <m/>
    <m/>
    <m/>
    <n v="127000"/>
    <m/>
  </r>
  <r>
    <x v="42"/>
    <x v="15"/>
    <x v="22"/>
    <n v="127"/>
    <m/>
    <m/>
    <m/>
    <m/>
    <m/>
    <n v="43500"/>
    <m/>
  </r>
  <r>
    <x v="42"/>
    <x v="15"/>
    <x v="23"/>
    <n v="143"/>
    <m/>
    <m/>
    <m/>
    <m/>
    <m/>
    <n v="13990"/>
    <m/>
  </r>
  <r>
    <x v="42"/>
    <x v="15"/>
    <x v="24"/>
    <n v="237"/>
    <m/>
    <m/>
    <m/>
    <m/>
    <m/>
    <n v="47500"/>
    <m/>
  </r>
  <r>
    <x v="42"/>
    <x v="15"/>
    <x v="25"/>
    <n v="371"/>
    <m/>
    <m/>
    <m/>
    <m/>
    <m/>
    <n v="40000"/>
    <m/>
  </r>
  <r>
    <x v="42"/>
    <x v="15"/>
    <x v="26"/>
    <n v="330"/>
    <m/>
    <m/>
    <m/>
    <m/>
    <m/>
    <n v="156400"/>
    <m/>
  </r>
  <r>
    <x v="42"/>
    <x v="15"/>
    <x v="27"/>
    <n v="153"/>
    <m/>
    <m/>
    <m/>
    <m/>
    <m/>
    <n v="26200"/>
    <m/>
  </r>
  <r>
    <x v="42"/>
    <x v="15"/>
    <x v="28"/>
    <n v="269"/>
    <m/>
    <m/>
    <m/>
    <m/>
    <m/>
    <n v="71400"/>
    <m/>
  </r>
  <r>
    <x v="42"/>
    <x v="15"/>
    <x v="29"/>
    <n v="239"/>
    <m/>
    <m/>
    <m/>
    <m/>
    <m/>
    <n v="62000"/>
    <m/>
  </r>
  <r>
    <x v="42"/>
    <x v="15"/>
    <x v="30"/>
    <n v="335"/>
    <m/>
    <m/>
    <m/>
    <m/>
    <m/>
    <n v="26500"/>
    <m/>
  </r>
  <r>
    <x v="42"/>
    <x v="0"/>
    <x v="0"/>
    <m/>
    <n v="51"/>
    <n v="9"/>
    <n v="59"/>
    <n v="8"/>
    <n v="25"/>
    <m/>
    <m/>
  </r>
  <r>
    <x v="42"/>
    <x v="56"/>
    <x v="0"/>
    <m/>
    <n v="14"/>
    <n v="2"/>
    <n v="18"/>
    <n v="3"/>
    <n v="10"/>
    <m/>
    <m/>
  </r>
  <r>
    <x v="42"/>
    <x v="57"/>
    <x v="10"/>
    <m/>
    <n v="25"/>
    <n v="0"/>
    <n v="39"/>
    <n v="9"/>
    <n v="14"/>
    <m/>
    <m/>
  </r>
  <r>
    <x v="42"/>
    <x v="57"/>
    <x v="30"/>
    <m/>
    <n v="23"/>
    <n v="0"/>
    <n v="5"/>
    <n v="3"/>
    <n v="2"/>
    <m/>
    <m/>
  </r>
  <r>
    <x v="42"/>
    <x v="7"/>
    <x v="2"/>
    <m/>
    <n v="11"/>
    <n v="12"/>
    <n v="23"/>
    <n v="18"/>
    <n v="9"/>
    <m/>
    <m/>
  </r>
  <r>
    <x v="42"/>
    <x v="60"/>
    <x v="2"/>
    <m/>
    <n v="31"/>
    <n v="39"/>
    <n v="25"/>
    <n v="14"/>
    <n v="15"/>
    <m/>
    <m/>
  </r>
  <r>
    <x v="42"/>
    <x v="4"/>
    <x v="5"/>
    <m/>
    <n v="31"/>
    <n v="2"/>
    <n v="20"/>
    <n v="2"/>
    <n v="8"/>
    <m/>
    <m/>
  </r>
  <r>
    <x v="42"/>
    <x v="51"/>
    <x v="6"/>
    <m/>
    <n v="22"/>
    <n v="9"/>
    <n v="24"/>
    <n v="1"/>
    <n v="4"/>
    <m/>
    <m/>
  </r>
  <r>
    <x v="42"/>
    <x v="43"/>
    <x v="3"/>
    <m/>
    <n v="31"/>
    <n v="4"/>
    <n v="16"/>
    <n v="6"/>
    <n v="13"/>
    <m/>
    <m/>
  </r>
  <r>
    <x v="42"/>
    <x v="43"/>
    <x v="4"/>
    <m/>
    <n v="11"/>
    <n v="2"/>
    <n v="10"/>
    <n v="2"/>
    <n v="5"/>
    <m/>
    <m/>
  </r>
  <r>
    <x v="42"/>
    <x v="46"/>
    <x v="4"/>
    <m/>
    <n v="5"/>
    <n v="0"/>
    <n v="1"/>
    <n v="0"/>
    <n v="2"/>
    <m/>
    <m/>
  </r>
  <r>
    <x v="42"/>
    <x v="16"/>
    <x v="4"/>
    <m/>
    <n v="5"/>
    <n v="3"/>
    <n v="30"/>
    <n v="12"/>
    <n v="6"/>
    <m/>
    <m/>
  </r>
  <r>
    <x v="42"/>
    <x v="50"/>
    <x v="4"/>
    <m/>
    <n v="24"/>
    <n v="3"/>
    <n v="16"/>
    <n v="4"/>
    <n v="13"/>
    <m/>
    <m/>
  </r>
  <r>
    <x v="42"/>
    <x v="14"/>
    <x v="4"/>
    <m/>
    <n v="10"/>
    <n v="0"/>
    <n v="2"/>
    <n v="0"/>
    <n v="2"/>
    <m/>
    <m/>
  </r>
  <r>
    <x v="42"/>
    <x v="58"/>
    <x v="9"/>
    <m/>
    <n v="33"/>
    <n v="5"/>
    <n v="44"/>
    <n v="2"/>
    <n v="8"/>
    <m/>
    <m/>
  </r>
  <r>
    <x v="42"/>
    <x v="10"/>
    <x v="9"/>
    <m/>
    <n v="29"/>
    <n v="5"/>
    <n v="31"/>
    <n v="2"/>
    <n v="9"/>
    <m/>
    <m/>
  </r>
  <r>
    <x v="42"/>
    <x v="44"/>
    <x v="1"/>
    <m/>
    <n v="1"/>
    <n v="0"/>
    <n v="5"/>
    <n v="1"/>
    <n v="4"/>
    <m/>
    <m/>
  </r>
  <r>
    <x v="42"/>
    <x v="52"/>
    <x v="1"/>
    <m/>
    <n v="25"/>
    <n v="11"/>
    <n v="33"/>
    <n v="19"/>
    <n v="9"/>
    <m/>
    <m/>
  </r>
  <r>
    <x v="42"/>
    <x v="14"/>
    <x v="11"/>
    <m/>
    <n v="29"/>
    <n v="0"/>
    <n v="21"/>
    <n v="0"/>
    <n v="10"/>
    <m/>
    <m/>
  </r>
  <r>
    <x v="42"/>
    <x v="37"/>
    <x v="11"/>
    <m/>
    <n v="30"/>
    <n v="0"/>
    <n v="19"/>
    <n v="0"/>
    <n v="10"/>
    <m/>
    <m/>
  </r>
  <r>
    <x v="42"/>
    <x v="46"/>
    <x v="8"/>
    <m/>
    <n v="13"/>
    <n v="0"/>
    <n v="22"/>
    <n v="2"/>
    <n v="5"/>
    <m/>
    <m/>
  </r>
  <r>
    <x v="42"/>
    <x v="22"/>
    <x v="7"/>
    <m/>
    <n v="28"/>
    <n v="8"/>
    <n v="19"/>
    <n v="8"/>
    <n v="6"/>
    <m/>
    <m/>
  </r>
  <r>
    <x v="42"/>
    <x v="61"/>
    <x v="12"/>
    <m/>
    <n v="29"/>
    <n v="9"/>
    <n v="29"/>
    <n v="5"/>
    <n v="7"/>
    <m/>
    <m/>
  </r>
  <r>
    <x v="42"/>
    <x v="19"/>
    <x v="13"/>
    <m/>
    <n v="21"/>
    <n v="12"/>
    <n v="15"/>
    <n v="5"/>
    <n v="8"/>
    <m/>
    <m/>
  </r>
  <r>
    <x v="42"/>
    <x v="47"/>
    <x v="14"/>
    <m/>
    <n v="13"/>
    <n v="9"/>
    <n v="2"/>
    <n v="9"/>
    <n v="2"/>
    <m/>
    <m/>
  </r>
  <r>
    <x v="42"/>
    <x v="53"/>
    <x v="14"/>
    <m/>
    <n v="0"/>
    <n v="3"/>
    <n v="0"/>
    <n v="2"/>
    <n v="2"/>
    <m/>
    <m/>
  </r>
  <r>
    <x v="42"/>
    <x v="21"/>
    <x v="15"/>
    <m/>
    <n v="8"/>
    <n v="8"/>
    <n v="25"/>
    <n v="10"/>
    <n v="4"/>
    <m/>
    <m/>
  </r>
  <r>
    <x v="42"/>
    <x v="45"/>
    <x v="16"/>
    <m/>
    <n v="37"/>
    <n v="3"/>
    <n v="14"/>
    <n v="2"/>
    <n v="16"/>
    <m/>
    <m/>
  </r>
  <r>
    <x v="42"/>
    <x v="62"/>
    <x v="24"/>
    <m/>
    <n v="10"/>
    <n v="6"/>
    <n v="3"/>
    <n v="0"/>
    <n v="4"/>
    <m/>
    <m/>
  </r>
  <r>
    <x v="42"/>
    <x v="63"/>
    <x v="17"/>
    <m/>
    <n v="27"/>
    <n v="13"/>
    <n v="23"/>
    <n v="4"/>
    <n v="10"/>
    <m/>
    <m/>
  </r>
  <r>
    <x v="42"/>
    <x v="33"/>
    <x v="18"/>
    <m/>
    <n v="15"/>
    <n v="11"/>
    <n v="21"/>
    <n v="12"/>
    <n v="10"/>
    <m/>
    <m/>
  </r>
  <r>
    <x v="42"/>
    <x v="56"/>
    <x v="20"/>
    <m/>
    <n v="8"/>
    <n v="0"/>
    <n v="15"/>
    <n v="1"/>
    <n v="7"/>
    <m/>
    <m/>
  </r>
  <r>
    <x v="42"/>
    <x v="38"/>
    <x v="21"/>
    <m/>
    <n v="19"/>
    <n v="5"/>
    <n v="21"/>
    <n v="10"/>
    <n v="10"/>
    <m/>
    <m/>
  </r>
  <r>
    <x v="42"/>
    <x v="40"/>
    <x v="19"/>
    <m/>
    <n v="25"/>
    <n v="1"/>
    <n v="11"/>
    <n v="3"/>
    <n v="1"/>
    <m/>
    <m/>
  </r>
  <r>
    <x v="42"/>
    <x v="41"/>
    <x v="22"/>
    <m/>
    <n v="9"/>
    <n v="7"/>
    <n v="4"/>
    <n v="0"/>
    <n v="4"/>
    <m/>
    <m/>
  </r>
  <r>
    <x v="42"/>
    <x v="42"/>
    <x v="23"/>
    <m/>
    <n v="2"/>
    <n v="0"/>
    <n v="5"/>
    <n v="0"/>
    <n v="1"/>
    <m/>
    <m/>
  </r>
  <r>
    <x v="42"/>
    <x v="48"/>
    <x v="25"/>
    <m/>
    <n v="11"/>
    <n v="5"/>
    <n v="12"/>
    <n v="1"/>
    <n v="3"/>
    <m/>
    <m/>
  </r>
  <r>
    <x v="42"/>
    <x v="49"/>
    <x v="26"/>
    <m/>
    <n v="27"/>
    <n v="1"/>
    <n v="23"/>
    <n v="0"/>
    <n v="10"/>
    <m/>
    <m/>
  </r>
  <r>
    <x v="42"/>
    <x v="54"/>
    <x v="27"/>
    <m/>
    <n v="10"/>
    <n v="2"/>
    <n v="14"/>
    <n v="5"/>
    <n v="2"/>
    <m/>
    <m/>
  </r>
  <r>
    <x v="42"/>
    <x v="55"/>
    <x v="28"/>
    <m/>
    <n v="40"/>
    <n v="7"/>
    <n v="4"/>
    <n v="2"/>
    <n v="5"/>
    <m/>
    <m/>
  </r>
  <r>
    <x v="42"/>
    <x v="59"/>
    <x v="29"/>
    <m/>
    <n v="14"/>
    <n v="5"/>
    <n v="5"/>
    <n v="1"/>
    <n v="5"/>
    <m/>
    <m/>
  </r>
  <r>
    <x v="43"/>
    <x v="15"/>
    <x v="3"/>
    <n v="568"/>
    <m/>
    <m/>
    <m/>
    <m/>
    <m/>
    <n v="96900"/>
    <m/>
  </r>
  <r>
    <x v="43"/>
    <x v="15"/>
    <x v="8"/>
    <n v="174"/>
    <m/>
    <m/>
    <m/>
    <m/>
    <m/>
    <n v="79400"/>
    <m/>
  </r>
  <r>
    <x v="43"/>
    <x v="15"/>
    <x v="4"/>
    <n v="590"/>
    <m/>
    <m/>
    <m/>
    <m/>
    <m/>
    <n v="329150"/>
    <m/>
  </r>
  <r>
    <x v="43"/>
    <x v="15"/>
    <x v="6"/>
    <n v="429"/>
    <m/>
    <m/>
    <m/>
    <m/>
    <m/>
    <n v="60000"/>
    <m/>
  </r>
  <r>
    <x v="43"/>
    <x v="15"/>
    <x v="11"/>
    <n v="378"/>
    <m/>
    <m/>
    <m/>
    <m/>
    <m/>
    <n v="370000"/>
    <m/>
  </r>
  <r>
    <x v="43"/>
    <x v="15"/>
    <x v="10"/>
    <n v="196"/>
    <m/>
    <m/>
    <m/>
    <m/>
    <m/>
    <n v="146400"/>
    <m/>
  </r>
  <r>
    <x v="43"/>
    <x v="15"/>
    <x v="0"/>
    <n v="561"/>
    <m/>
    <m/>
    <m/>
    <m/>
    <m/>
    <n v="489300"/>
    <m/>
  </r>
  <r>
    <x v="43"/>
    <x v="15"/>
    <x v="5"/>
    <n v="273"/>
    <m/>
    <m/>
    <m/>
    <m/>
    <m/>
    <n v="92950"/>
    <m/>
  </r>
  <r>
    <x v="43"/>
    <x v="15"/>
    <x v="9"/>
    <n v="464"/>
    <m/>
    <m/>
    <m/>
    <m/>
    <m/>
    <n v="243250"/>
    <m/>
  </r>
  <r>
    <x v="43"/>
    <x v="15"/>
    <x v="7"/>
    <n v="373"/>
    <m/>
    <m/>
    <m/>
    <m/>
    <m/>
    <n v="101500"/>
    <m/>
  </r>
  <r>
    <x v="43"/>
    <x v="15"/>
    <x v="2"/>
    <n v="594"/>
    <m/>
    <m/>
    <m/>
    <m/>
    <m/>
    <n v="405450"/>
    <m/>
  </r>
  <r>
    <x v="43"/>
    <x v="15"/>
    <x v="1"/>
    <n v="250"/>
    <m/>
    <m/>
    <m/>
    <m/>
    <m/>
    <n v="163000"/>
    <m/>
  </r>
  <r>
    <x v="43"/>
    <x v="15"/>
    <x v="12"/>
    <n v="417"/>
    <m/>
    <m/>
    <m/>
    <m/>
    <m/>
    <n v="57800"/>
    <m/>
  </r>
  <r>
    <x v="43"/>
    <x v="15"/>
    <x v="13"/>
    <n v="378"/>
    <m/>
    <m/>
    <m/>
    <m/>
    <m/>
    <n v="171390"/>
    <m/>
  </r>
  <r>
    <x v="43"/>
    <x v="15"/>
    <x v="14"/>
    <n v="429"/>
    <m/>
    <m/>
    <m/>
    <m/>
    <m/>
    <n v="191500"/>
    <m/>
  </r>
  <r>
    <x v="43"/>
    <x v="15"/>
    <x v="15"/>
    <n v="373"/>
    <m/>
    <m/>
    <m/>
    <m/>
    <m/>
    <n v="25500"/>
    <m/>
  </r>
  <r>
    <x v="43"/>
    <x v="15"/>
    <x v="16"/>
    <n v="191"/>
    <m/>
    <m/>
    <m/>
    <m/>
    <m/>
    <n v="106500"/>
    <m/>
  </r>
  <r>
    <x v="43"/>
    <x v="15"/>
    <x v="17"/>
    <n v="218"/>
    <m/>
    <m/>
    <m/>
    <m/>
    <m/>
    <n v="146500"/>
    <m/>
  </r>
  <r>
    <x v="43"/>
    <x v="15"/>
    <x v="18"/>
    <n v="241"/>
    <m/>
    <m/>
    <m/>
    <m/>
    <m/>
    <n v="91000"/>
    <m/>
  </r>
  <r>
    <x v="43"/>
    <x v="15"/>
    <x v="19"/>
    <n v="238"/>
    <m/>
    <m/>
    <m/>
    <m/>
    <m/>
    <n v="95500"/>
    <m/>
  </r>
  <r>
    <x v="43"/>
    <x v="15"/>
    <x v="20"/>
    <n v="332"/>
    <m/>
    <m/>
    <m/>
    <m/>
    <m/>
    <n v="91500"/>
    <m/>
  </r>
  <r>
    <x v="43"/>
    <x v="15"/>
    <x v="21"/>
    <n v="214"/>
    <m/>
    <m/>
    <m/>
    <m/>
    <m/>
    <n v="157950"/>
    <m/>
  </r>
  <r>
    <x v="43"/>
    <x v="15"/>
    <x v="22"/>
    <n v="155"/>
    <m/>
    <m/>
    <m/>
    <m/>
    <m/>
    <n v="66000"/>
    <m/>
  </r>
  <r>
    <x v="43"/>
    <x v="15"/>
    <x v="24"/>
    <n v="281"/>
    <m/>
    <m/>
    <m/>
    <m/>
    <m/>
    <n v="36500"/>
    <m/>
  </r>
  <r>
    <x v="43"/>
    <x v="15"/>
    <x v="25"/>
    <n v="234"/>
    <m/>
    <m/>
    <m/>
    <m/>
    <m/>
    <n v="13000"/>
    <m/>
  </r>
  <r>
    <x v="43"/>
    <x v="15"/>
    <x v="26"/>
    <n v="261"/>
    <m/>
    <m/>
    <m/>
    <m/>
    <m/>
    <n v="209400"/>
    <m/>
  </r>
  <r>
    <x v="43"/>
    <x v="15"/>
    <x v="27"/>
    <n v="110"/>
    <m/>
    <m/>
    <m/>
    <m/>
    <m/>
    <n v="26000"/>
    <m/>
  </r>
  <r>
    <x v="43"/>
    <x v="15"/>
    <x v="28"/>
    <n v="238"/>
    <m/>
    <m/>
    <m/>
    <m/>
    <m/>
    <n v="69950"/>
    <m/>
  </r>
  <r>
    <x v="43"/>
    <x v="15"/>
    <x v="29"/>
    <n v="278"/>
    <m/>
    <m/>
    <m/>
    <m/>
    <m/>
    <n v="25000"/>
    <m/>
  </r>
  <r>
    <x v="43"/>
    <x v="15"/>
    <x v="30"/>
    <n v="299"/>
    <m/>
    <m/>
    <m/>
    <m/>
    <m/>
    <n v="76000"/>
    <m/>
  </r>
  <r>
    <x v="43"/>
    <x v="0"/>
    <x v="0"/>
    <m/>
    <n v="37"/>
    <n v="5"/>
    <n v="80"/>
    <n v="6"/>
    <n v="25"/>
    <m/>
    <m/>
  </r>
  <r>
    <x v="43"/>
    <x v="56"/>
    <x v="0"/>
    <m/>
    <n v="17"/>
    <n v="3"/>
    <n v="17"/>
    <n v="0"/>
    <n v="9"/>
    <m/>
    <m/>
  </r>
  <r>
    <x v="43"/>
    <x v="57"/>
    <x v="10"/>
    <m/>
    <n v="27"/>
    <n v="2"/>
    <n v="53"/>
    <n v="6"/>
    <n v="11"/>
    <m/>
    <m/>
  </r>
  <r>
    <x v="43"/>
    <x v="57"/>
    <x v="30"/>
    <m/>
    <n v="15"/>
    <n v="1"/>
    <n v="8"/>
    <n v="2"/>
    <n v="6"/>
    <m/>
    <m/>
  </r>
  <r>
    <x v="43"/>
    <x v="7"/>
    <x v="2"/>
    <m/>
    <n v="20"/>
    <n v="13"/>
    <n v="31"/>
    <n v="21"/>
    <n v="16"/>
    <m/>
    <m/>
  </r>
  <r>
    <x v="43"/>
    <x v="60"/>
    <x v="2"/>
    <m/>
    <n v="38"/>
    <n v="23"/>
    <n v="22"/>
    <n v="15"/>
    <n v="15"/>
    <m/>
    <m/>
  </r>
  <r>
    <x v="43"/>
    <x v="4"/>
    <x v="5"/>
    <m/>
    <n v="37"/>
    <n v="1"/>
    <n v="31"/>
    <n v="1"/>
    <n v="7"/>
    <m/>
    <m/>
  </r>
  <r>
    <x v="43"/>
    <x v="51"/>
    <x v="6"/>
    <m/>
    <n v="20"/>
    <n v="3"/>
    <n v="13"/>
    <n v="1"/>
    <n v="5"/>
    <m/>
    <m/>
  </r>
  <r>
    <x v="43"/>
    <x v="50"/>
    <x v="3"/>
    <m/>
    <n v="2"/>
    <n v="0"/>
    <n v="8"/>
    <n v="0"/>
    <n v="2"/>
    <m/>
    <m/>
  </r>
  <r>
    <x v="43"/>
    <x v="43"/>
    <x v="3"/>
    <m/>
    <n v="31"/>
    <n v="7"/>
    <n v="18"/>
    <n v="6"/>
    <n v="5"/>
    <m/>
    <m/>
  </r>
  <r>
    <x v="43"/>
    <x v="43"/>
    <x v="4"/>
    <m/>
    <n v="6"/>
    <n v="0"/>
    <n v="7"/>
    <n v="2"/>
    <n v="4"/>
    <m/>
    <m/>
  </r>
  <r>
    <x v="43"/>
    <x v="46"/>
    <x v="4"/>
    <m/>
    <n v="1"/>
    <n v="0"/>
    <n v="1"/>
    <n v="0"/>
    <n v="1"/>
    <m/>
    <m/>
  </r>
  <r>
    <x v="43"/>
    <x v="16"/>
    <x v="4"/>
    <m/>
    <n v="1"/>
    <n v="0"/>
    <n v="0"/>
    <n v="0"/>
    <n v="1"/>
    <m/>
    <m/>
  </r>
  <r>
    <x v="43"/>
    <x v="50"/>
    <x v="4"/>
    <m/>
    <n v="42"/>
    <n v="11"/>
    <n v="38"/>
    <n v="5"/>
    <n v="19"/>
    <m/>
    <m/>
  </r>
  <r>
    <x v="43"/>
    <x v="58"/>
    <x v="9"/>
    <m/>
    <n v="39"/>
    <n v="8"/>
    <n v="35"/>
    <n v="5"/>
    <n v="10"/>
    <m/>
    <m/>
  </r>
  <r>
    <x v="43"/>
    <x v="10"/>
    <x v="9"/>
    <m/>
    <n v="41"/>
    <n v="10"/>
    <n v="24"/>
    <n v="0"/>
    <n v="8"/>
    <m/>
    <m/>
  </r>
  <r>
    <x v="43"/>
    <x v="37"/>
    <x v="1"/>
    <m/>
    <n v="0"/>
    <n v="5"/>
    <n v="0"/>
    <n v="0"/>
    <n v="2"/>
    <m/>
    <m/>
  </r>
  <r>
    <x v="43"/>
    <x v="52"/>
    <x v="1"/>
    <m/>
    <n v="15"/>
    <n v="1"/>
    <n v="23"/>
    <n v="10"/>
    <n v="10"/>
    <m/>
    <m/>
  </r>
  <r>
    <x v="43"/>
    <x v="14"/>
    <x v="11"/>
    <m/>
    <m/>
    <m/>
    <m/>
    <m/>
    <n v="13"/>
    <m/>
    <m/>
  </r>
  <r>
    <x v="43"/>
    <x v="37"/>
    <x v="11"/>
    <m/>
    <m/>
    <m/>
    <m/>
    <m/>
    <n v="11"/>
    <m/>
    <m/>
  </r>
  <r>
    <x v="43"/>
    <x v="46"/>
    <x v="8"/>
    <m/>
    <n v="13"/>
    <n v="0"/>
    <n v="11"/>
    <n v="0"/>
    <n v="6"/>
    <m/>
    <m/>
  </r>
  <r>
    <x v="43"/>
    <x v="22"/>
    <x v="7"/>
    <m/>
    <n v="25"/>
    <n v="9"/>
    <n v="11"/>
    <n v="1"/>
    <n v="7"/>
    <m/>
    <m/>
  </r>
  <r>
    <x v="43"/>
    <x v="64"/>
    <x v="7"/>
    <m/>
    <n v="2"/>
    <n v="2"/>
    <n v="0"/>
    <n v="9"/>
    <n v="0"/>
    <m/>
    <m/>
  </r>
  <r>
    <x v="43"/>
    <x v="61"/>
    <x v="12"/>
    <m/>
    <n v="25"/>
    <n v="7"/>
    <n v="20"/>
    <n v="5"/>
    <n v="4"/>
    <m/>
    <m/>
  </r>
  <r>
    <x v="43"/>
    <x v="19"/>
    <x v="13"/>
    <m/>
    <n v="15"/>
    <n v="7"/>
    <n v="15"/>
    <n v="4"/>
    <n v="14"/>
    <m/>
    <m/>
  </r>
  <r>
    <x v="43"/>
    <x v="47"/>
    <x v="14"/>
    <m/>
    <n v="12"/>
    <n v="8"/>
    <n v="6"/>
    <n v="4"/>
    <n v="5"/>
    <m/>
    <m/>
  </r>
  <r>
    <x v="43"/>
    <x v="53"/>
    <x v="14"/>
    <m/>
    <n v="26"/>
    <n v="12"/>
    <n v="14"/>
    <n v="3"/>
    <n v="9"/>
    <m/>
    <m/>
  </r>
  <r>
    <x v="43"/>
    <x v="21"/>
    <x v="15"/>
    <m/>
    <n v="7"/>
    <n v="7"/>
    <n v="19"/>
    <n v="16"/>
    <n v="2"/>
    <m/>
    <m/>
  </r>
  <r>
    <x v="43"/>
    <x v="45"/>
    <x v="16"/>
    <m/>
    <n v="29"/>
    <n v="1"/>
    <n v="10"/>
    <n v="1"/>
    <n v="9"/>
    <m/>
    <m/>
  </r>
  <r>
    <x v="43"/>
    <x v="62"/>
    <x v="24"/>
    <m/>
    <n v="19"/>
    <n v="10"/>
    <n v="6"/>
    <n v="1"/>
    <n v="3"/>
    <m/>
    <m/>
  </r>
  <r>
    <x v="43"/>
    <x v="63"/>
    <x v="17"/>
    <m/>
    <n v="17"/>
    <n v="5"/>
    <n v="16"/>
    <n v="0"/>
    <n v="13"/>
    <m/>
    <m/>
  </r>
  <r>
    <x v="43"/>
    <x v="33"/>
    <x v="18"/>
    <m/>
    <n v="16"/>
    <n v="12"/>
    <n v="17"/>
    <n v="5"/>
    <n v="8"/>
    <m/>
    <m/>
  </r>
  <r>
    <x v="43"/>
    <x v="56"/>
    <x v="20"/>
    <m/>
    <n v="12"/>
    <n v="0"/>
    <n v="20"/>
    <n v="1"/>
    <n v="7"/>
    <m/>
    <m/>
  </r>
  <r>
    <x v="43"/>
    <x v="38"/>
    <x v="21"/>
    <m/>
    <n v="24"/>
    <n v="9"/>
    <n v="32"/>
    <n v="9"/>
    <n v="12"/>
    <m/>
    <m/>
  </r>
  <r>
    <x v="43"/>
    <x v="40"/>
    <x v="19"/>
    <m/>
    <n v="6"/>
    <n v="2"/>
    <n v="8"/>
    <n v="0"/>
    <n v="8"/>
    <m/>
    <m/>
  </r>
  <r>
    <x v="43"/>
    <x v="41"/>
    <x v="22"/>
    <m/>
    <n v="13"/>
    <n v="2"/>
    <n v="24"/>
    <n v="5"/>
    <n v="5"/>
    <m/>
    <m/>
  </r>
  <r>
    <x v="43"/>
    <x v="48"/>
    <x v="25"/>
    <m/>
    <n v="8"/>
    <n v="2"/>
    <n v="4"/>
    <n v="1"/>
    <n v="1"/>
    <m/>
    <m/>
  </r>
  <r>
    <x v="43"/>
    <x v="49"/>
    <x v="26"/>
    <m/>
    <n v="24"/>
    <n v="2"/>
    <n v="28"/>
    <n v="4"/>
    <n v="8"/>
    <m/>
    <m/>
  </r>
  <r>
    <x v="43"/>
    <x v="51"/>
    <x v="26"/>
    <m/>
    <n v="0"/>
    <n v="5"/>
    <n v="0"/>
    <n v="0"/>
    <n v="5"/>
    <m/>
    <m/>
  </r>
  <r>
    <x v="43"/>
    <x v="54"/>
    <x v="27"/>
    <m/>
    <n v="12"/>
    <n v="1"/>
    <n v="8"/>
    <n v="3"/>
    <n v="2"/>
    <m/>
    <m/>
  </r>
  <r>
    <x v="43"/>
    <x v="55"/>
    <x v="28"/>
    <m/>
    <n v="15"/>
    <n v="0"/>
    <n v="3"/>
    <n v="0"/>
    <n v="5"/>
    <m/>
    <m/>
  </r>
  <r>
    <x v="43"/>
    <x v="59"/>
    <x v="29"/>
    <m/>
    <n v="6"/>
    <n v="4"/>
    <n v="6"/>
    <n v="3"/>
    <n v="2"/>
    <m/>
    <m/>
  </r>
  <r>
    <x v="44"/>
    <x v="15"/>
    <x v="3"/>
    <n v="576"/>
    <m/>
    <m/>
    <m/>
    <m/>
    <m/>
    <n v="189700"/>
    <m/>
  </r>
  <r>
    <x v="44"/>
    <x v="15"/>
    <x v="8"/>
    <n v="402"/>
    <m/>
    <m/>
    <m/>
    <m/>
    <m/>
    <n v="142450"/>
    <m/>
  </r>
  <r>
    <x v="44"/>
    <x v="15"/>
    <x v="4"/>
    <n v="413"/>
    <m/>
    <m/>
    <m/>
    <m/>
    <m/>
    <n v="249450"/>
    <m/>
  </r>
  <r>
    <x v="44"/>
    <x v="15"/>
    <x v="6"/>
    <n v="438"/>
    <m/>
    <m/>
    <m/>
    <m/>
    <m/>
    <n v="110000"/>
    <m/>
  </r>
  <r>
    <x v="44"/>
    <x v="15"/>
    <x v="11"/>
    <n v="452"/>
    <m/>
    <m/>
    <m/>
    <m/>
    <m/>
    <n v="536300"/>
    <m/>
  </r>
  <r>
    <x v="44"/>
    <x v="15"/>
    <x v="10"/>
    <n v="267"/>
    <m/>
    <m/>
    <m/>
    <m/>
    <m/>
    <n v="138000"/>
    <m/>
  </r>
  <r>
    <x v="44"/>
    <x v="15"/>
    <x v="0"/>
    <n v="471"/>
    <m/>
    <m/>
    <m/>
    <m/>
    <m/>
    <n v="597000"/>
    <m/>
  </r>
  <r>
    <x v="44"/>
    <x v="15"/>
    <x v="5"/>
    <n v="306"/>
    <m/>
    <m/>
    <m/>
    <m/>
    <m/>
    <n v="121900"/>
    <m/>
  </r>
  <r>
    <x v="44"/>
    <x v="15"/>
    <x v="9"/>
    <n v="441"/>
    <m/>
    <m/>
    <m/>
    <m/>
    <m/>
    <n v="401750"/>
    <m/>
  </r>
  <r>
    <x v="44"/>
    <x v="15"/>
    <x v="7"/>
    <n v="466"/>
    <m/>
    <m/>
    <m/>
    <m/>
    <m/>
    <n v="152950"/>
    <m/>
  </r>
  <r>
    <x v="44"/>
    <x v="15"/>
    <x v="2"/>
    <n v="679"/>
    <m/>
    <m/>
    <m/>
    <m/>
    <m/>
    <n v="477550"/>
    <m/>
  </r>
  <r>
    <x v="44"/>
    <x v="15"/>
    <x v="1"/>
    <n v="438"/>
    <m/>
    <m/>
    <m/>
    <m/>
    <m/>
    <n v="213000"/>
    <m/>
  </r>
  <r>
    <x v="44"/>
    <x v="15"/>
    <x v="12"/>
    <n v="545"/>
    <m/>
    <m/>
    <m/>
    <m/>
    <m/>
    <n v="134150"/>
    <m/>
  </r>
  <r>
    <x v="44"/>
    <x v="15"/>
    <x v="13"/>
    <n v="553"/>
    <m/>
    <m/>
    <m/>
    <m/>
    <m/>
    <n v="159990"/>
    <m/>
  </r>
  <r>
    <x v="44"/>
    <x v="15"/>
    <x v="14"/>
    <n v="471"/>
    <m/>
    <m/>
    <m/>
    <m/>
    <m/>
    <n v="159450"/>
    <m/>
  </r>
  <r>
    <x v="44"/>
    <x v="15"/>
    <x v="15"/>
    <n v="413"/>
    <m/>
    <m/>
    <m/>
    <m/>
    <m/>
    <n v="75500"/>
    <m/>
  </r>
  <r>
    <x v="44"/>
    <x v="15"/>
    <x v="16"/>
    <n v="276"/>
    <m/>
    <m/>
    <m/>
    <m/>
    <m/>
    <n v="158000"/>
    <m/>
  </r>
  <r>
    <x v="44"/>
    <x v="15"/>
    <x v="17"/>
    <n v="230"/>
    <m/>
    <m/>
    <m/>
    <m/>
    <m/>
    <n v="186500"/>
    <m/>
  </r>
  <r>
    <x v="44"/>
    <x v="15"/>
    <x v="18"/>
    <n v="299"/>
    <m/>
    <m/>
    <m/>
    <m/>
    <m/>
    <n v="107500"/>
    <m/>
  </r>
  <r>
    <x v="44"/>
    <x v="15"/>
    <x v="19"/>
    <n v="252"/>
    <m/>
    <m/>
    <m/>
    <m/>
    <m/>
    <n v="84000"/>
    <m/>
  </r>
  <r>
    <x v="44"/>
    <x v="15"/>
    <x v="20"/>
    <n v="416"/>
    <m/>
    <m/>
    <m/>
    <m/>
    <m/>
    <n v="78500"/>
    <m/>
  </r>
  <r>
    <x v="44"/>
    <x v="15"/>
    <x v="21"/>
    <n v="329"/>
    <m/>
    <m/>
    <m/>
    <m/>
    <m/>
    <n v="134000"/>
    <m/>
  </r>
  <r>
    <x v="44"/>
    <x v="15"/>
    <x v="22"/>
    <n v="208"/>
    <m/>
    <m/>
    <m/>
    <m/>
    <m/>
    <n v="77500"/>
    <m/>
  </r>
  <r>
    <x v="44"/>
    <x v="15"/>
    <x v="24"/>
    <n v="243"/>
    <m/>
    <m/>
    <m/>
    <m/>
    <m/>
    <n v="92297"/>
    <m/>
  </r>
  <r>
    <x v="44"/>
    <x v="15"/>
    <x v="25"/>
    <n v="211"/>
    <m/>
    <m/>
    <m/>
    <m/>
    <m/>
    <n v="54000"/>
    <m/>
  </r>
  <r>
    <x v="44"/>
    <x v="15"/>
    <x v="26"/>
    <n v="306"/>
    <m/>
    <m/>
    <m/>
    <m/>
    <m/>
    <n v="236600"/>
    <m/>
  </r>
  <r>
    <x v="44"/>
    <x v="15"/>
    <x v="27"/>
    <n v="109"/>
    <m/>
    <m/>
    <m/>
    <m/>
    <m/>
    <n v="51000"/>
    <m/>
  </r>
  <r>
    <x v="44"/>
    <x v="15"/>
    <x v="28"/>
    <n v="259"/>
    <m/>
    <m/>
    <m/>
    <m/>
    <m/>
    <n v="64500"/>
    <m/>
  </r>
  <r>
    <x v="44"/>
    <x v="15"/>
    <x v="29"/>
    <n v="243"/>
    <m/>
    <m/>
    <m/>
    <m/>
    <m/>
    <n v="52200"/>
    <m/>
  </r>
  <r>
    <x v="44"/>
    <x v="15"/>
    <x v="30"/>
    <n v="292"/>
    <m/>
    <m/>
    <m/>
    <m/>
    <m/>
    <n v="129900"/>
    <m/>
  </r>
  <r>
    <x v="44"/>
    <x v="0"/>
    <x v="0"/>
    <m/>
    <n v="47"/>
    <n v="8"/>
    <n v="102"/>
    <n v="5"/>
    <n v="30"/>
    <m/>
    <m/>
  </r>
  <r>
    <x v="44"/>
    <x v="56"/>
    <x v="0"/>
    <m/>
    <n v="22"/>
    <n v="3"/>
    <n v="31"/>
    <n v="1"/>
    <n v="12"/>
    <m/>
    <m/>
  </r>
  <r>
    <x v="44"/>
    <x v="57"/>
    <x v="10"/>
    <m/>
    <n v="25"/>
    <n v="2"/>
    <n v="49"/>
    <n v="4"/>
    <n v="11"/>
    <m/>
    <m/>
  </r>
  <r>
    <x v="44"/>
    <x v="57"/>
    <x v="30"/>
    <m/>
    <n v="35"/>
    <n v="0"/>
    <n v="13"/>
    <n v="0"/>
    <n v="10"/>
    <m/>
    <m/>
  </r>
  <r>
    <x v="44"/>
    <x v="7"/>
    <x v="2"/>
    <m/>
    <n v="31"/>
    <n v="10"/>
    <n v="38"/>
    <n v="13"/>
    <n v="21"/>
    <m/>
    <m/>
  </r>
  <r>
    <x v="44"/>
    <x v="60"/>
    <x v="2"/>
    <m/>
    <n v="31"/>
    <n v="28"/>
    <n v="26"/>
    <n v="12"/>
    <n v="14"/>
    <m/>
    <m/>
  </r>
  <r>
    <x v="44"/>
    <x v="4"/>
    <x v="5"/>
    <m/>
    <n v="38"/>
    <n v="2"/>
    <n v="21"/>
    <n v="3"/>
    <n v="9"/>
    <m/>
    <m/>
  </r>
  <r>
    <x v="44"/>
    <x v="51"/>
    <x v="6"/>
    <m/>
    <n v="34"/>
    <n v="6"/>
    <n v="29"/>
    <n v="4"/>
    <n v="9"/>
    <m/>
    <m/>
  </r>
  <r>
    <x v="44"/>
    <x v="50"/>
    <x v="3"/>
    <m/>
    <n v="1"/>
    <n v="0"/>
    <n v="11"/>
    <n v="0"/>
    <n v="1"/>
    <m/>
    <m/>
  </r>
  <r>
    <x v="44"/>
    <x v="43"/>
    <x v="3"/>
    <m/>
    <n v="17"/>
    <n v="7"/>
    <n v="13"/>
    <n v="6"/>
    <n v="12"/>
    <m/>
    <m/>
  </r>
  <r>
    <x v="45"/>
    <x v="46"/>
    <x v="3"/>
    <m/>
    <n v="0"/>
    <n v="2"/>
    <n v="0"/>
    <n v="0"/>
    <n v="2"/>
    <m/>
    <m/>
  </r>
  <r>
    <x v="44"/>
    <x v="43"/>
    <x v="4"/>
    <m/>
    <n v="3"/>
    <n v="1"/>
    <n v="5"/>
    <n v="1"/>
    <n v="1"/>
    <m/>
    <m/>
  </r>
  <r>
    <x v="44"/>
    <x v="46"/>
    <x v="4"/>
    <m/>
    <n v="2"/>
    <n v="0"/>
    <n v="2"/>
    <n v="0"/>
    <n v="1"/>
    <m/>
    <m/>
  </r>
  <r>
    <x v="44"/>
    <x v="50"/>
    <x v="4"/>
    <m/>
    <n v="48"/>
    <n v="10"/>
    <n v="48"/>
    <n v="10"/>
    <n v="17"/>
    <m/>
    <m/>
  </r>
  <r>
    <x v="44"/>
    <x v="58"/>
    <x v="9"/>
    <m/>
    <n v="24"/>
    <n v="5"/>
    <n v="32"/>
    <n v="3"/>
    <n v="11"/>
    <m/>
    <m/>
  </r>
  <r>
    <x v="44"/>
    <x v="10"/>
    <x v="9"/>
    <m/>
    <n v="31"/>
    <n v="4"/>
    <n v="51"/>
    <n v="2"/>
    <n v="19"/>
    <m/>
    <m/>
  </r>
  <r>
    <x v="44"/>
    <x v="37"/>
    <x v="1"/>
    <m/>
    <n v="0"/>
    <n v="6"/>
    <n v="0"/>
    <n v="6"/>
    <n v="3"/>
    <m/>
    <m/>
  </r>
  <r>
    <x v="44"/>
    <x v="52"/>
    <x v="1"/>
    <m/>
    <n v="7"/>
    <n v="1"/>
    <n v="23"/>
    <n v="5"/>
    <n v="12"/>
    <m/>
    <m/>
  </r>
  <r>
    <x v="45"/>
    <x v="65"/>
    <x v="1"/>
    <m/>
    <n v="17"/>
    <n v="4"/>
    <n v="0"/>
    <n v="0"/>
    <n v="1"/>
    <m/>
    <m/>
  </r>
  <r>
    <x v="44"/>
    <x v="14"/>
    <x v="11"/>
    <m/>
    <n v="26"/>
    <n v="0"/>
    <n v="33"/>
    <n v="0"/>
    <n v="20"/>
    <m/>
    <m/>
  </r>
  <r>
    <x v="44"/>
    <x v="37"/>
    <x v="11"/>
    <m/>
    <n v="27"/>
    <n v="0"/>
    <n v="22"/>
    <n v="0"/>
    <n v="14"/>
    <m/>
    <m/>
  </r>
  <r>
    <x v="44"/>
    <x v="46"/>
    <x v="8"/>
    <m/>
    <n v="31"/>
    <n v="0"/>
    <n v="22"/>
    <n v="0"/>
    <n v="11"/>
    <m/>
    <m/>
  </r>
  <r>
    <x v="44"/>
    <x v="22"/>
    <x v="7"/>
    <m/>
    <n v="20"/>
    <n v="8"/>
    <n v="32"/>
    <n v="9"/>
    <n v="10"/>
    <m/>
    <m/>
  </r>
  <r>
    <x v="44"/>
    <x v="64"/>
    <x v="7"/>
    <m/>
    <n v="8"/>
    <n v="13"/>
    <n v="0"/>
    <n v="0"/>
    <n v="1"/>
    <m/>
    <m/>
  </r>
  <r>
    <x v="44"/>
    <x v="61"/>
    <x v="12"/>
    <m/>
    <n v="25"/>
    <n v="5"/>
    <n v="15"/>
    <n v="8"/>
    <n v="10"/>
    <m/>
    <m/>
  </r>
  <r>
    <x v="44"/>
    <x v="19"/>
    <x v="13"/>
    <m/>
    <n v="33"/>
    <n v="5"/>
    <n v="17"/>
    <n v="7"/>
    <n v="13"/>
    <m/>
    <m/>
  </r>
  <r>
    <x v="44"/>
    <x v="47"/>
    <x v="14"/>
    <m/>
    <n v="15"/>
    <n v="16"/>
    <n v="13"/>
    <n v="7"/>
    <n v="3"/>
    <m/>
    <m/>
  </r>
  <r>
    <x v="44"/>
    <x v="53"/>
    <x v="14"/>
    <m/>
    <n v="31"/>
    <n v="13"/>
    <n v="21"/>
    <n v="9"/>
    <n v="9"/>
    <m/>
    <m/>
  </r>
  <r>
    <x v="44"/>
    <x v="21"/>
    <x v="15"/>
    <m/>
    <n v="23"/>
    <n v="2"/>
    <n v="25"/>
    <n v="5"/>
    <n v="6"/>
    <m/>
    <m/>
  </r>
  <r>
    <x v="44"/>
    <x v="45"/>
    <x v="16"/>
    <m/>
    <n v="30"/>
    <n v="4"/>
    <n v="11"/>
    <n v="2"/>
    <n v="13"/>
    <m/>
    <m/>
  </r>
  <r>
    <x v="44"/>
    <x v="62"/>
    <x v="16"/>
    <m/>
    <n v="7"/>
    <n v="1"/>
    <n v="1"/>
    <n v="0"/>
    <n v="1"/>
    <m/>
    <m/>
  </r>
  <r>
    <x v="44"/>
    <x v="62"/>
    <x v="24"/>
    <m/>
    <n v="21"/>
    <n v="2"/>
    <n v="8"/>
    <n v="0"/>
    <n v="7"/>
    <m/>
    <m/>
  </r>
  <r>
    <x v="44"/>
    <x v="63"/>
    <x v="17"/>
    <m/>
    <n v="20"/>
    <n v="4"/>
    <n v="16"/>
    <n v="3"/>
    <n v="15"/>
    <m/>
    <m/>
  </r>
  <r>
    <x v="44"/>
    <x v="33"/>
    <x v="18"/>
    <m/>
    <n v="9"/>
    <n v="33"/>
    <n v="17"/>
    <n v="9"/>
    <n v="8"/>
    <m/>
    <m/>
  </r>
  <r>
    <x v="44"/>
    <x v="56"/>
    <x v="20"/>
    <m/>
    <n v="22"/>
    <n v="0"/>
    <n v="16"/>
    <n v="0"/>
    <n v="6"/>
    <m/>
    <m/>
  </r>
  <r>
    <x v="44"/>
    <x v="38"/>
    <x v="21"/>
    <m/>
    <n v="27"/>
    <n v="12"/>
    <n v="37"/>
    <n v="5"/>
    <n v="10"/>
    <m/>
    <m/>
  </r>
  <r>
    <x v="44"/>
    <x v="40"/>
    <x v="19"/>
    <m/>
    <n v="25"/>
    <n v="1"/>
    <n v="19"/>
    <n v="0"/>
    <n v="7"/>
    <m/>
    <m/>
  </r>
  <r>
    <x v="44"/>
    <x v="41"/>
    <x v="22"/>
    <m/>
    <n v="10"/>
    <n v="6"/>
    <n v="13"/>
    <n v="0"/>
    <n v="6"/>
    <m/>
    <m/>
  </r>
  <r>
    <x v="44"/>
    <x v="48"/>
    <x v="25"/>
    <m/>
    <n v="31"/>
    <n v="5"/>
    <n v="20"/>
    <n v="5"/>
    <n v="4"/>
    <m/>
    <m/>
  </r>
  <r>
    <x v="44"/>
    <x v="49"/>
    <x v="26"/>
    <m/>
    <n v="23"/>
    <n v="1"/>
    <n v="23"/>
    <n v="2"/>
    <n v="14"/>
    <m/>
    <m/>
  </r>
  <r>
    <x v="44"/>
    <x v="51"/>
    <x v="26"/>
    <m/>
    <n v="0"/>
    <n v="1"/>
    <n v="0"/>
    <n v="0"/>
    <n v="1"/>
    <m/>
    <m/>
  </r>
  <r>
    <x v="44"/>
    <x v="54"/>
    <x v="27"/>
    <m/>
    <n v="12"/>
    <n v="4"/>
    <n v="9"/>
    <n v="0"/>
    <n v="4"/>
    <m/>
    <m/>
  </r>
  <r>
    <x v="44"/>
    <x v="55"/>
    <x v="28"/>
    <m/>
    <n v="25"/>
    <n v="5"/>
    <n v="11"/>
    <n v="0"/>
    <n v="5"/>
    <m/>
    <m/>
  </r>
  <r>
    <x v="44"/>
    <x v="59"/>
    <x v="29"/>
    <m/>
    <n v="11"/>
    <n v="8"/>
    <n v="8"/>
    <n v="0"/>
    <n v="4"/>
    <m/>
    <m/>
  </r>
  <r>
    <x v="46"/>
    <x v="15"/>
    <x v="3"/>
    <n v="398"/>
    <m/>
    <m/>
    <m/>
    <m/>
    <m/>
    <n v="132500"/>
    <m/>
  </r>
  <r>
    <x v="46"/>
    <x v="15"/>
    <x v="8"/>
    <n v="341"/>
    <m/>
    <m/>
    <m/>
    <m/>
    <m/>
    <n v="114500"/>
    <m/>
  </r>
  <r>
    <x v="46"/>
    <x v="15"/>
    <x v="4"/>
    <n v="460"/>
    <m/>
    <m/>
    <m/>
    <m/>
    <m/>
    <n v="262950"/>
    <m/>
  </r>
  <r>
    <x v="46"/>
    <x v="15"/>
    <x v="6"/>
    <n v="208"/>
    <m/>
    <m/>
    <m/>
    <m/>
    <m/>
    <n v="96200"/>
    <m/>
  </r>
  <r>
    <x v="46"/>
    <x v="15"/>
    <x v="11"/>
    <n v="311"/>
    <m/>
    <m/>
    <m/>
    <m/>
    <m/>
    <n v="451900"/>
    <m/>
  </r>
  <r>
    <x v="46"/>
    <x v="15"/>
    <x v="10"/>
    <n v="250"/>
    <m/>
    <m/>
    <m/>
    <m/>
    <m/>
    <n v="188950"/>
    <m/>
  </r>
  <r>
    <x v="46"/>
    <x v="15"/>
    <x v="0"/>
    <n v="355"/>
    <m/>
    <m/>
    <m/>
    <m/>
    <m/>
    <n v="605500"/>
    <m/>
  </r>
  <r>
    <x v="46"/>
    <x v="15"/>
    <x v="5"/>
    <n v="216"/>
    <m/>
    <m/>
    <m/>
    <m/>
    <m/>
    <n v="39500"/>
    <m/>
  </r>
  <r>
    <x v="46"/>
    <x v="15"/>
    <x v="9"/>
    <n v="418"/>
    <m/>
    <m/>
    <m/>
    <m/>
    <m/>
    <n v="337800"/>
    <m/>
  </r>
  <r>
    <x v="46"/>
    <x v="15"/>
    <x v="7"/>
    <n v="364"/>
    <m/>
    <m/>
    <m/>
    <m/>
    <m/>
    <n v="168950"/>
    <m/>
  </r>
  <r>
    <x v="46"/>
    <x v="15"/>
    <x v="2"/>
    <n v="539"/>
    <m/>
    <m/>
    <m/>
    <m/>
    <m/>
    <n v="527600"/>
    <m/>
  </r>
  <r>
    <x v="46"/>
    <x v="15"/>
    <x v="1"/>
    <n v="450"/>
    <m/>
    <m/>
    <m/>
    <m/>
    <m/>
    <n v="348800"/>
    <m/>
  </r>
  <r>
    <x v="46"/>
    <x v="15"/>
    <x v="12"/>
    <n v="360"/>
    <m/>
    <m/>
    <m/>
    <m/>
    <m/>
    <n v="134600"/>
    <m/>
  </r>
  <r>
    <x v="46"/>
    <x v="15"/>
    <x v="13"/>
    <n v="442"/>
    <m/>
    <m/>
    <m/>
    <m/>
    <m/>
    <n v="219970"/>
    <m/>
  </r>
  <r>
    <x v="46"/>
    <x v="15"/>
    <x v="14"/>
    <n v="394"/>
    <m/>
    <m/>
    <m/>
    <m/>
    <m/>
    <n v="262900"/>
    <m/>
  </r>
  <r>
    <x v="46"/>
    <x v="15"/>
    <x v="15"/>
    <n v="313"/>
    <m/>
    <m/>
    <m/>
    <m/>
    <m/>
    <n v="49500"/>
    <m/>
  </r>
  <r>
    <x v="46"/>
    <x v="15"/>
    <x v="16"/>
    <n v="222"/>
    <m/>
    <m/>
    <m/>
    <m/>
    <m/>
    <n v="160500"/>
    <m/>
  </r>
  <r>
    <x v="46"/>
    <x v="15"/>
    <x v="17"/>
    <n v="174"/>
    <m/>
    <m/>
    <m/>
    <m/>
    <m/>
    <n v="117000"/>
    <m/>
  </r>
  <r>
    <x v="46"/>
    <x v="15"/>
    <x v="18"/>
    <n v="221"/>
    <m/>
    <m/>
    <m/>
    <m/>
    <m/>
    <n v="103500"/>
    <m/>
  </r>
  <r>
    <x v="46"/>
    <x v="15"/>
    <x v="19"/>
    <n v="209"/>
    <m/>
    <m/>
    <m/>
    <m/>
    <m/>
    <n v="108000"/>
    <m/>
  </r>
  <r>
    <x v="46"/>
    <x v="15"/>
    <x v="20"/>
    <n v="209"/>
    <m/>
    <m/>
    <m/>
    <m/>
    <m/>
    <n v="120100"/>
    <m/>
  </r>
  <r>
    <x v="46"/>
    <x v="15"/>
    <x v="21"/>
    <n v="189"/>
    <m/>
    <m/>
    <m/>
    <m/>
    <m/>
    <n v="105800"/>
    <m/>
  </r>
  <r>
    <x v="46"/>
    <x v="15"/>
    <x v="22"/>
    <n v="147"/>
    <m/>
    <m/>
    <m/>
    <m/>
    <m/>
    <n v="0"/>
    <m/>
  </r>
  <r>
    <x v="46"/>
    <x v="15"/>
    <x v="24"/>
    <n v="211"/>
    <m/>
    <m/>
    <m/>
    <m/>
    <m/>
    <n v="77400"/>
    <m/>
  </r>
  <r>
    <x v="46"/>
    <x v="15"/>
    <x v="25"/>
    <n v="154"/>
    <m/>
    <m/>
    <m/>
    <m/>
    <m/>
    <n v="163800"/>
    <m/>
  </r>
  <r>
    <x v="46"/>
    <x v="15"/>
    <x v="26"/>
    <n v="246"/>
    <m/>
    <m/>
    <m/>
    <m/>
    <m/>
    <n v="149400"/>
    <m/>
  </r>
  <r>
    <x v="46"/>
    <x v="15"/>
    <x v="27"/>
    <n v="82"/>
    <m/>
    <m/>
    <m/>
    <m/>
    <m/>
    <n v="60000"/>
    <m/>
  </r>
  <r>
    <x v="46"/>
    <x v="15"/>
    <x v="28"/>
    <n v="37"/>
    <m/>
    <m/>
    <m/>
    <m/>
    <m/>
    <n v="13740"/>
    <m/>
  </r>
  <r>
    <x v="46"/>
    <x v="15"/>
    <x v="29"/>
    <n v="152"/>
    <m/>
    <m/>
    <m/>
    <m/>
    <m/>
    <n v="54000"/>
    <m/>
  </r>
  <r>
    <x v="46"/>
    <x v="15"/>
    <x v="30"/>
    <n v="230"/>
    <m/>
    <m/>
    <m/>
    <m/>
    <m/>
    <n v="89400"/>
    <m/>
  </r>
  <r>
    <x v="46"/>
    <x v="0"/>
    <x v="0"/>
    <m/>
    <n v="37"/>
    <n v="5"/>
    <n v="65"/>
    <n v="9"/>
    <n v="28"/>
    <m/>
    <m/>
  </r>
  <r>
    <x v="46"/>
    <x v="56"/>
    <x v="0"/>
    <m/>
    <n v="11"/>
    <n v="4"/>
    <n v="29"/>
    <n v="1"/>
    <n v="13"/>
    <m/>
    <m/>
  </r>
  <r>
    <x v="46"/>
    <x v="57"/>
    <x v="10"/>
    <m/>
    <n v="22"/>
    <n v="1"/>
    <n v="45"/>
    <n v="9"/>
    <n v="15"/>
    <m/>
    <m/>
  </r>
  <r>
    <x v="46"/>
    <x v="57"/>
    <x v="30"/>
    <m/>
    <n v="19"/>
    <n v="3"/>
    <n v="13"/>
    <n v="1"/>
    <n v="7"/>
    <m/>
    <m/>
  </r>
  <r>
    <x v="46"/>
    <x v="7"/>
    <x v="2"/>
    <m/>
    <n v="14"/>
    <n v="10"/>
    <n v="22"/>
    <n v="6"/>
    <n v="15"/>
    <m/>
    <m/>
  </r>
  <r>
    <x v="46"/>
    <x v="60"/>
    <x v="2"/>
    <m/>
    <n v="31"/>
    <n v="28"/>
    <n v="19"/>
    <n v="11"/>
    <n v="24"/>
    <m/>
    <m/>
  </r>
  <r>
    <x v="46"/>
    <x v="4"/>
    <x v="5"/>
    <m/>
    <n v="20"/>
    <n v="2"/>
    <n v="12"/>
    <n v="1"/>
    <n v="3"/>
    <m/>
    <m/>
  </r>
  <r>
    <x v="46"/>
    <x v="51"/>
    <x v="6"/>
    <m/>
    <n v="8"/>
    <n v="1"/>
    <n v="11"/>
    <n v="0"/>
    <n v="8"/>
    <m/>
    <m/>
  </r>
  <r>
    <x v="46"/>
    <x v="50"/>
    <x v="3"/>
    <m/>
    <n v="2"/>
    <n v="0"/>
    <n v="4"/>
    <n v="2"/>
    <n v="2"/>
    <m/>
    <m/>
  </r>
  <r>
    <x v="46"/>
    <x v="43"/>
    <x v="3"/>
    <m/>
    <n v="33"/>
    <n v="1"/>
    <n v="11"/>
    <n v="7"/>
    <n v="8"/>
    <m/>
    <m/>
  </r>
  <r>
    <x v="46"/>
    <x v="43"/>
    <x v="4"/>
    <m/>
    <n v="4"/>
    <n v="1"/>
    <n v="2"/>
    <n v="2"/>
    <n v="2"/>
    <m/>
    <m/>
  </r>
  <r>
    <x v="46"/>
    <x v="46"/>
    <x v="4"/>
    <m/>
    <n v="1"/>
    <n v="0"/>
    <n v="0"/>
    <n v="0"/>
    <n v="1"/>
    <m/>
    <m/>
  </r>
  <r>
    <x v="46"/>
    <x v="50"/>
    <x v="4"/>
    <m/>
    <n v="34"/>
    <n v="10"/>
    <n v="34"/>
    <n v="5"/>
    <n v="17"/>
    <m/>
    <m/>
  </r>
  <r>
    <x v="47"/>
    <x v="16"/>
    <x v="4"/>
    <m/>
    <n v="1"/>
    <n v="0"/>
    <n v="0"/>
    <n v="0"/>
    <n v="1"/>
    <m/>
    <m/>
  </r>
  <r>
    <x v="46"/>
    <x v="58"/>
    <x v="9"/>
    <m/>
    <n v="46"/>
    <n v="8"/>
    <n v="36"/>
    <n v="6"/>
    <n v="15"/>
    <m/>
    <m/>
  </r>
  <r>
    <x v="46"/>
    <x v="10"/>
    <x v="9"/>
    <m/>
    <n v="29"/>
    <n v="2"/>
    <n v="47"/>
    <n v="2"/>
    <n v="10"/>
    <m/>
    <m/>
  </r>
  <r>
    <x v="46"/>
    <x v="37"/>
    <x v="1"/>
    <m/>
    <n v="1"/>
    <n v="5"/>
    <n v="0"/>
    <n v="4"/>
    <n v="9"/>
    <m/>
    <m/>
  </r>
  <r>
    <x v="46"/>
    <x v="52"/>
    <x v="1"/>
    <m/>
    <n v="2"/>
    <n v="0"/>
    <n v="23"/>
    <n v="10"/>
    <n v="2"/>
    <m/>
    <m/>
  </r>
  <r>
    <x v="46"/>
    <x v="65"/>
    <x v="1"/>
    <m/>
    <n v="31"/>
    <n v="18"/>
    <n v="34"/>
    <n v="5"/>
    <n v="16"/>
    <m/>
    <m/>
  </r>
  <r>
    <x v="46"/>
    <x v="14"/>
    <x v="11"/>
    <m/>
    <n v="30"/>
    <n v="0"/>
    <n v="37"/>
    <n v="0"/>
    <n v="23"/>
    <m/>
    <m/>
  </r>
  <r>
    <x v="46"/>
    <x v="37"/>
    <x v="11"/>
    <m/>
    <n v="23"/>
    <n v="0"/>
    <n v="16"/>
    <n v="0"/>
    <n v="7"/>
    <m/>
    <m/>
  </r>
  <r>
    <x v="46"/>
    <x v="46"/>
    <x v="8"/>
    <m/>
    <n v="27"/>
    <n v="1"/>
    <n v="17"/>
    <n v="0"/>
    <n v="9"/>
    <m/>
    <m/>
  </r>
  <r>
    <x v="46"/>
    <x v="22"/>
    <x v="7"/>
    <m/>
    <n v="16"/>
    <n v="3"/>
    <n v="25"/>
    <n v="4"/>
    <n v="10"/>
    <m/>
    <m/>
  </r>
  <r>
    <x v="46"/>
    <x v="64"/>
    <x v="7"/>
    <m/>
    <n v="9"/>
    <n v="4"/>
    <n v="1"/>
    <n v="1"/>
    <n v="2"/>
    <m/>
    <m/>
  </r>
  <r>
    <x v="46"/>
    <x v="61"/>
    <x v="12"/>
    <m/>
    <n v="24"/>
    <n v="8"/>
    <n v="29"/>
    <n v="6"/>
    <n v="10"/>
    <m/>
    <m/>
  </r>
  <r>
    <x v="46"/>
    <x v="19"/>
    <x v="13"/>
    <m/>
    <n v="30"/>
    <n v="8"/>
    <n v="21"/>
    <n v="2"/>
    <n v="18"/>
    <m/>
    <m/>
  </r>
  <r>
    <x v="46"/>
    <x v="47"/>
    <x v="14"/>
    <m/>
    <n v="7"/>
    <n v="2"/>
    <n v="11"/>
    <n v="11"/>
    <n v="4"/>
    <m/>
    <m/>
  </r>
  <r>
    <x v="46"/>
    <x v="53"/>
    <x v="14"/>
    <m/>
    <n v="28"/>
    <n v="14"/>
    <n v="18"/>
    <n v="2"/>
    <n v="16"/>
    <m/>
    <m/>
  </r>
  <r>
    <x v="46"/>
    <x v="21"/>
    <x v="15"/>
    <m/>
    <n v="14"/>
    <n v="8"/>
    <n v="18"/>
    <n v="12"/>
    <n v="4"/>
    <m/>
    <m/>
  </r>
  <r>
    <x v="46"/>
    <x v="45"/>
    <x v="16"/>
    <m/>
    <n v="38"/>
    <n v="1"/>
    <n v="15"/>
    <n v="2"/>
    <n v="12"/>
    <m/>
    <m/>
  </r>
  <r>
    <x v="46"/>
    <x v="62"/>
    <x v="16"/>
    <m/>
    <n v="7"/>
    <n v="0"/>
    <n v="2"/>
    <n v="0"/>
    <n v="1"/>
    <m/>
    <m/>
  </r>
  <r>
    <x v="46"/>
    <x v="62"/>
    <x v="24"/>
    <m/>
    <n v="10"/>
    <n v="6"/>
    <n v="4"/>
    <n v="3"/>
    <n v="6"/>
    <m/>
    <m/>
  </r>
  <r>
    <x v="46"/>
    <x v="63"/>
    <x v="17"/>
    <m/>
    <n v="7"/>
    <n v="10"/>
    <n v="23"/>
    <n v="2"/>
    <n v="10"/>
    <m/>
    <m/>
  </r>
  <r>
    <x v="46"/>
    <x v="33"/>
    <x v="18"/>
    <m/>
    <n v="6"/>
    <n v="16"/>
    <n v="16"/>
    <n v="4"/>
    <n v="8"/>
    <m/>
    <m/>
  </r>
  <r>
    <x v="46"/>
    <x v="56"/>
    <x v="20"/>
    <m/>
    <n v="16"/>
    <n v="0"/>
    <n v="17"/>
    <n v="0"/>
    <n v="9"/>
    <m/>
    <m/>
  </r>
  <r>
    <x v="46"/>
    <x v="38"/>
    <x v="21"/>
    <m/>
    <n v="20"/>
    <n v="3"/>
    <n v="24"/>
    <n v="6"/>
    <n v="8"/>
    <m/>
    <m/>
  </r>
  <r>
    <x v="46"/>
    <x v="40"/>
    <x v="19"/>
    <m/>
    <n v="22"/>
    <n v="3"/>
    <n v="12"/>
    <n v="1"/>
    <n v="9"/>
    <m/>
    <m/>
  </r>
  <r>
    <x v="46"/>
    <x v="41"/>
    <x v="22"/>
    <m/>
    <n v="9"/>
    <n v="5"/>
    <n v="11"/>
    <n v="1"/>
    <n v="0"/>
    <m/>
    <m/>
  </r>
  <r>
    <x v="46"/>
    <x v="48"/>
    <x v="25"/>
    <m/>
    <n v="16"/>
    <n v="1"/>
    <n v="16"/>
    <n v="3"/>
    <n v="12"/>
    <m/>
    <m/>
  </r>
  <r>
    <x v="46"/>
    <x v="49"/>
    <x v="26"/>
    <m/>
    <n v="36"/>
    <n v="2"/>
    <n v="26"/>
    <n v="5"/>
    <n v="10"/>
    <m/>
    <m/>
  </r>
  <r>
    <x v="46"/>
    <x v="54"/>
    <x v="27"/>
    <m/>
    <n v="11"/>
    <n v="2"/>
    <n v="8"/>
    <n v="0"/>
    <n v="5"/>
    <m/>
    <m/>
  </r>
  <r>
    <x v="46"/>
    <x v="55"/>
    <x v="28"/>
    <m/>
    <n v="4"/>
    <n v="0"/>
    <n v="7"/>
    <n v="5"/>
    <n v="1"/>
    <m/>
    <m/>
  </r>
  <r>
    <x v="46"/>
    <x v="59"/>
    <x v="29"/>
    <m/>
    <n v="9"/>
    <n v="3"/>
    <n v="5"/>
    <n v="5"/>
    <n v="4"/>
    <m/>
    <m/>
  </r>
  <r>
    <x v="48"/>
    <x v="15"/>
    <x v="3"/>
    <n v="358"/>
    <m/>
    <m/>
    <m/>
    <m/>
    <m/>
    <n v="138000"/>
    <m/>
  </r>
  <r>
    <x v="48"/>
    <x v="15"/>
    <x v="8"/>
    <n v="418"/>
    <m/>
    <m/>
    <m/>
    <m/>
    <m/>
    <n v="104450"/>
    <m/>
  </r>
  <r>
    <x v="48"/>
    <x v="15"/>
    <x v="4"/>
    <n v="471"/>
    <m/>
    <m/>
    <m/>
    <m/>
    <m/>
    <n v="307700"/>
    <m/>
  </r>
  <r>
    <x v="48"/>
    <x v="15"/>
    <x v="6"/>
    <n v="284"/>
    <m/>
    <m/>
    <m/>
    <m/>
    <m/>
    <n v="50900"/>
    <m/>
  </r>
  <r>
    <x v="48"/>
    <x v="15"/>
    <x v="11"/>
    <n v="420"/>
    <m/>
    <m/>
    <m/>
    <m/>
    <m/>
    <n v="404200"/>
    <m/>
  </r>
  <r>
    <x v="48"/>
    <x v="15"/>
    <x v="10"/>
    <n v="272"/>
    <m/>
    <m/>
    <m/>
    <m/>
    <m/>
    <n v="127900"/>
    <m/>
  </r>
  <r>
    <x v="48"/>
    <x v="15"/>
    <x v="0"/>
    <n v="407"/>
    <m/>
    <m/>
    <m/>
    <m/>
    <m/>
    <n v="434200"/>
    <m/>
  </r>
  <r>
    <x v="48"/>
    <x v="15"/>
    <x v="5"/>
    <n v="196"/>
    <m/>
    <m/>
    <m/>
    <m/>
    <m/>
    <n v="54450"/>
    <m/>
  </r>
  <r>
    <x v="48"/>
    <x v="15"/>
    <x v="9"/>
    <n v="436"/>
    <m/>
    <m/>
    <m/>
    <m/>
    <m/>
    <n v="271350"/>
    <m/>
  </r>
  <r>
    <x v="48"/>
    <x v="15"/>
    <x v="7"/>
    <n v="366"/>
    <m/>
    <m/>
    <m/>
    <m/>
    <m/>
    <n v="28350"/>
    <m/>
  </r>
  <r>
    <x v="48"/>
    <x v="15"/>
    <x v="2"/>
    <n v="637"/>
    <m/>
    <m/>
    <m/>
    <m/>
    <m/>
    <n v="332500"/>
    <m/>
  </r>
  <r>
    <x v="48"/>
    <x v="15"/>
    <x v="1"/>
    <n v="405"/>
    <m/>
    <m/>
    <m/>
    <m/>
    <m/>
    <n v="224000"/>
    <m/>
  </r>
  <r>
    <x v="48"/>
    <x v="15"/>
    <x v="12"/>
    <n v="341"/>
    <m/>
    <m/>
    <m/>
    <m/>
    <m/>
    <n v="134600"/>
    <m/>
  </r>
  <r>
    <x v="48"/>
    <x v="15"/>
    <x v="13"/>
    <n v="353"/>
    <m/>
    <m/>
    <m/>
    <m/>
    <m/>
    <n v="148970"/>
    <m/>
  </r>
  <r>
    <x v="48"/>
    <x v="15"/>
    <x v="14"/>
    <n v="428"/>
    <m/>
    <m/>
    <m/>
    <m/>
    <m/>
    <n v="138850"/>
    <m/>
  </r>
  <r>
    <x v="48"/>
    <x v="15"/>
    <x v="15"/>
    <n v="314"/>
    <m/>
    <m/>
    <m/>
    <m/>
    <m/>
    <n v="52000"/>
    <m/>
  </r>
  <r>
    <x v="48"/>
    <x v="15"/>
    <x v="16"/>
    <n v="215"/>
    <m/>
    <m/>
    <m/>
    <m/>
    <m/>
    <n v="148500"/>
    <m/>
  </r>
  <r>
    <x v="48"/>
    <x v="15"/>
    <x v="17"/>
    <n v="184"/>
    <m/>
    <m/>
    <m/>
    <m/>
    <m/>
    <n v="154500"/>
    <m/>
  </r>
  <r>
    <x v="48"/>
    <x v="15"/>
    <x v="18"/>
    <n v="319"/>
    <m/>
    <m/>
    <m/>
    <m/>
    <m/>
    <n v="89950"/>
    <m/>
  </r>
  <r>
    <x v="48"/>
    <x v="15"/>
    <x v="19"/>
    <n v="195"/>
    <m/>
    <m/>
    <m/>
    <m/>
    <m/>
    <n v="36000"/>
    <m/>
  </r>
  <r>
    <x v="48"/>
    <x v="15"/>
    <x v="20"/>
    <n v="238"/>
    <m/>
    <m/>
    <m/>
    <m/>
    <m/>
    <n v="53000"/>
    <m/>
  </r>
  <r>
    <x v="48"/>
    <x v="15"/>
    <x v="21"/>
    <n v="185"/>
    <m/>
    <m/>
    <m/>
    <m/>
    <m/>
    <n v="156899.99"/>
    <m/>
  </r>
  <r>
    <x v="48"/>
    <x v="15"/>
    <x v="22"/>
    <n v="126"/>
    <m/>
    <m/>
    <m/>
    <m/>
    <m/>
    <n v="77000"/>
    <m/>
  </r>
  <r>
    <x v="48"/>
    <x v="15"/>
    <x v="24"/>
    <n v="242"/>
    <m/>
    <m/>
    <m/>
    <m/>
    <m/>
    <n v="63900"/>
    <m/>
  </r>
  <r>
    <x v="48"/>
    <x v="15"/>
    <x v="25"/>
    <n v="263"/>
    <m/>
    <m/>
    <m/>
    <m/>
    <m/>
    <n v="107600"/>
    <m/>
  </r>
  <r>
    <x v="48"/>
    <x v="15"/>
    <x v="26"/>
    <n v="239"/>
    <m/>
    <m/>
    <m/>
    <m/>
    <m/>
    <n v="155450"/>
    <m/>
  </r>
  <r>
    <x v="48"/>
    <x v="15"/>
    <x v="27"/>
    <n v="53"/>
    <m/>
    <m/>
    <m/>
    <m/>
    <m/>
    <n v="0"/>
    <m/>
  </r>
  <r>
    <x v="48"/>
    <x v="15"/>
    <x v="29"/>
    <n v="187"/>
    <m/>
    <m/>
    <m/>
    <m/>
    <m/>
    <n v="26600"/>
    <m/>
  </r>
  <r>
    <x v="48"/>
    <x v="15"/>
    <x v="30"/>
    <n v="263"/>
    <m/>
    <m/>
    <m/>
    <m/>
    <m/>
    <n v="78400"/>
    <m/>
  </r>
  <r>
    <x v="48"/>
    <x v="0"/>
    <x v="0"/>
    <m/>
    <n v="48"/>
    <n v="12"/>
    <n v="78"/>
    <n v="4"/>
    <n v="23"/>
    <m/>
    <m/>
  </r>
  <r>
    <x v="48"/>
    <x v="56"/>
    <x v="0"/>
    <m/>
    <n v="6"/>
    <n v="1"/>
    <n v="18"/>
    <n v="1"/>
    <n v="7"/>
    <m/>
    <m/>
  </r>
  <r>
    <x v="48"/>
    <x v="57"/>
    <x v="10"/>
    <m/>
    <n v="23"/>
    <n v="0"/>
    <n v="50"/>
    <n v="16"/>
    <n v="10"/>
    <m/>
    <m/>
  </r>
  <r>
    <x v="48"/>
    <x v="57"/>
    <x v="30"/>
    <m/>
    <n v="22"/>
    <n v="2"/>
    <n v="12"/>
    <n v="2"/>
    <n v="6"/>
    <m/>
    <m/>
  </r>
  <r>
    <x v="48"/>
    <x v="7"/>
    <x v="2"/>
    <m/>
    <n v="7"/>
    <n v="10"/>
    <n v="6"/>
    <n v="6"/>
    <n v="8"/>
    <m/>
    <m/>
  </r>
  <r>
    <x v="48"/>
    <x v="60"/>
    <x v="2"/>
    <m/>
    <n v="36"/>
    <n v="17"/>
    <n v="24"/>
    <n v="16"/>
    <n v="16"/>
    <m/>
    <m/>
  </r>
  <r>
    <x v="48"/>
    <x v="66"/>
    <x v="5"/>
    <m/>
    <n v="48"/>
    <n v="0"/>
    <n v="21"/>
    <n v="0"/>
    <n v="4"/>
    <m/>
    <m/>
  </r>
  <r>
    <x v="48"/>
    <x v="51"/>
    <x v="6"/>
    <m/>
    <n v="9"/>
    <n v="0"/>
    <n v="11"/>
    <n v="5"/>
    <n v="2"/>
    <m/>
    <m/>
  </r>
  <r>
    <x v="48"/>
    <x v="66"/>
    <x v="6"/>
    <m/>
    <n v="16"/>
    <n v="0"/>
    <n v="4"/>
    <n v="0"/>
    <n v="2"/>
    <m/>
    <m/>
  </r>
  <r>
    <x v="48"/>
    <x v="50"/>
    <x v="3"/>
    <m/>
    <n v="1"/>
    <n v="0"/>
    <n v="1"/>
    <n v="0"/>
    <n v="1"/>
    <m/>
    <m/>
  </r>
  <r>
    <x v="48"/>
    <x v="43"/>
    <x v="3"/>
    <m/>
    <n v="23"/>
    <n v="4"/>
    <n v="14"/>
    <n v="6"/>
    <n v="8"/>
    <m/>
    <m/>
  </r>
  <r>
    <x v="48"/>
    <x v="46"/>
    <x v="3"/>
    <m/>
    <n v="2"/>
    <n v="0"/>
    <n v="0"/>
    <n v="0"/>
    <n v="2"/>
    <m/>
    <m/>
  </r>
  <r>
    <x v="48"/>
    <x v="43"/>
    <x v="4"/>
    <m/>
    <n v="3"/>
    <n v="0"/>
    <n v="4"/>
    <n v="1"/>
    <n v="3"/>
    <m/>
    <m/>
  </r>
  <r>
    <x v="48"/>
    <x v="46"/>
    <x v="4"/>
    <m/>
    <n v="11"/>
    <n v="1"/>
    <n v="8"/>
    <n v="0"/>
    <n v="1"/>
    <m/>
    <m/>
  </r>
  <r>
    <x v="48"/>
    <x v="50"/>
    <x v="4"/>
    <m/>
    <n v="42"/>
    <n v="20"/>
    <n v="23"/>
    <n v="4"/>
    <n v="18"/>
    <m/>
    <m/>
  </r>
  <r>
    <x v="48"/>
    <x v="13"/>
    <x v="4"/>
    <m/>
    <n v="0"/>
    <n v="0"/>
    <n v="0"/>
    <n v="0"/>
    <n v="2"/>
    <m/>
    <m/>
  </r>
  <r>
    <x v="48"/>
    <x v="58"/>
    <x v="9"/>
    <m/>
    <n v="34"/>
    <n v="4"/>
    <n v="39"/>
    <n v="4"/>
    <n v="12"/>
    <m/>
    <m/>
  </r>
  <r>
    <x v="48"/>
    <x v="10"/>
    <x v="9"/>
    <m/>
    <n v="29"/>
    <n v="7"/>
    <n v="27"/>
    <n v="4"/>
    <n v="8"/>
    <m/>
    <m/>
  </r>
  <r>
    <x v="48"/>
    <x v="65"/>
    <x v="1"/>
    <m/>
    <n v="43"/>
    <n v="25"/>
    <n v="25"/>
    <n v="10"/>
    <n v="17"/>
    <m/>
    <m/>
  </r>
  <r>
    <x v="48"/>
    <x v="14"/>
    <x v="11"/>
    <m/>
    <n v="22"/>
    <n v="0"/>
    <n v="23"/>
    <n v="0"/>
    <n v="13"/>
    <m/>
    <m/>
  </r>
  <r>
    <x v="48"/>
    <x v="37"/>
    <x v="11"/>
    <m/>
    <n v="28"/>
    <n v="0"/>
    <n v="21"/>
    <n v="0"/>
    <n v="12"/>
    <m/>
    <m/>
  </r>
  <r>
    <x v="48"/>
    <x v="46"/>
    <x v="8"/>
    <m/>
    <n v="10"/>
    <n v="6"/>
    <n v="12"/>
    <n v="4"/>
    <n v="8"/>
    <m/>
    <m/>
  </r>
  <r>
    <x v="48"/>
    <x v="22"/>
    <x v="7"/>
    <m/>
    <n v="18"/>
    <n v="5"/>
    <n v="21"/>
    <n v="3"/>
    <n v="1"/>
    <m/>
    <m/>
  </r>
  <r>
    <x v="48"/>
    <x v="64"/>
    <x v="7"/>
    <m/>
    <n v="13"/>
    <n v="2"/>
    <n v="0"/>
    <n v="0"/>
    <n v="1"/>
    <m/>
    <m/>
  </r>
  <r>
    <x v="48"/>
    <x v="61"/>
    <x v="12"/>
    <m/>
    <n v="8"/>
    <n v="9"/>
    <n v="12"/>
    <n v="8"/>
    <n v="10"/>
    <m/>
    <m/>
  </r>
  <r>
    <x v="48"/>
    <x v="19"/>
    <x v="13"/>
    <m/>
    <n v="27"/>
    <n v="10"/>
    <n v="29"/>
    <n v="3"/>
    <n v="12"/>
    <m/>
    <m/>
  </r>
  <r>
    <x v="48"/>
    <x v="53"/>
    <x v="14"/>
    <m/>
    <n v="29"/>
    <n v="23"/>
    <n v="16"/>
    <n v="12"/>
    <n v="10"/>
    <m/>
    <m/>
  </r>
  <r>
    <x v="48"/>
    <x v="21"/>
    <x v="15"/>
    <m/>
    <n v="14"/>
    <n v="5"/>
    <n v="14"/>
    <n v="15"/>
    <n v="4"/>
    <m/>
    <m/>
  </r>
  <r>
    <x v="48"/>
    <x v="45"/>
    <x v="16"/>
    <m/>
    <n v="28"/>
    <n v="0"/>
    <n v="7"/>
    <n v="0"/>
    <n v="12"/>
    <m/>
    <m/>
  </r>
  <r>
    <x v="48"/>
    <x v="62"/>
    <x v="16"/>
    <m/>
    <n v="3"/>
    <n v="1"/>
    <n v="0"/>
    <n v="0"/>
    <n v="0"/>
    <m/>
    <m/>
  </r>
  <r>
    <x v="48"/>
    <x v="62"/>
    <x v="24"/>
    <m/>
    <n v="18"/>
    <n v="7"/>
    <n v="7"/>
    <n v="4"/>
    <n v="5"/>
    <m/>
    <m/>
  </r>
  <r>
    <x v="48"/>
    <x v="63"/>
    <x v="17"/>
    <m/>
    <n v="36"/>
    <n v="11"/>
    <n v="18"/>
    <n v="4"/>
    <n v="13"/>
    <m/>
    <m/>
  </r>
  <r>
    <x v="48"/>
    <x v="33"/>
    <x v="18"/>
    <m/>
    <n v="10"/>
    <n v="16"/>
    <n v="15"/>
    <n v="11"/>
    <n v="7"/>
    <m/>
    <m/>
  </r>
  <r>
    <x v="48"/>
    <x v="56"/>
    <x v="20"/>
    <m/>
    <n v="7"/>
    <n v="0"/>
    <n v="15"/>
    <n v="0"/>
    <n v="4"/>
    <m/>
    <m/>
  </r>
  <r>
    <x v="48"/>
    <x v="38"/>
    <x v="21"/>
    <m/>
    <n v="11"/>
    <n v="2"/>
    <n v="20"/>
    <n v="4"/>
    <n v="12"/>
    <m/>
    <m/>
  </r>
  <r>
    <x v="48"/>
    <x v="40"/>
    <x v="19"/>
    <m/>
    <n v="13"/>
    <n v="0"/>
    <n v="10"/>
    <n v="0"/>
    <n v="3"/>
    <m/>
    <m/>
  </r>
  <r>
    <x v="48"/>
    <x v="41"/>
    <x v="22"/>
    <m/>
    <n v="10"/>
    <n v="0"/>
    <n v="13"/>
    <n v="3"/>
    <n v="6"/>
    <m/>
    <m/>
  </r>
  <r>
    <x v="48"/>
    <x v="48"/>
    <x v="25"/>
    <m/>
    <n v="0"/>
    <n v="0"/>
    <n v="29"/>
    <n v="4"/>
    <n v="8"/>
    <m/>
    <m/>
  </r>
  <r>
    <x v="48"/>
    <x v="49"/>
    <x v="26"/>
    <m/>
    <n v="27"/>
    <n v="3"/>
    <n v="22"/>
    <n v="0"/>
    <n v="11"/>
    <m/>
    <m/>
  </r>
  <r>
    <x v="48"/>
    <x v="54"/>
    <x v="27"/>
    <m/>
    <n v="11"/>
    <n v="1"/>
    <n v="12"/>
    <n v="0"/>
    <n v="0"/>
    <m/>
    <m/>
  </r>
  <r>
    <x v="48"/>
    <x v="59"/>
    <x v="29"/>
    <m/>
    <n v="14"/>
    <n v="8"/>
    <n v="7"/>
    <n v="4"/>
    <n v="2"/>
    <m/>
    <m/>
  </r>
  <r>
    <x v="49"/>
    <x v="15"/>
    <x v="3"/>
    <n v="528"/>
    <m/>
    <m/>
    <m/>
    <m/>
    <m/>
    <n v="13000"/>
    <m/>
  </r>
  <r>
    <x v="49"/>
    <x v="15"/>
    <x v="8"/>
    <n v="412"/>
    <m/>
    <m/>
    <m/>
    <m/>
    <m/>
    <n v="102900"/>
    <m/>
  </r>
  <r>
    <x v="49"/>
    <x v="15"/>
    <x v="4"/>
    <n v="564"/>
    <m/>
    <m/>
    <m/>
    <m/>
    <m/>
    <n v="306700"/>
    <m/>
  </r>
  <r>
    <x v="49"/>
    <x v="15"/>
    <x v="6"/>
    <n v="394"/>
    <m/>
    <m/>
    <m/>
    <m/>
    <m/>
    <n v="95000"/>
    <m/>
  </r>
  <r>
    <x v="49"/>
    <x v="15"/>
    <x v="11"/>
    <n v="423"/>
    <m/>
    <m/>
    <m/>
    <m/>
    <m/>
    <n v="512200"/>
    <m/>
  </r>
  <r>
    <x v="49"/>
    <x v="15"/>
    <x v="10"/>
    <n v="241"/>
    <m/>
    <m/>
    <m/>
    <m/>
    <m/>
    <n v="141000"/>
    <m/>
  </r>
  <r>
    <x v="49"/>
    <x v="15"/>
    <x v="0"/>
    <n v="438"/>
    <m/>
    <m/>
    <m/>
    <m/>
    <m/>
    <n v="522650"/>
    <m/>
  </r>
  <r>
    <x v="49"/>
    <x v="15"/>
    <x v="5"/>
    <n v="253"/>
    <m/>
    <m/>
    <m/>
    <m/>
    <m/>
    <n v="67400"/>
    <m/>
  </r>
  <r>
    <x v="49"/>
    <x v="15"/>
    <x v="9"/>
    <n v="518"/>
    <m/>
    <m/>
    <m/>
    <m/>
    <m/>
    <n v="340950"/>
    <m/>
  </r>
  <r>
    <x v="49"/>
    <x v="15"/>
    <x v="7"/>
    <n v="509"/>
    <m/>
    <m/>
    <m/>
    <m/>
    <m/>
    <n v="137495"/>
    <m/>
  </r>
  <r>
    <x v="49"/>
    <x v="15"/>
    <x v="2"/>
    <n v="591"/>
    <m/>
    <m/>
    <m/>
    <m/>
    <m/>
    <n v="281600"/>
    <m/>
  </r>
  <r>
    <x v="49"/>
    <x v="15"/>
    <x v="1"/>
    <n v="474"/>
    <m/>
    <m/>
    <m/>
    <m/>
    <m/>
    <n v="274250"/>
    <m/>
  </r>
  <r>
    <x v="49"/>
    <x v="15"/>
    <x v="12"/>
    <n v="378"/>
    <m/>
    <m/>
    <m/>
    <m/>
    <m/>
    <n v="135700"/>
    <m/>
  </r>
  <r>
    <x v="49"/>
    <x v="15"/>
    <x v="13"/>
    <n v="316"/>
    <m/>
    <m/>
    <m/>
    <m/>
    <m/>
    <n v="54490"/>
    <m/>
  </r>
  <r>
    <x v="49"/>
    <x v="15"/>
    <x v="14"/>
    <n v="474"/>
    <m/>
    <m/>
    <m/>
    <m/>
    <m/>
    <n v="248650"/>
    <m/>
  </r>
  <r>
    <x v="49"/>
    <x v="15"/>
    <x v="15"/>
    <n v="488"/>
    <m/>
    <m/>
    <m/>
    <m/>
    <m/>
    <n v="54000"/>
    <m/>
  </r>
  <r>
    <x v="49"/>
    <x v="15"/>
    <x v="16"/>
    <n v="197"/>
    <m/>
    <m/>
    <m/>
    <m/>
    <m/>
    <n v="123500"/>
    <m/>
  </r>
  <r>
    <x v="49"/>
    <x v="15"/>
    <x v="17"/>
    <n v="216"/>
    <m/>
    <m/>
    <m/>
    <m/>
    <m/>
    <n v="159501"/>
    <m/>
  </r>
  <r>
    <x v="49"/>
    <x v="15"/>
    <x v="18"/>
    <n v="404"/>
    <m/>
    <m/>
    <m/>
    <m/>
    <m/>
    <n v="146450"/>
    <m/>
  </r>
  <r>
    <x v="49"/>
    <x v="15"/>
    <x v="19"/>
    <n v="33"/>
    <m/>
    <m/>
    <m/>
    <m/>
    <m/>
    <n v="36000"/>
    <m/>
  </r>
  <r>
    <x v="49"/>
    <x v="15"/>
    <x v="20"/>
    <n v="375"/>
    <m/>
    <m/>
    <m/>
    <m/>
    <m/>
    <n v="130500"/>
    <m/>
  </r>
  <r>
    <x v="49"/>
    <x v="15"/>
    <x v="21"/>
    <n v="267"/>
    <m/>
    <m/>
    <m/>
    <m/>
    <m/>
    <n v="174349.99"/>
    <m/>
  </r>
  <r>
    <x v="49"/>
    <x v="15"/>
    <x v="22"/>
    <n v="166"/>
    <m/>
    <m/>
    <m/>
    <m/>
    <m/>
    <n v="93300"/>
    <m/>
  </r>
  <r>
    <x v="49"/>
    <x v="15"/>
    <x v="24"/>
    <n v="224"/>
    <m/>
    <m/>
    <m/>
    <m/>
    <m/>
    <n v="76400"/>
    <m/>
  </r>
  <r>
    <x v="49"/>
    <x v="15"/>
    <x v="25"/>
    <n v="195"/>
    <m/>
    <m/>
    <m/>
    <m/>
    <m/>
    <n v="14000"/>
    <m/>
  </r>
  <r>
    <x v="49"/>
    <x v="15"/>
    <x v="26"/>
    <n v="157"/>
    <m/>
    <m/>
    <m/>
    <m/>
    <m/>
    <n v="147500"/>
    <m/>
  </r>
  <r>
    <x v="49"/>
    <x v="15"/>
    <x v="27"/>
    <n v="160"/>
    <m/>
    <m/>
    <m/>
    <m/>
    <m/>
    <n v="49100"/>
    <m/>
  </r>
  <r>
    <x v="49"/>
    <x v="15"/>
    <x v="29"/>
    <n v="196"/>
    <m/>
    <m/>
    <m/>
    <m/>
    <m/>
    <n v="28400"/>
    <m/>
  </r>
  <r>
    <x v="49"/>
    <x v="15"/>
    <x v="30"/>
    <n v="259"/>
    <m/>
    <m/>
    <m/>
    <m/>
    <m/>
    <n v="114500"/>
    <m/>
  </r>
  <r>
    <x v="49"/>
    <x v="0"/>
    <x v="0"/>
    <m/>
    <n v="31"/>
    <n v="13"/>
    <n v="50"/>
    <n v="6"/>
    <n v="22"/>
    <m/>
    <m/>
  </r>
  <r>
    <x v="49"/>
    <x v="56"/>
    <x v="0"/>
    <m/>
    <n v="26"/>
    <n v="7"/>
    <n v="25"/>
    <n v="2"/>
    <n v="14"/>
    <m/>
    <m/>
  </r>
  <r>
    <x v="49"/>
    <x v="57"/>
    <x v="10"/>
    <m/>
    <n v="23"/>
    <n v="2"/>
    <n v="37"/>
    <n v="15"/>
    <n v="11"/>
    <m/>
    <m/>
  </r>
  <r>
    <x v="49"/>
    <x v="57"/>
    <x v="30"/>
    <m/>
    <n v="24"/>
    <n v="0"/>
    <n v="17"/>
    <n v="0"/>
    <n v="9"/>
    <m/>
    <m/>
  </r>
  <r>
    <x v="49"/>
    <x v="7"/>
    <x v="2"/>
    <m/>
    <n v="31"/>
    <n v="15"/>
    <n v="59"/>
    <n v="17"/>
    <n v="18"/>
    <m/>
    <m/>
  </r>
  <r>
    <x v="49"/>
    <x v="60"/>
    <x v="2"/>
    <m/>
    <n v="13"/>
    <n v="9"/>
    <n v="13"/>
    <n v="9"/>
    <n v="2"/>
    <m/>
    <m/>
  </r>
  <r>
    <x v="49"/>
    <x v="66"/>
    <x v="5"/>
    <m/>
    <n v="43"/>
    <n v="0"/>
    <n v="18"/>
    <n v="0"/>
    <n v="5"/>
    <m/>
    <m/>
  </r>
  <r>
    <x v="49"/>
    <x v="51"/>
    <x v="6"/>
    <m/>
    <n v="0"/>
    <n v="2"/>
    <n v="0"/>
    <n v="1"/>
    <n v="2"/>
    <m/>
    <m/>
  </r>
  <r>
    <x v="49"/>
    <x v="66"/>
    <x v="6"/>
    <m/>
    <n v="21"/>
    <n v="0"/>
    <n v="5"/>
    <n v="0"/>
    <n v="6"/>
    <m/>
    <m/>
  </r>
  <r>
    <x v="49"/>
    <x v="43"/>
    <x v="3"/>
    <m/>
    <n v="32"/>
    <n v="7"/>
    <n v="8"/>
    <n v="3"/>
    <n v="1"/>
    <m/>
    <m/>
  </r>
  <r>
    <x v="49"/>
    <x v="43"/>
    <x v="4"/>
    <m/>
    <n v="1"/>
    <n v="1"/>
    <n v="2"/>
    <n v="5"/>
    <n v="0"/>
    <m/>
    <m/>
  </r>
  <r>
    <x v="49"/>
    <x v="46"/>
    <x v="4"/>
    <m/>
    <n v="5"/>
    <n v="1"/>
    <n v="6"/>
    <n v="3"/>
    <n v="4"/>
    <m/>
    <m/>
  </r>
  <r>
    <x v="49"/>
    <x v="50"/>
    <x v="4"/>
    <m/>
    <n v="55"/>
    <n v="10"/>
    <n v="40"/>
    <n v="8"/>
    <n v="18"/>
    <m/>
    <m/>
  </r>
  <r>
    <x v="49"/>
    <x v="66"/>
    <x v="4"/>
    <m/>
    <n v="2"/>
    <n v="0"/>
    <n v="0"/>
    <n v="0"/>
    <n v="0"/>
    <m/>
    <m/>
  </r>
  <r>
    <x v="49"/>
    <x v="16"/>
    <x v="4"/>
    <m/>
    <n v="1"/>
    <n v="0"/>
    <n v="0"/>
    <n v="0"/>
    <n v="1"/>
    <m/>
    <m/>
  </r>
  <r>
    <x v="49"/>
    <x v="58"/>
    <x v="9"/>
    <m/>
    <n v="47"/>
    <n v="5"/>
    <n v="46"/>
    <n v="5"/>
    <n v="13"/>
    <m/>
    <m/>
  </r>
  <r>
    <x v="49"/>
    <x v="10"/>
    <x v="9"/>
    <m/>
    <n v="26"/>
    <n v="1"/>
    <n v="29"/>
    <n v="3"/>
    <n v="12"/>
    <m/>
    <m/>
  </r>
  <r>
    <x v="49"/>
    <x v="65"/>
    <x v="1"/>
    <m/>
    <n v="33"/>
    <n v="19"/>
    <n v="25"/>
    <n v="8"/>
    <n v="15"/>
    <m/>
    <m/>
  </r>
  <r>
    <x v="49"/>
    <x v="44"/>
    <x v="1"/>
    <m/>
    <n v="14"/>
    <n v="9"/>
    <n v="19"/>
    <n v="5"/>
    <n v="6"/>
    <m/>
    <m/>
  </r>
  <r>
    <x v="49"/>
    <x v="14"/>
    <x v="11"/>
    <m/>
    <n v="30"/>
    <n v="0"/>
    <n v="38"/>
    <n v="0"/>
    <n v="20"/>
    <m/>
    <m/>
  </r>
  <r>
    <x v="49"/>
    <x v="37"/>
    <x v="11"/>
    <m/>
    <n v="26"/>
    <n v="0"/>
    <n v="29"/>
    <n v="0"/>
    <n v="12"/>
    <m/>
    <m/>
  </r>
  <r>
    <x v="49"/>
    <x v="46"/>
    <x v="8"/>
    <m/>
    <n v="39"/>
    <n v="2"/>
    <n v="26"/>
    <n v="1"/>
    <n v="7"/>
    <m/>
    <m/>
  </r>
  <r>
    <x v="49"/>
    <x v="66"/>
    <x v="8"/>
    <m/>
    <n v="1"/>
    <n v="0"/>
    <n v="0"/>
    <n v="0"/>
    <n v="1"/>
    <m/>
    <m/>
  </r>
  <r>
    <x v="49"/>
    <x v="22"/>
    <x v="7"/>
    <m/>
    <n v="14"/>
    <n v="12"/>
    <n v="14"/>
    <n v="4"/>
    <n v="6"/>
    <m/>
    <m/>
  </r>
  <r>
    <x v="49"/>
    <x v="64"/>
    <x v="7"/>
    <m/>
    <n v="12"/>
    <n v="9"/>
    <n v="1"/>
    <n v="0"/>
    <n v="4"/>
    <m/>
    <m/>
  </r>
  <r>
    <x v="49"/>
    <x v="61"/>
    <x v="12"/>
    <m/>
    <n v="21"/>
    <n v="12"/>
    <n v="24"/>
    <n v="5"/>
    <n v="10"/>
    <m/>
    <m/>
  </r>
  <r>
    <x v="49"/>
    <x v="19"/>
    <x v="13"/>
    <m/>
    <n v="6"/>
    <n v="0"/>
    <n v="8"/>
    <n v="4"/>
    <n v="2"/>
    <m/>
    <m/>
  </r>
  <r>
    <x v="49"/>
    <x v="67"/>
    <x v="13"/>
    <m/>
    <n v="19"/>
    <n v="2"/>
    <n v="14"/>
    <n v="2"/>
    <n v="3"/>
    <m/>
    <m/>
  </r>
  <r>
    <x v="49"/>
    <x v="53"/>
    <x v="14"/>
    <m/>
    <n v="54"/>
    <n v="12"/>
    <n v="24"/>
    <n v="14"/>
    <n v="18"/>
    <m/>
    <m/>
  </r>
  <r>
    <x v="49"/>
    <x v="21"/>
    <x v="15"/>
    <m/>
    <n v="19"/>
    <n v="4"/>
    <n v="20"/>
    <n v="14"/>
    <n v="4"/>
    <m/>
    <m/>
  </r>
  <r>
    <x v="49"/>
    <x v="45"/>
    <x v="16"/>
    <m/>
    <n v="32"/>
    <n v="4"/>
    <n v="11"/>
    <n v="3"/>
    <n v="9"/>
    <m/>
    <m/>
  </r>
  <r>
    <x v="49"/>
    <x v="62"/>
    <x v="16"/>
    <m/>
    <n v="4"/>
    <n v="0"/>
    <n v="0"/>
    <n v="0"/>
    <n v="1"/>
    <m/>
    <m/>
  </r>
  <r>
    <x v="49"/>
    <x v="62"/>
    <x v="24"/>
    <m/>
    <n v="21"/>
    <n v="6"/>
    <n v="12"/>
    <n v="2"/>
    <n v="6"/>
    <m/>
    <m/>
  </r>
  <r>
    <x v="49"/>
    <x v="63"/>
    <x v="17"/>
    <m/>
    <n v="16"/>
    <n v="12"/>
    <n v="17"/>
    <n v="1"/>
    <n v="13"/>
    <m/>
    <m/>
  </r>
  <r>
    <x v="49"/>
    <x v="33"/>
    <x v="18"/>
    <m/>
    <n v="11"/>
    <n v="13"/>
    <n v="18"/>
    <n v="16"/>
    <n v="11"/>
    <m/>
    <m/>
  </r>
  <r>
    <x v="49"/>
    <x v="56"/>
    <x v="20"/>
    <m/>
    <n v="23"/>
    <n v="0"/>
    <n v="25"/>
    <n v="1"/>
    <n v="10"/>
    <m/>
    <m/>
  </r>
  <r>
    <x v="49"/>
    <x v="38"/>
    <x v="21"/>
    <m/>
    <n v="35"/>
    <n v="4"/>
    <n v="39"/>
    <n v="5"/>
    <n v="13"/>
    <m/>
    <m/>
  </r>
  <r>
    <x v="49"/>
    <x v="40"/>
    <x v="19"/>
    <m/>
    <n v="0"/>
    <n v="0"/>
    <n v="37"/>
    <n v="3"/>
    <n v="3"/>
    <m/>
    <m/>
  </r>
  <r>
    <x v="49"/>
    <x v="41"/>
    <x v="22"/>
    <m/>
    <n v="10"/>
    <n v="3"/>
    <n v="13"/>
    <n v="2"/>
    <n v="7"/>
    <m/>
    <m/>
  </r>
  <r>
    <x v="49"/>
    <x v="48"/>
    <x v="25"/>
    <m/>
    <n v="0"/>
    <n v="0"/>
    <n v="2"/>
    <n v="0"/>
    <n v="1"/>
    <m/>
    <m/>
  </r>
  <r>
    <x v="49"/>
    <x v="49"/>
    <x v="26"/>
    <m/>
    <n v="14"/>
    <n v="2"/>
    <n v="16"/>
    <n v="3"/>
    <n v="10"/>
    <m/>
    <m/>
  </r>
  <r>
    <x v="50"/>
    <x v="50"/>
    <x v="26"/>
    <m/>
    <n v="2"/>
    <n v="0"/>
    <n v="0"/>
    <n v="0"/>
    <n v="0"/>
    <m/>
    <m/>
  </r>
  <r>
    <x v="49"/>
    <x v="54"/>
    <x v="27"/>
    <m/>
    <n v="7"/>
    <n v="5"/>
    <n v="11"/>
    <n v="3"/>
    <n v="4"/>
    <m/>
    <m/>
  </r>
  <r>
    <x v="49"/>
    <x v="59"/>
    <x v="29"/>
    <m/>
    <n v="15"/>
    <n v="11"/>
    <n v="8"/>
    <n v="2"/>
    <n v="2"/>
    <m/>
    <m/>
  </r>
  <r>
    <x v="51"/>
    <x v="15"/>
    <x v="3"/>
    <n v="323"/>
    <m/>
    <m/>
    <m/>
    <m/>
    <m/>
    <n v="90900"/>
    <m/>
  </r>
  <r>
    <x v="51"/>
    <x v="15"/>
    <x v="8"/>
    <n v="265"/>
    <m/>
    <m/>
    <m/>
    <m/>
    <m/>
    <n v="78950"/>
    <m/>
  </r>
  <r>
    <x v="51"/>
    <x v="15"/>
    <x v="4"/>
    <n v="510"/>
    <m/>
    <m/>
    <m/>
    <m/>
    <m/>
    <n v="274600"/>
    <m/>
  </r>
  <r>
    <x v="51"/>
    <x v="15"/>
    <x v="6"/>
    <n v="297"/>
    <m/>
    <m/>
    <m/>
    <m/>
    <m/>
    <n v="99000"/>
    <m/>
  </r>
  <r>
    <x v="51"/>
    <x v="15"/>
    <x v="11"/>
    <n v="380"/>
    <m/>
    <m/>
    <m/>
    <m/>
    <m/>
    <n v="429600"/>
    <m/>
  </r>
  <r>
    <x v="51"/>
    <x v="15"/>
    <x v="10"/>
    <n v="206"/>
    <m/>
    <m/>
    <m/>
    <m/>
    <m/>
    <n v="154000"/>
    <m/>
  </r>
  <r>
    <x v="51"/>
    <x v="15"/>
    <x v="0"/>
    <n v="287"/>
    <m/>
    <m/>
    <m/>
    <m/>
    <m/>
    <n v="388100"/>
    <m/>
  </r>
  <r>
    <x v="51"/>
    <x v="15"/>
    <x v="5"/>
    <n v="215"/>
    <m/>
    <m/>
    <m/>
    <m/>
    <m/>
    <n v="81450"/>
    <m/>
  </r>
  <r>
    <x v="51"/>
    <x v="15"/>
    <x v="9"/>
    <n v="434"/>
    <m/>
    <m/>
    <m/>
    <m/>
    <m/>
    <n v="197949.99"/>
    <m/>
  </r>
  <r>
    <x v="51"/>
    <x v="15"/>
    <x v="7"/>
    <n v="357"/>
    <m/>
    <m/>
    <m/>
    <m/>
    <m/>
    <n v="66700"/>
    <m/>
  </r>
  <r>
    <x v="51"/>
    <x v="15"/>
    <x v="2"/>
    <n v="556"/>
    <m/>
    <m/>
    <m/>
    <m/>
    <m/>
    <n v="435700"/>
    <m/>
  </r>
  <r>
    <x v="51"/>
    <x v="15"/>
    <x v="1"/>
    <n v="388"/>
    <m/>
    <m/>
    <m/>
    <m/>
    <m/>
    <n v="246000"/>
    <m/>
  </r>
  <r>
    <x v="51"/>
    <x v="15"/>
    <x v="12"/>
    <n v="441"/>
    <m/>
    <m/>
    <m/>
    <m/>
    <m/>
    <n v="123400"/>
    <m/>
  </r>
  <r>
    <x v="51"/>
    <x v="15"/>
    <x v="13"/>
    <n v="244"/>
    <m/>
    <m/>
    <m/>
    <m/>
    <m/>
    <n v="122990"/>
    <m/>
  </r>
  <r>
    <x v="51"/>
    <x v="15"/>
    <x v="14"/>
    <n v="398"/>
    <m/>
    <m/>
    <m/>
    <m/>
    <m/>
    <n v="220500"/>
    <m/>
  </r>
  <r>
    <x v="51"/>
    <x v="15"/>
    <x v="15"/>
    <n v="342"/>
    <m/>
    <m/>
    <m/>
    <m/>
    <m/>
    <n v="80400"/>
    <m/>
  </r>
  <r>
    <x v="51"/>
    <x v="15"/>
    <x v="16"/>
    <n v="198"/>
    <m/>
    <m/>
    <m/>
    <m/>
    <m/>
    <n v="197500"/>
    <m/>
  </r>
  <r>
    <x v="51"/>
    <x v="15"/>
    <x v="17"/>
    <n v="166"/>
    <m/>
    <m/>
    <m/>
    <m/>
    <m/>
    <n v="183900"/>
    <m/>
  </r>
  <r>
    <x v="51"/>
    <x v="15"/>
    <x v="18"/>
    <n v="264"/>
    <m/>
    <m/>
    <m/>
    <m/>
    <m/>
    <n v="93900"/>
    <m/>
  </r>
  <r>
    <x v="51"/>
    <x v="15"/>
    <x v="20"/>
    <n v="207"/>
    <m/>
    <m/>
    <m/>
    <m/>
    <m/>
    <n v="66000"/>
    <m/>
  </r>
  <r>
    <x v="51"/>
    <x v="15"/>
    <x v="21"/>
    <n v="212"/>
    <m/>
    <m/>
    <m/>
    <m/>
    <m/>
    <n v="146450"/>
    <m/>
  </r>
  <r>
    <x v="51"/>
    <x v="15"/>
    <x v="22"/>
    <n v="143"/>
    <m/>
    <m/>
    <m/>
    <m/>
    <m/>
    <n v="105899"/>
    <m/>
  </r>
  <r>
    <x v="51"/>
    <x v="15"/>
    <x v="24"/>
    <n v="181"/>
    <m/>
    <m/>
    <m/>
    <m/>
    <m/>
    <n v="49500"/>
    <m/>
  </r>
  <r>
    <x v="51"/>
    <x v="15"/>
    <x v="26"/>
    <n v="150"/>
    <m/>
    <m/>
    <m/>
    <m/>
    <m/>
    <n v="143050"/>
    <m/>
  </r>
  <r>
    <x v="51"/>
    <x v="15"/>
    <x v="27"/>
    <n v="254"/>
    <m/>
    <m/>
    <m/>
    <m/>
    <m/>
    <n v="24000"/>
    <m/>
  </r>
  <r>
    <x v="51"/>
    <x v="15"/>
    <x v="29"/>
    <n v="103"/>
    <m/>
    <m/>
    <m/>
    <m/>
    <m/>
    <n v="27000"/>
    <m/>
  </r>
  <r>
    <x v="51"/>
    <x v="15"/>
    <x v="30"/>
    <n v="191"/>
    <m/>
    <m/>
    <m/>
    <m/>
    <m/>
    <n v="75400"/>
    <m/>
  </r>
  <r>
    <x v="51"/>
    <x v="0"/>
    <x v="0"/>
    <m/>
    <n v="35"/>
    <n v="13"/>
    <n v="59"/>
    <n v="8"/>
    <n v="18"/>
    <m/>
    <m/>
  </r>
  <r>
    <x v="51"/>
    <x v="56"/>
    <x v="0"/>
    <m/>
    <n v="23"/>
    <n v="4"/>
    <n v="29"/>
    <n v="1"/>
    <n v="10"/>
    <m/>
    <m/>
  </r>
  <r>
    <x v="51"/>
    <x v="57"/>
    <x v="10"/>
    <m/>
    <n v="21"/>
    <n v="1"/>
    <n v="46"/>
    <n v="7"/>
    <n v="12"/>
    <m/>
    <m/>
  </r>
  <r>
    <x v="51"/>
    <x v="57"/>
    <x v="30"/>
    <m/>
    <n v="29"/>
    <n v="3"/>
    <n v="19"/>
    <n v="1"/>
    <n v="6"/>
    <m/>
    <m/>
  </r>
  <r>
    <x v="51"/>
    <x v="7"/>
    <x v="2"/>
    <m/>
    <n v="22"/>
    <n v="19"/>
    <n v="43"/>
    <n v="10"/>
    <n v="18"/>
    <m/>
    <m/>
  </r>
  <r>
    <x v="51"/>
    <x v="60"/>
    <x v="2"/>
    <m/>
    <n v="29"/>
    <n v="17"/>
    <n v="23"/>
    <n v="9"/>
    <n v="15"/>
    <m/>
    <m/>
  </r>
  <r>
    <x v="51"/>
    <x v="66"/>
    <x v="5"/>
    <m/>
    <n v="36"/>
    <n v="0"/>
    <n v="14"/>
    <n v="1"/>
    <n v="6"/>
    <m/>
    <m/>
  </r>
  <r>
    <x v="51"/>
    <x v="51"/>
    <x v="6"/>
    <m/>
    <n v="9"/>
    <n v="3"/>
    <n v="10"/>
    <n v="7"/>
    <n v="3"/>
    <m/>
    <m/>
  </r>
  <r>
    <x v="51"/>
    <x v="66"/>
    <x v="6"/>
    <m/>
    <n v="23"/>
    <n v="7"/>
    <n v="13"/>
    <n v="2"/>
    <n v="5"/>
    <m/>
    <m/>
  </r>
  <r>
    <x v="51"/>
    <x v="43"/>
    <x v="3"/>
    <m/>
    <n v="27"/>
    <n v="2"/>
    <n v="10"/>
    <n v="0"/>
    <n v="6"/>
    <m/>
    <m/>
  </r>
  <r>
    <x v="51"/>
    <x v="50"/>
    <x v="3"/>
    <m/>
    <n v="1"/>
    <n v="0"/>
    <n v="4"/>
    <n v="0"/>
    <n v="1"/>
    <m/>
    <m/>
  </r>
  <r>
    <x v="51"/>
    <x v="43"/>
    <x v="4"/>
    <m/>
    <n v="5"/>
    <n v="0"/>
    <n v="8"/>
    <n v="0"/>
    <n v="2"/>
    <m/>
    <m/>
  </r>
  <r>
    <x v="51"/>
    <x v="46"/>
    <x v="4"/>
    <m/>
    <n v="11"/>
    <n v="3"/>
    <n v="5"/>
    <n v="1"/>
    <n v="4"/>
    <m/>
    <m/>
  </r>
  <r>
    <x v="51"/>
    <x v="50"/>
    <x v="4"/>
    <m/>
    <n v="39"/>
    <n v="7"/>
    <n v="34"/>
    <n v="3"/>
    <n v="14"/>
    <m/>
    <m/>
  </r>
  <r>
    <x v="51"/>
    <x v="16"/>
    <x v="4"/>
    <m/>
    <n v="1"/>
    <n v="0"/>
    <n v="0"/>
    <n v="0"/>
    <n v="1"/>
    <m/>
    <m/>
  </r>
  <r>
    <x v="51"/>
    <x v="58"/>
    <x v="9"/>
    <m/>
    <n v="50"/>
    <n v="5"/>
    <n v="40"/>
    <n v="4"/>
    <n v="8"/>
    <m/>
    <m/>
  </r>
  <r>
    <x v="51"/>
    <x v="10"/>
    <x v="9"/>
    <m/>
    <n v="22"/>
    <n v="6"/>
    <n v="26"/>
    <n v="3"/>
    <n v="7"/>
    <m/>
    <m/>
  </r>
  <r>
    <x v="51"/>
    <x v="65"/>
    <x v="1"/>
    <m/>
    <n v="38"/>
    <n v="26"/>
    <n v="39"/>
    <n v="7"/>
    <n v="14"/>
    <m/>
    <m/>
  </r>
  <r>
    <x v="51"/>
    <x v="44"/>
    <x v="1"/>
    <m/>
    <n v="9"/>
    <n v="4"/>
    <n v="15"/>
    <n v="4"/>
    <n v="5"/>
    <m/>
    <m/>
  </r>
  <r>
    <x v="51"/>
    <x v="14"/>
    <x v="11"/>
    <m/>
    <n v="24"/>
    <n v="0"/>
    <n v="21"/>
    <n v="0"/>
    <n v="19"/>
    <m/>
    <m/>
  </r>
  <r>
    <x v="51"/>
    <x v="37"/>
    <x v="11"/>
    <m/>
    <n v="30"/>
    <n v="0"/>
    <n v="26"/>
    <n v="0"/>
    <n v="8"/>
    <m/>
    <m/>
  </r>
  <r>
    <x v="51"/>
    <x v="46"/>
    <x v="8"/>
    <m/>
    <n v="31"/>
    <n v="1"/>
    <n v="18"/>
    <n v="0"/>
    <n v="6"/>
    <m/>
    <m/>
  </r>
  <r>
    <x v="51"/>
    <x v="22"/>
    <x v="7"/>
    <m/>
    <n v="17"/>
    <n v="10"/>
    <n v="21"/>
    <n v="2"/>
    <n v="2"/>
    <m/>
    <m/>
  </r>
  <r>
    <x v="51"/>
    <x v="64"/>
    <x v="7"/>
    <m/>
    <n v="13"/>
    <n v="6"/>
    <n v="2"/>
    <n v="2"/>
    <n v="3"/>
    <m/>
    <m/>
  </r>
  <r>
    <x v="51"/>
    <x v="61"/>
    <x v="12"/>
    <m/>
    <n v="30"/>
    <n v="7"/>
    <n v="28"/>
    <n v="4"/>
    <n v="9"/>
    <m/>
    <m/>
  </r>
  <r>
    <x v="51"/>
    <x v="19"/>
    <x v="13"/>
    <m/>
    <n v="0"/>
    <n v="2"/>
    <n v="0"/>
    <n v="9"/>
    <n v="0"/>
    <m/>
    <m/>
  </r>
  <r>
    <x v="51"/>
    <x v="67"/>
    <x v="13"/>
    <m/>
    <n v="10"/>
    <n v="11"/>
    <n v="5"/>
    <n v="4"/>
    <n v="10"/>
    <m/>
    <m/>
  </r>
  <r>
    <x v="51"/>
    <x v="53"/>
    <x v="14"/>
    <m/>
    <n v="44"/>
    <n v="15"/>
    <n v="25"/>
    <n v="10"/>
    <n v="17"/>
    <m/>
    <m/>
  </r>
  <r>
    <x v="51"/>
    <x v="21"/>
    <x v="15"/>
    <m/>
    <n v="21"/>
    <n v="12"/>
    <n v="19"/>
    <n v="5"/>
    <n v="6"/>
    <m/>
    <m/>
  </r>
  <r>
    <x v="51"/>
    <x v="45"/>
    <x v="16"/>
    <m/>
    <n v="25"/>
    <n v="1"/>
    <n v="11"/>
    <n v="0"/>
    <n v="13"/>
    <m/>
    <m/>
  </r>
  <r>
    <x v="51"/>
    <x v="62"/>
    <x v="16"/>
    <m/>
    <n v="4"/>
    <n v="0"/>
    <n v="1"/>
    <n v="0"/>
    <n v="3"/>
    <m/>
    <m/>
  </r>
  <r>
    <x v="51"/>
    <x v="62"/>
    <x v="24"/>
    <m/>
    <n v="23"/>
    <n v="10"/>
    <n v="8"/>
    <n v="2"/>
    <n v="3"/>
    <m/>
    <m/>
  </r>
  <r>
    <x v="51"/>
    <x v="45"/>
    <x v="24"/>
    <m/>
    <n v="1"/>
    <n v="0"/>
    <n v="0"/>
    <n v="0"/>
    <n v="1"/>
    <m/>
    <m/>
  </r>
  <r>
    <x v="51"/>
    <x v="63"/>
    <x v="17"/>
    <m/>
    <n v="24"/>
    <n v="7"/>
    <n v="23"/>
    <n v="4"/>
    <n v="15"/>
    <m/>
    <m/>
  </r>
  <r>
    <x v="51"/>
    <x v="33"/>
    <x v="18"/>
    <m/>
    <n v="16"/>
    <n v="7"/>
    <n v="11"/>
    <n v="13"/>
    <n v="7"/>
    <m/>
    <m/>
  </r>
  <r>
    <x v="51"/>
    <x v="56"/>
    <x v="20"/>
    <m/>
    <n v="20"/>
    <n v="0"/>
    <n v="18"/>
    <n v="1"/>
    <n v="5"/>
    <m/>
    <m/>
  </r>
  <r>
    <x v="51"/>
    <x v="38"/>
    <x v="21"/>
    <m/>
    <n v="20"/>
    <n v="5"/>
    <n v="30"/>
    <n v="4"/>
    <n v="11"/>
    <m/>
    <m/>
  </r>
  <r>
    <x v="51"/>
    <x v="41"/>
    <x v="22"/>
    <m/>
    <n v="11"/>
    <n v="3"/>
    <n v="15"/>
    <n v="0"/>
    <n v="8"/>
    <m/>
    <m/>
  </r>
  <r>
    <x v="51"/>
    <x v="49"/>
    <x v="26"/>
    <m/>
    <n v="11"/>
    <n v="1"/>
    <n v="14"/>
    <n v="1"/>
    <n v="9"/>
    <m/>
    <m/>
  </r>
  <r>
    <x v="51"/>
    <x v="51"/>
    <x v="26"/>
    <m/>
    <n v="1"/>
    <n v="0"/>
    <n v="0"/>
    <n v="0"/>
    <n v="1"/>
    <m/>
    <m/>
  </r>
  <r>
    <x v="51"/>
    <x v="54"/>
    <x v="27"/>
    <m/>
    <n v="6"/>
    <n v="3"/>
    <n v="6"/>
    <n v="6"/>
    <n v="2"/>
    <m/>
    <m/>
  </r>
  <r>
    <x v="51"/>
    <x v="59"/>
    <x v="29"/>
    <m/>
    <n v="5"/>
    <n v="5"/>
    <n v="3"/>
    <n v="1"/>
    <n v="2"/>
    <m/>
    <m/>
  </r>
  <r>
    <x v="52"/>
    <x v="15"/>
    <x v="3"/>
    <n v="178"/>
    <m/>
    <m/>
    <m/>
    <m/>
    <m/>
    <n v="127500"/>
    <m/>
  </r>
  <r>
    <x v="52"/>
    <x v="15"/>
    <x v="8"/>
    <n v="106"/>
    <m/>
    <m/>
    <m/>
    <m/>
    <m/>
    <n v="114050"/>
    <m/>
  </r>
  <r>
    <x v="52"/>
    <x v="15"/>
    <x v="4"/>
    <n v="303"/>
    <m/>
    <m/>
    <m/>
    <m/>
    <m/>
    <n v="203400"/>
    <m/>
  </r>
  <r>
    <x v="52"/>
    <x v="15"/>
    <x v="6"/>
    <n v="132"/>
    <m/>
    <m/>
    <m/>
    <m/>
    <m/>
    <n v="47000"/>
    <m/>
  </r>
  <r>
    <x v="52"/>
    <x v="15"/>
    <x v="11"/>
    <n v="218"/>
    <m/>
    <m/>
    <m/>
    <m/>
    <m/>
    <n v="289100"/>
    <m/>
  </r>
  <r>
    <x v="52"/>
    <x v="15"/>
    <x v="10"/>
    <n v="107"/>
    <m/>
    <m/>
    <m/>
    <m/>
    <m/>
    <n v="85000"/>
    <m/>
  </r>
  <r>
    <x v="52"/>
    <x v="15"/>
    <x v="0"/>
    <n v="161"/>
    <m/>
    <m/>
    <m/>
    <m/>
    <m/>
    <n v="380490"/>
    <m/>
  </r>
  <r>
    <x v="52"/>
    <x v="15"/>
    <x v="5"/>
    <n v="137"/>
    <m/>
    <m/>
    <m/>
    <m/>
    <m/>
    <n v="163150"/>
    <m/>
  </r>
  <r>
    <x v="52"/>
    <x v="15"/>
    <x v="9"/>
    <n v="244"/>
    <m/>
    <m/>
    <m/>
    <m/>
    <m/>
    <n v="329600"/>
    <m/>
  </r>
  <r>
    <x v="52"/>
    <x v="15"/>
    <x v="7"/>
    <n v="184"/>
    <m/>
    <m/>
    <m/>
    <m/>
    <m/>
    <n v="121650"/>
    <m/>
  </r>
  <r>
    <x v="52"/>
    <x v="15"/>
    <x v="2"/>
    <n v="222"/>
    <m/>
    <m/>
    <m/>
    <m/>
    <m/>
    <n v="355350"/>
    <m/>
  </r>
  <r>
    <x v="52"/>
    <x v="15"/>
    <x v="1"/>
    <n v="172"/>
    <m/>
    <m/>
    <m/>
    <m/>
    <m/>
    <n v="224400"/>
    <m/>
  </r>
  <r>
    <x v="52"/>
    <x v="15"/>
    <x v="12"/>
    <n v="188"/>
    <m/>
    <m/>
    <m/>
    <m/>
    <m/>
    <n v="93300"/>
    <m/>
  </r>
  <r>
    <x v="52"/>
    <x v="15"/>
    <x v="13"/>
    <n v="144"/>
    <m/>
    <m/>
    <m/>
    <m/>
    <m/>
    <n v="109500"/>
    <m/>
  </r>
  <r>
    <x v="52"/>
    <x v="15"/>
    <x v="14"/>
    <n v="226"/>
    <m/>
    <m/>
    <m/>
    <m/>
    <m/>
    <n v="144450"/>
    <m/>
  </r>
  <r>
    <x v="52"/>
    <x v="15"/>
    <x v="15"/>
    <n v="128"/>
    <m/>
    <m/>
    <m/>
    <m/>
    <m/>
    <n v="82350"/>
    <m/>
  </r>
  <r>
    <x v="52"/>
    <x v="15"/>
    <x v="16"/>
    <n v="113"/>
    <m/>
    <m/>
    <m/>
    <m/>
    <m/>
    <n v="37500"/>
    <m/>
  </r>
  <r>
    <x v="52"/>
    <x v="15"/>
    <x v="17"/>
    <n v="85"/>
    <m/>
    <m/>
    <m/>
    <m/>
    <m/>
    <n v="189300"/>
    <m/>
  </r>
  <r>
    <x v="52"/>
    <x v="15"/>
    <x v="18"/>
    <n v="112"/>
    <m/>
    <m/>
    <m/>
    <m/>
    <m/>
    <n v="133900"/>
    <m/>
  </r>
  <r>
    <x v="52"/>
    <x v="15"/>
    <x v="20"/>
    <n v="95"/>
    <m/>
    <m/>
    <m/>
    <m/>
    <m/>
    <n v="127500"/>
    <m/>
  </r>
  <r>
    <x v="52"/>
    <x v="15"/>
    <x v="21"/>
    <n v="114"/>
    <m/>
    <m/>
    <m/>
    <m/>
    <m/>
    <n v="131950"/>
    <m/>
  </r>
  <r>
    <x v="52"/>
    <x v="15"/>
    <x v="22"/>
    <n v="81"/>
    <m/>
    <m/>
    <m/>
    <m/>
    <m/>
    <n v="103400"/>
    <m/>
  </r>
  <r>
    <x v="52"/>
    <x v="15"/>
    <x v="24"/>
    <n v="83"/>
    <m/>
    <m/>
    <m/>
    <m/>
    <m/>
    <n v="76000"/>
    <m/>
  </r>
  <r>
    <x v="52"/>
    <x v="15"/>
    <x v="26"/>
    <n v="110"/>
    <m/>
    <m/>
    <m/>
    <m/>
    <m/>
    <n v="112250"/>
    <m/>
  </r>
  <r>
    <x v="52"/>
    <x v="15"/>
    <x v="27"/>
    <n v="41"/>
    <m/>
    <m/>
    <m/>
    <m/>
    <m/>
    <n v="38300"/>
    <m/>
  </r>
  <r>
    <x v="52"/>
    <x v="15"/>
    <x v="29"/>
    <n v="69"/>
    <m/>
    <m/>
    <m/>
    <m/>
    <m/>
    <n v="65350"/>
    <m/>
  </r>
  <r>
    <x v="52"/>
    <x v="15"/>
    <x v="30"/>
    <n v="148"/>
    <m/>
    <m/>
    <m/>
    <m/>
    <m/>
    <n v="50000"/>
    <m/>
  </r>
  <r>
    <x v="52"/>
    <x v="0"/>
    <x v="0"/>
    <m/>
    <n v="23"/>
    <n v="4"/>
    <n v="57"/>
    <n v="4"/>
    <n v="20"/>
    <m/>
    <m/>
  </r>
  <r>
    <x v="52"/>
    <x v="56"/>
    <x v="0"/>
    <m/>
    <n v="16"/>
    <n v="2"/>
    <n v="23"/>
    <n v="2"/>
    <n v="8"/>
    <m/>
    <m/>
  </r>
  <r>
    <x v="52"/>
    <x v="57"/>
    <x v="10"/>
    <m/>
    <n v="15"/>
    <n v="2"/>
    <n v="47"/>
    <n v="3"/>
    <n v="7"/>
    <m/>
    <m/>
  </r>
  <r>
    <x v="52"/>
    <x v="57"/>
    <x v="30"/>
    <m/>
    <n v="17"/>
    <n v="1"/>
    <n v="17"/>
    <n v="1"/>
    <n v="4"/>
    <m/>
    <m/>
  </r>
  <r>
    <x v="52"/>
    <x v="7"/>
    <x v="2"/>
    <m/>
    <n v="8"/>
    <n v="9"/>
    <n v="26"/>
    <n v="18"/>
    <n v="12"/>
    <m/>
    <m/>
  </r>
  <r>
    <x v="52"/>
    <x v="60"/>
    <x v="2"/>
    <m/>
    <n v="20"/>
    <n v="15"/>
    <n v="26"/>
    <n v="8"/>
    <n v="14"/>
    <m/>
    <m/>
  </r>
  <r>
    <x v="52"/>
    <x v="66"/>
    <x v="5"/>
    <m/>
    <n v="37"/>
    <n v="0"/>
    <n v="10"/>
    <n v="0"/>
    <n v="12"/>
    <m/>
    <m/>
  </r>
  <r>
    <x v="52"/>
    <x v="51"/>
    <x v="6"/>
    <m/>
    <n v="2"/>
    <n v="0"/>
    <n v="8"/>
    <n v="3"/>
    <n v="1"/>
    <m/>
    <m/>
  </r>
  <r>
    <x v="52"/>
    <x v="66"/>
    <x v="6"/>
    <m/>
    <n v="18"/>
    <n v="2"/>
    <n v="11"/>
    <n v="0"/>
    <n v="3"/>
    <m/>
    <m/>
  </r>
  <r>
    <x v="52"/>
    <x v="43"/>
    <x v="3"/>
    <m/>
    <n v="14"/>
    <n v="2"/>
    <n v="8"/>
    <n v="2"/>
    <n v="7"/>
    <m/>
    <m/>
  </r>
  <r>
    <x v="52"/>
    <x v="50"/>
    <x v="3"/>
    <m/>
    <n v="1"/>
    <n v="0"/>
    <n v="2"/>
    <n v="0"/>
    <n v="1"/>
    <m/>
    <m/>
  </r>
  <r>
    <x v="52"/>
    <x v="46"/>
    <x v="3"/>
    <m/>
    <n v="2"/>
    <n v="0"/>
    <n v="0"/>
    <n v="0"/>
    <n v="2"/>
    <m/>
    <m/>
  </r>
  <r>
    <x v="52"/>
    <x v="43"/>
    <x v="4"/>
    <m/>
    <n v="3"/>
    <n v="0"/>
    <n v="3"/>
    <n v="0"/>
    <n v="2"/>
    <m/>
    <m/>
  </r>
  <r>
    <x v="52"/>
    <x v="46"/>
    <x v="4"/>
    <m/>
    <n v="11"/>
    <n v="4"/>
    <n v="7"/>
    <n v="0"/>
    <n v="4"/>
    <m/>
    <m/>
  </r>
  <r>
    <x v="52"/>
    <x v="50"/>
    <x v="4"/>
    <m/>
    <n v="17"/>
    <n v="5"/>
    <n v="27"/>
    <n v="3"/>
    <n v="9"/>
    <m/>
    <m/>
  </r>
  <r>
    <x v="52"/>
    <x v="58"/>
    <x v="9"/>
    <m/>
    <n v="27"/>
    <n v="7"/>
    <n v="38"/>
    <n v="5"/>
    <n v="14"/>
    <m/>
    <m/>
  </r>
  <r>
    <x v="52"/>
    <x v="10"/>
    <x v="9"/>
    <m/>
    <n v="16"/>
    <n v="6"/>
    <n v="28"/>
    <n v="0"/>
    <n v="11"/>
    <m/>
    <m/>
  </r>
  <r>
    <x v="52"/>
    <x v="65"/>
    <x v="1"/>
    <m/>
    <n v="28"/>
    <n v="15"/>
    <n v="25"/>
    <n v="6"/>
    <n v="13"/>
    <m/>
    <m/>
  </r>
  <r>
    <x v="52"/>
    <x v="44"/>
    <x v="1"/>
    <m/>
    <n v="6"/>
    <n v="4"/>
    <n v="15"/>
    <n v="4"/>
    <n v="5"/>
    <m/>
    <m/>
  </r>
  <r>
    <x v="52"/>
    <x v="14"/>
    <x v="11"/>
    <m/>
    <n v="11"/>
    <n v="0"/>
    <n v="19"/>
    <n v="0"/>
    <n v="9"/>
    <m/>
    <m/>
  </r>
  <r>
    <x v="52"/>
    <x v="37"/>
    <x v="11"/>
    <m/>
    <n v="13"/>
    <n v="0"/>
    <n v="28"/>
    <n v="0"/>
    <n v="11"/>
    <m/>
    <m/>
  </r>
  <r>
    <x v="52"/>
    <x v="46"/>
    <x v="8"/>
    <m/>
    <n v="21"/>
    <n v="0"/>
    <n v="8"/>
    <n v="1"/>
    <n v="9"/>
    <m/>
    <m/>
  </r>
  <r>
    <x v="52"/>
    <x v="22"/>
    <x v="7"/>
    <m/>
    <n v="16"/>
    <n v="4"/>
    <n v="17"/>
    <n v="5"/>
    <n v="8"/>
    <m/>
    <m/>
  </r>
  <r>
    <x v="52"/>
    <x v="64"/>
    <x v="7"/>
    <m/>
    <n v="0"/>
    <n v="1"/>
    <n v="0"/>
    <n v="0"/>
    <n v="1"/>
    <m/>
    <m/>
  </r>
  <r>
    <x v="52"/>
    <x v="61"/>
    <x v="12"/>
    <m/>
    <n v="19"/>
    <n v="10"/>
    <n v="13"/>
    <n v="3"/>
    <n v="7"/>
    <m/>
    <m/>
  </r>
  <r>
    <x v="52"/>
    <x v="19"/>
    <x v="13"/>
    <m/>
    <n v="0"/>
    <n v="3"/>
    <n v="0"/>
    <n v="0"/>
    <n v="0"/>
    <m/>
    <m/>
  </r>
  <r>
    <x v="52"/>
    <x v="67"/>
    <x v="13"/>
    <m/>
    <n v="25"/>
    <n v="2"/>
    <n v="14"/>
    <n v="1"/>
    <n v="9"/>
    <m/>
    <m/>
  </r>
  <r>
    <x v="52"/>
    <x v="53"/>
    <x v="14"/>
    <m/>
    <n v="42"/>
    <n v="14"/>
    <n v="29"/>
    <n v="11"/>
    <n v="11"/>
    <m/>
    <m/>
  </r>
  <r>
    <x v="52"/>
    <x v="21"/>
    <x v="15"/>
    <m/>
    <n v="9"/>
    <n v="1"/>
    <n v="13"/>
    <n v="9"/>
    <n v="6"/>
    <m/>
    <m/>
  </r>
  <r>
    <x v="52"/>
    <x v="45"/>
    <x v="16"/>
    <m/>
    <n v="10"/>
    <n v="1"/>
    <n v="6"/>
    <n v="1"/>
    <n v="2"/>
    <m/>
    <m/>
  </r>
  <r>
    <x v="52"/>
    <x v="62"/>
    <x v="16"/>
    <m/>
    <n v="15"/>
    <n v="0"/>
    <n v="4"/>
    <n v="0"/>
    <n v="1"/>
    <m/>
    <m/>
  </r>
  <r>
    <x v="52"/>
    <x v="62"/>
    <x v="24"/>
    <m/>
    <n v="15"/>
    <n v="1"/>
    <n v="7"/>
    <n v="1"/>
    <n v="6"/>
    <m/>
    <m/>
  </r>
  <r>
    <x v="52"/>
    <x v="45"/>
    <x v="24"/>
    <m/>
    <n v="1"/>
    <n v="0"/>
    <n v="0"/>
    <n v="0"/>
    <n v="0"/>
    <m/>
    <m/>
  </r>
  <r>
    <x v="52"/>
    <x v="63"/>
    <x v="17"/>
    <m/>
    <n v="14"/>
    <n v="5"/>
    <n v="16"/>
    <n v="5"/>
    <n v="15"/>
    <m/>
    <m/>
  </r>
  <r>
    <x v="52"/>
    <x v="33"/>
    <x v="18"/>
    <m/>
    <n v="9"/>
    <n v="10"/>
    <n v="15"/>
    <n v="10"/>
    <n v="10"/>
    <m/>
    <m/>
  </r>
  <r>
    <x v="52"/>
    <x v="56"/>
    <x v="20"/>
    <m/>
    <n v="19"/>
    <n v="2"/>
    <n v="16"/>
    <n v="0"/>
    <n v="10"/>
    <m/>
    <m/>
  </r>
  <r>
    <x v="52"/>
    <x v="38"/>
    <x v="21"/>
    <m/>
    <n v="18"/>
    <n v="3"/>
    <n v="15"/>
    <n v="4"/>
    <n v="10"/>
    <m/>
    <m/>
  </r>
  <r>
    <x v="52"/>
    <x v="41"/>
    <x v="22"/>
    <m/>
    <n v="8"/>
    <n v="0"/>
    <n v="20"/>
    <n v="0"/>
    <n v="8"/>
    <m/>
    <m/>
  </r>
  <r>
    <x v="52"/>
    <x v="49"/>
    <x v="26"/>
    <m/>
    <n v="22"/>
    <n v="2"/>
    <n v="23"/>
    <n v="2"/>
    <n v="8"/>
    <m/>
    <m/>
  </r>
  <r>
    <x v="52"/>
    <x v="54"/>
    <x v="27"/>
    <m/>
    <n v="3"/>
    <n v="0"/>
    <n v="2"/>
    <n v="0"/>
    <n v="3"/>
    <m/>
    <m/>
  </r>
  <r>
    <x v="52"/>
    <x v="59"/>
    <x v="29"/>
    <m/>
    <n v="11"/>
    <n v="2"/>
    <n v="8"/>
    <n v="5"/>
    <n v="5"/>
    <m/>
    <m/>
  </r>
  <r>
    <x v="53"/>
    <x v="15"/>
    <x v="3"/>
    <n v="237"/>
    <m/>
    <m/>
    <m/>
    <m/>
    <m/>
    <n v="81900"/>
    <m/>
  </r>
  <r>
    <x v="53"/>
    <x v="15"/>
    <x v="8"/>
    <n v="170"/>
    <m/>
    <m/>
    <m/>
    <m/>
    <m/>
    <n v="139200"/>
    <m/>
  </r>
  <r>
    <x v="53"/>
    <x v="15"/>
    <x v="4"/>
    <n v="400"/>
    <m/>
    <m/>
    <m/>
    <m/>
    <m/>
    <n v="357750"/>
    <m/>
  </r>
  <r>
    <x v="53"/>
    <x v="15"/>
    <x v="6"/>
    <n v="167"/>
    <m/>
    <m/>
    <m/>
    <m/>
    <m/>
    <n v="136900"/>
    <m/>
  </r>
  <r>
    <x v="53"/>
    <x v="15"/>
    <x v="11"/>
    <n v="414"/>
    <m/>
    <m/>
    <m/>
    <m/>
    <m/>
    <n v="493900"/>
    <m/>
  </r>
  <r>
    <x v="53"/>
    <x v="15"/>
    <x v="10"/>
    <n v="119"/>
    <m/>
    <m/>
    <m/>
    <m/>
    <m/>
    <n v="171400"/>
    <m/>
  </r>
  <r>
    <x v="53"/>
    <x v="15"/>
    <x v="0"/>
    <n v="250"/>
    <m/>
    <m/>
    <m/>
    <m/>
    <m/>
    <n v="459400"/>
    <m/>
  </r>
  <r>
    <x v="53"/>
    <x v="15"/>
    <x v="5"/>
    <n v="153"/>
    <m/>
    <m/>
    <m/>
    <m/>
    <m/>
    <n v="107400"/>
    <m/>
  </r>
  <r>
    <x v="53"/>
    <x v="15"/>
    <x v="9"/>
    <n v="292"/>
    <m/>
    <m/>
    <m/>
    <m/>
    <m/>
    <n v="400250"/>
    <m/>
  </r>
  <r>
    <x v="53"/>
    <x v="15"/>
    <x v="7"/>
    <n v="366"/>
    <m/>
    <m/>
    <m/>
    <m/>
    <m/>
    <n v="96850"/>
    <m/>
  </r>
  <r>
    <x v="53"/>
    <x v="15"/>
    <x v="2"/>
    <n v="448"/>
    <m/>
    <m/>
    <m/>
    <m/>
    <m/>
    <n v="546300"/>
    <m/>
  </r>
  <r>
    <x v="53"/>
    <x v="15"/>
    <x v="1"/>
    <n v="280"/>
    <m/>
    <m/>
    <m/>
    <m/>
    <m/>
    <n v="406100"/>
    <m/>
  </r>
  <r>
    <x v="53"/>
    <x v="15"/>
    <x v="12"/>
    <n v="180"/>
    <m/>
    <m/>
    <m/>
    <m/>
    <m/>
    <n v="138200"/>
    <m/>
  </r>
  <r>
    <x v="53"/>
    <x v="15"/>
    <x v="13"/>
    <n v="169"/>
    <m/>
    <m/>
    <m/>
    <m/>
    <m/>
    <n v="249950"/>
    <m/>
  </r>
  <r>
    <x v="53"/>
    <x v="15"/>
    <x v="14"/>
    <n v="303"/>
    <m/>
    <m/>
    <m/>
    <m/>
    <m/>
    <n v="216300"/>
    <m/>
  </r>
  <r>
    <x v="53"/>
    <x v="15"/>
    <x v="15"/>
    <n v="127"/>
    <m/>
    <m/>
    <m/>
    <m/>
    <m/>
    <n v="93850"/>
    <m/>
  </r>
  <r>
    <x v="53"/>
    <x v="15"/>
    <x v="16"/>
    <n v="139"/>
    <m/>
    <m/>
    <m/>
    <m/>
    <m/>
    <n v="139490"/>
    <m/>
  </r>
  <r>
    <x v="53"/>
    <x v="15"/>
    <x v="17"/>
    <n v="106"/>
    <m/>
    <m/>
    <m/>
    <m/>
    <m/>
    <n v="250700"/>
    <m/>
  </r>
  <r>
    <x v="53"/>
    <x v="15"/>
    <x v="18"/>
    <n v="185"/>
    <m/>
    <m/>
    <m/>
    <m/>
    <m/>
    <n v="104500"/>
    <m/>
  </r>
  <r>
    <x v="53"/>
    <x v="15"/>
    <x v="20"/>
    <n v="145"/>
    <m/>
    <m/>
    <m/>
    <m/>
    <m/>
    <n v="142500"/>
    <m/>
  </r>
  <r>
    <x v="53"/>
    <x v="15"/>
    <x v="21"/>
    <n v="118"/>
    <m/>
    <m/>
    <m/>
    <m/>
    <m/>
    <n v="132600"/>
    <m/>
  </r>
  <r>
    <x v="53"/>
    <x v="15"/>
    <x v="22"/>
    <n v="134"/>
    <m/>
    <m/>
    <m/>
    <m/>
    <m/>
    <n v="51500"/>
    <m/>
  </r>
  <r>
    <x v="53"/>
    <x v="15"/>
    <x v="24"/>
    <n v="158"/>
    <m/>
    <m/>
    <m/>
    <m/>
    <m/>
    <n v="89900"/>
    <m/>
  </r>
  <r>
    <x v="53"/>
    <x v="15"/>
    <x v="26"/>
    <n v="189"/>
    <m/>
    <m/>
    <m/>
    <m/>
    <m/>
    <n v="156750"/>
    <m/>
  </r>
  <r>
    <x v="53"/>
    <x v="15"/>
    <x v="29"/>
    <n v="25"/>
    <m/>
    <m/>
    <m/>
    <m/>
    <m/>
    <n v="63000"/>
    <m/>
  </r>
  <r>
    <x v="53"/>
    <x v="15"/>
    <x v="30"/>
    <n v="155"/>
    <m/>
    <m/>
    <m/>
    <m/>
    <m/>
    <n v="101400"/>
    <m/>
  </r>
  <r>
    <x v="53"/>
    <x v="0"/>
    <x v="0"/>
    <m/>
    <n v="24"/>
    <n v="3"/>
    <n v="61"/>
    <n v="7"/>
    <n v="13"/>
    <m/>
    <m/>
  </r>
  <r>
    <x v="53"/>
    <x v="56"/>
    <x v="0"/>
    <m/>
    <n v="39"/>
    <n v="2"/>
    <n v="17"/>
    <n v="2"/>
    <n v="18"/>
    <m/>
    <m/>
  </r>
  <r>
    <x v="53"/>
    <x v="57"/>
    <x v="10"/>
    <m/>
    <n v="23"/>
    <n v="4"/>
    <n v="52"/>
    <n v="6"/>
    <n v="13"/>
    <m/>
    <m/>
  </r>
  <r>
    <x v="53"/>
    <x v="57"/>
    <x v="30"/>
    <m/>
    <n v="10"/>
    <n v="1"/>
    <n v="12"/>
    <n v="1"/>
    <n v="8"/>
    <m/>
    <m/>
  </r>
  <r>
    <x v="53"/>
    <x v="7"/>
    <x v="2"/>
    <m/>
    <n v="14"/>
    <n v="10"/>
    <n v="20"/>
    <n v="6"/>
    <n v="18"/>
    <m/>
    <m/>
  </r>
  <r>
    <x v="53"/>
    <x v="60"/>
    <x v="2"/>
    <m/>
    <n v="26"/>
    <n v="25"/>
    <n v="28"/>
    <n v="6"/>
    <n v="22"/>
    <m/>
    <m/>
  </r>
  <r>
    <x v="53"/>
    <x v="66"/>
    <x v="5"/>
    <m/>
    <n v="30"/>
    <n v="0"/>
    <n v="23"/>
    <n v="0"/>
    <n v="8"/>
    <m/>
    <m/>
  </r>
  <r>
    <x v="53"/>
    <x v="51"/>
    <x v="6"/>
    <m/>
    <n v="6"/>
    <n v="0"/>
    <n v="5"/>
    <n v="0"/>
    <n v="1"/>
    <m/>
    <m/>
  </r>
  <r>
    <x v="53"/>
    <x v="66"/>
    <x v="6"/>
    <m/>
    <n v="17"/>
    <n v="1"/>
    <n v="19"/>
    <n v="0"/>
    <n v="9"/>
    <m/>
    <m/>
  </r>
  <r>
    <x v="53"/>
    <x v="46"/>
    <x v="6"/>
    <m/>
    <n v="1"/>
    <n v="0"/>
    <n v="0"/>
    <n v="0"/>
    <n v="1"/>
    <m/>
    <m/>
  </r>
  <r>
    <x v="53"/>
    <x v="43"/>
    <x v="3"/>
    <m/>
    <n v="23"/>
    <n v="2"/>
    <n v="8"/>
    <n v="2"/>
    <n v="6"/>
    <m/>
    <m/>
  </r>
  <r>
    <x v="53"/>
    <x v="43"/>
    <x v="4"/>
    <m/>
    <n v="2"/>
    <n v="0"/>
    <n v="1"/>
    <n v="1"/>
    <n v="2"/>
    <m/>
    <m/>
  </r>
  <r>
    <x v="53"/>
    <x v="46"/>
    <x v="4"/>
    <m/>
    <n v="22"/>
    <n v="2"/>
    <n v="8"/>
    <n v="1"/>
    <n v="8"/>
    <m/>
    <m/>
  </r>
  <r>
    <x v="53"/>
    <x v="50"/>
    <x v="4"/>
    <m/>
    <n v="19"/>
    <n v="4"/>
    <n v="37"/>
    <n v="3"/>
    <n v="16"/>
    <m/>
    <m/>
  </r>
  <r>
    <x v="53"/>
    <x v="58"/>
    <x v="9"/>
    <m/>
    <n v="41"/>
    <n v="11"/>
    <n v="49"/>
    <n v="3"/>
    <n v="16"/>
    <m/>
    <m/>
  </r>
  <r>
    <x v="53"/>
    <x v="10"/>
    <x v="9"/>
    <m/>
    <n v="37"/>
    <n v="1"/>
    <n v="37"/>
    <n v="0"/>
    <n v="14"/>
    <m/>
    <m/>
  </r>
  <r>
    <x v="53"/>
    <x v="65"/>
    <x v="1"/>
    <m/>
    <n v="46"/>
    <n v="15"/>
    <n v="24"/>
    <n v="17"/>
    <n v="23"/>
    <m/>
    <m/>
  </r>
  <r>
    <x v="53"/>
    <x v="44"/>
    <x v="1"/>
    <m/>
    <n v="15"/>
    <n v="5"/>
    <n v="20"/>
    <n v="9"/>
    <n v="7"/>
    <m/>
    <m/>
  </r>
  <r>
    <x v="53"/>
    <x v="14"/>
    <x v="11"/>
    <m/>
    <n v="35"/>
    <n v="0"/>
    <n v="40"/>
    <n v="0"/>
    <n v="17"/>
    <m/>
    <m/>
  </r>
  <r>
    <x v="53"/>
    <x v="37"/>
    <x v="11"/>
    <m/>
    <n v="22"/>
    <n v="0"/>
    <n v="28"/>
    <n v="0"/>
    <n v="14"/>
    <m/>
    <m/>
  </r>
  <r>
    <x v="53"/>
    <x v="46"/>
    <x v="8"/>
    <m/>
    <n v="21"/>
    <n v="2"/>
    <n v="15"/>
    <n v="1"/>
    <n v="11"/>
    <m/>
    <m/>
  </r>
  <r>
    <x v="53"/>
    <x v="22"/>
    <x v="7"/>
    <m/>
    <n v="29"/>
    <n v="10"/>
    <n v="10"/>
    <n v="8"/>
    <n v="7"/>
    <m/>
    <m/>
  </r>
  <r>
    <x v="53"/>
    <x v="61"/>
    <x v="12"/>
    <m/>
    <n v="23"/>
    <n v="9"/>
    <n v="30"/>
    <n v="4"/>
    <n v="10"/>
    <m/>
    <m/>
  </r>
  <r>
    <x v="53"/>
    <x v="19"/>
    <x v="13"/>
    <m/>
    <n v="3"/>
    <n v="1"/>
    <n v="6"/>
    <n v="2"/>
    <n v="5"/>
    <m/>
    <m/>
  </r>
  <r>
    <x v="53"/>
    <x v="67"/>
    <x v="13"/>
    <m/>
    <n v="17"/>
    <n v="7"/>
    <n v="10"/>
    <n v="7"/>
    <n v="15"/>
    <m/>
    <m/>
  </r>
  <r>
    <x v="53"/>
    <x v="53"/>
    <x v="14"/>
    <m/>
    <n v="24"/>
    <n v="16"/>
    <n v="23"/>
    <n v="19"/>
    <n v="16"/>
    <m/>
    <m/>
  </r>
  <r>
    <x v="53"/>
    <x v="21"/>
    <x v="15"/>
    <m/>
    <n v="9"/>
    <n v="7"/>
    <n v="33"/>
    <n v="14"/>
    <n v="7"/>
    <m/>
    <m/>
  </r>
  <r>
    <x v="53"/>
    <x v="45"/>
    <x v="16"/>
    <m/>
    <n v="15"/>
    <n v="4"/>
    <n v="5"/>
    <n v="0"/>
    <n v="8"/>
    <m/>
    <m/>
  </r>
  <r>
    <x v="53"/>
    <x v="62"/>
    <x v="16"/>
    <m/>
    <n v="3"/>
    <n v="0"/>
    <n v="0"/>
    <n v="0"/>
    <n v="3"/>
    <m/>
    <m/>
  </r>
  <r>
    <x v="53"/>
    <x v="62"/>
    <x v="24"/>
    <m/>
    <n v="17"/>
    <n v="2"/>
    <n v="21"/>
    <n v="4"/>
    <n v="5"/>
    <m/>
    <m/>
  </r>
  <r>
    <x v="53"/>
    <x v="45"/>
    <x v="24"/>
    <m/>
    <n v="2"/>
    <n v="0"/>
    <n v="0"/>
    <n v="0"/>
    <n v="2"/>
    <m/>
    <m/>
  </r>
  <r>
    <x v="53"/>
    <x v="63"/>
    <x v="17"/>
    <m/>
    <n v="21"/>
    <n v="6"/>
    <n v="24"/>
    <n v="2"/>
    <n v="20"/>
    <m/>
    <m/>
  </r>
  <r>
    <x v="53"/>
    <x v="33"/>
    <x v="18"/>
    <m/>
    <n v="10"/>
    <n v="8"/>
    <n v="21"/>
    <n v="15"/>
    <n v="8"/>
    <m/>
    <m/>
  </r>
  <r>
    <x v="53"/>
    <x v="56"/>
    <x v="20"/>
    <m/>
    <n v="23"/>
    <n v="2"/>
    <n v="29"/>
    <n v="1"/>
    <n v="11"/>
    <m/>
    <m/>
  </r>
  <r>
    <x v="53"/>
    <x v="38"/>
    <x v="21"/>
    <m/>
    <n v="17"/>
    <n v="2"/>
    <n v="26"/>
    <n v="2"/>
    <n v="10"/>
    <m/>
    <m/>
  </r>
  <r>
    <x v="53"/>
    <x v="41"/>
    <x v="22"/>
    <m/>
    <n v="12"/>
    <n v="3"/>
    <n v="20"/>
    <n v="4"/>
    <n v="4"/>
    <m/>
    <m/>
  </r>
  <r>
    <x v="53"/>
    <x v="49"/>
    <x v="26"/>
    <m/>
    <n v="29"/>
    <n v="2"/>
    <n v="18"/>
    <n v="5"/>
    <n v="11"/>
    <m/>
    <m/>
  </r>
  <r>
    <x v="53"/>
    <x v="59"/>
    <x v="29"/>
    <m/>
    <n v="6"/>
    <n v="2"/>
    <n v="14"/>
    <n v="4"/>
    <n v="5"/>
    <m/>
    <m/>
  </r>
  <r>
    <x v="54"/>
    <x v="15"/>
    <x v="3"/>
    <n v="284"/>
    <m/>
    <m/>
    <m/>
    <m/>
    <m/>
    <n v="104300"/>
    <m/>
  </r>
  <r>
    <x v="54"/>
    <x v="15"/>
    <x v="8"/>
    <n v="274"/>
    <m/>
    <m/>
    <m/>
    <m/>
    <m/>
    <n v="125400"/>
    <m/>
  </r>
  <r>
    <x v="54"/>
    <x v="15"/>
    <x v="4"/>
    <n v="497"/>
    <m/>
    <m/>
    <m/>
    <m/>
    <m/>
    <n v="330350"/>
    <m/>
  </r>
  <r>
    <x v="54"/>
    <x v="15"/>
    <x v="6"/>
    <n v="193"/>
    <m/>
    <m/>
    <m/>
    <m/>
    <m/>
    <n v="66000"/>
    <m/>
  </r>
  <r>
    <x v="54"/>
    <x v="15"/>
    <x v="11"/>
    <n v="428"/>
    <m/>
    <m/>
    <m/>
    <m/>
    <m/>
    <n v="559300"/>
    <m/>
  </r>
  <r>
    <x v="54"/>
    <x v="15"/>
    <x v="10"/>
    <n v="151"/>
    <m/>
    <m/>
    <m/>
    <m/>
    <m/>
    <n v="89450"/>
    <m/>
  </r>
  <r>
    <x v="54"/>
    <x v="15"/>
    <x v="0"/>
    <n v="241"/>
    <m/>
    <m/>
    <m/>
    <m/>
    <m/>
    <n v="468000"/>
    <m/>
  </r>
  <r>
    <x v="54"/>
    <x v="15"/>
    <x v="5"/>
    <n v="187"/>
    <m/>
    <m/>
    <m/>
    <m/>
    <m/>
    <n v="187000"/>
    <m/>
  </r>
  <r>
    <x v="54"/>
    <x v="15"/>
    <x v="9"/>
    <n v="292"/>
    <m/>
    <m/>
    <m/>
    <m/>
    <m/>
    <n v="345650"/>
    <m/>
  </r>
  <r>
    <x v="54"/>
    <x v="15"/>
    <x v="7"/>
    <n v="366"/>
    <m/>
    <m/>
    <m/>
    <m/>
    <m/>
    <n v="109800"/>
    <m/>
  </r>
  <r>
    <x v="54"/>
    <x v="15"/>
    <x v="2"/>
    <n v="382"/>
    <m/>
    <m/>
    <m/>
    <m/>
    <m/>
    <n v="292150"/>
    <m/>
  </r>
  <r>
    <x v="54"/>
    <x v="15"/>
    <x v="1"/>
    <n v="328"/>
    <m/>
    <m/>
    <m/>
    <m/>
    <m/>
    <n v="264800"/>
    <m/>
  </r>
  <r>
    <x v="54"/>
    <x v="15"/>
    <x v="12"/>
    <n v="255"/>
    <m/>
    <m/>
    <m/>
    <m/>
    <m/>
    <n v="135300"/>
    <m/>
  </r>
  <r>
    <x v="54"/>
    <x v="15"/>
    <x v="13"/>
    <n v="185"/>
    <m/>
    <m/>
    <m/>
    <m/>
    <m/>
    <n v="53870"/>
    <m/>
  </r>
  <r>
    <x v="54"/>
    <x v="15"/>
    <x v="14"/>
    <n v="381"/>
    <m/>
    <m/>
    <m/>
    <m/>
    <m/>
    <n v="189800"/>
    <m/>
  </r>
  <r>
    <x v="54"/>
    <x v="15"/>
    <x v="15"/>
    <n v="218"/>
    <m/>
    <m/>
    <m/>
    <m/>
    <m/>
    <n v="67800"/>
    <m/>
  </r>
  <r>
    <x v="54"/>
    <x v="15"/>
    <x v="16"/>
    <n v="186"/>
    <m/>
    <m/>
    <m/>
    <m/>
    <m/>
    <n v="126920"/>
    <m/>
  </r>
  <r>
    <x v="54"/>
    <x v="15"/>
    <x v="17"/>
    <n v="105"/>
    <m/>
    <m/>
    <m/>
    <m/>
    <m/>
    <n v="211200"/>
    <m/>
  </r>
  <r>
    <x v="54"/>
    <x v="15"/>
    <x v="18"/>
    <n v="314"/>
    <m/>
    <m/>
    <m/>
    <m/>
    <m/>
    <n v="56400"/>
    <m/>
  </r>
  <r>
    <x v="54"/>
    <x v="15"/>
    <x v="20"/>
    <n v="132"/>
    <m/>
    <m/>
    <m/>
    <m/>
    <m/>
    <n v="130500"/>
    <m/>
  </r>
  <r>
    <x v="54"/>
    <x v="15"/>
    <x v="21"/>
    <n v="165"/>
    <m/>
    <m/>
    <m/>
    <m/>
    <m/>
    <n v="143400"/>
    <m/>
  </r>
  <r>
    <x v="54"/>
    <x v="15"/>
    <x v="22"/>
    <n v="261"/>
    <m/>
    <m/>
    <m/>
    <m/>
    <m/>
    <n v="38900"/>
    <m/>
  </r>
  <r>
    <x v="54"/>
    <x v="15"/>
    <x v="24"/>
    <n v="198"/>
    <m/>
    <m/>
    <m/>
    <m/>
    <m/>
    <n v="39500"/>
    <m/>
  </r>
  <r>
    <x v="54"/>
    <x v="15"/>
    <x v="26"/>
    <n v="196"/>
    <m/>
    <m/>
    <m/>
    <m/>
    <m/>
    <n v="165400"/>
    <m/>
  </r>
  <r>
    <x v="54"/>
    <x v="15"/>
    <x v="30"/>
    <n v="198"/>
    <m/>
    <m/>
    <m/>
    <m/>
    <m/>
    <n v="78900"/>
    <m/>
  </r>
  <r>
    <x v="54"/>
    <x v="0"/>
    <x v="0"/>
    <m/>
    <n v="24"/>
    <n v="8"/>
    <n v="56"/>
    <n v="6"/>
    <n v="13"/>
    <m/>
    <m/>
  </r>
  <r>
    <x v="54"/>
    <x v="56"/>
    <x v="0"/>
    <m/>
    <n v="17"/>
    <n v="6"/>
    <n v="35"/>
    <n v="4"/>
    <n v="19"/>
    <m/>
    <m/>
  </r>
  <r>
    <x v="54"/>
    <x v="57"/>
    <x v="0"/>
    <m/>
    <n v="2"/>
    <n v="1"/>
    <n v="0"/>
    <n v="0"/>
    <n v="0"/>
    <m/>
    <m/>
  </r>
  <r>
    <x v="54"/>
    <x v="57"/>
    <x v="10"/>
    <m/>
    <n v="24"/>
    <n v="2"/>
    <n v="59"/>
    <n v="2"/>
    <n v="7"/>
    <m/>
    <m/>
  </r>
  <r>
    <x v="54"/>
    <x v="57"/>
    <x v="30"/>
    <m/>
    <n v="7"/>
    <n v="3"/>
    <n v="17"/>
    <n v="3"/>
    <n v="6"/>
    <m/>
    <m/>
  </r>
  <r>
    <x v="54"/>
    <x v="68"/>
    <x v="30"/>
    <m/>
    <n v="12"/>
    <n v="2"/>
    <n v="0"/>
    <n v="0"/>
    <n v="0"/>
    <m/>
    <m/>
  </r>
  <r>
    <x v="54"/>
    <x v="7"/>
    <x v="2"/>
    <m/>
    <n v="18"/>
    <n v="26"/>
    <n v="16"/>
    <n v="16"/>
    <n v="14"/>
    <m/>
    <m/>
  </r>
  <r>
    <x v="54"/>
    <x v="60"/>
    <x v="2"/>
    <m/>
    <n v="26"/>
    <n v="38"/>
    <n v="21"/>
    <n v="8"/>
    <n v="8"/>
    <m/>
    <m/>
  </r>
  <r>
    <x v="54"/>
    <x v="66"/>
    <x v="5"/>
    <m/>
    <n v="51"/>
    <n v="2"/>
    <n v="29"/>
    <n v="0"/>
    <n v="13"/>
    <m/>
    <m/>
  </r>
  <r>
    <x v="54"/>
    <x v="51"/>
    <x v="6"/>
    <m/>
    <n v="0"/>
    <n v="3"/>
    <n v="0"/>
    <n v="4"/>
    <n v="0"/>
    <m/>
    <m/>
  </r>
  <r>
    <x v="54"/>
    <x v="66"/>
    <x v="6"/>
    <m/>
    <n v="29"/>
    <n v="3"/>
    <n v="13"/>
    <n v="2"/>
    <n v="5"/>
    <m/>
    <m/>
  </r>
  <r>
    <x v="54"/>
    <x v="69"/>
    <x v="6"/>
    <m/>
    <n v="11"/>
    <n v="3"/>
    <n v="0"/>
    <n v="0"/>
    <n v="0"/>
    <m/>
    <m/>
  </r>
  <r>
    <x v="54"/>
    <x v="69"/>
    <x v="3"/>
    <m/>
    <n v="11"/>
    <n v="0"/>
    <n v="0"/>
    <n v="0"/>
    <n v="0"/>
    <m/>
    <m/>
  </r>
  <r>
    <x v="54"/>
    <x v="43"/>
    <x v="3"/>
    <m/>
    <n v="9"/>
    <n v="3"/>
    <n v="10"/>
    <n v="4"/>
    <n v="7"/>
    <m/>
    <m/>
  </r>
  <r>
    <x v="54"/>
    <x v="43"/>
    <x v="4"/>
    <m/>
    <n v="0"/>
    <n v="0"/>
    <n v="5"/>
    <n v="1"/>
    <n v="1"/>
    <m/>
    <m/>
  </r>
  <r>
    <x v="54"/>
    <x v="46"/>
    <x v="4"/>
    <m/>
    <n v="23"/>
    <n v="2"/>
    <n v="4"/>
    <n v="1"/>
    <n v="7"/>
    <m/>
    <m/>
  </r>
  <r>
    <x v="54"/>
    <x v="50"/>
    <x v="4"/>
    <m/>
    <n v="22"/>
    <n v="3"/>
    <n v="23"/>
    <n v="1"/>
    <n v="14"/>
    <m/>
    <m/>
  </r>
  <r>
    <x v="54"/>
    <x v="69"/>
    <x v="4"/>
    <m/>
    <n v="16"/>
    <n v="2"/>
    <n v="0"/>
    <n v="0"/>
    <n v="2"/>
    <m/>
    <m/>
  </r>
  <r>
    <x v="54"/>
    <x v="58"/>
    <x v="9"/>
    <m/>
    <n v="37"/>
    <n v="11"/>
    <n v="50"/>
    <n v="2"/>
    <n v="16"/>
    <m/>
    <m/>
  </r>
  <r>
    <x v="54"/>
    <x v="10"/>
    <x v="9"/>
    <m/>
    <n v="32"/>
    <n v="2"/>
    <n v="29"/>
    <n v="3"/>
    <n v="9"/>
    <m/>
    <m/>
  </r>
  <r>
    <x v="54"/>
    <x v="65"/>
    <x v="1"/>
    <m/>
    <n v="28"/>
    <n v="19"/>
    <n v="37"/>
    <n v="10"/>
    <n v="15"/>
    <m/>
    <m/>
  </r>
  <r>
    <x v="54"/>
    <x v="44"/>
    <x v="1"/>
    <m/>
    <n v="14"/>
    <n v="2"/>
    <n v="13"/>
    <n v="2"/>
    <n v="5"/>
    <m/>
    <m/>
  </r>
  <r>
    <x v="54"/>
    <x v="14"/>
    <x v="11"/>
    <m/>
    <n v="23"/>
    <n v="0"/>
    <n v="38"/>
    <n v="0"/>
    <n v="18"/>
    <m/>
    <m/>
  </r>
  <r>
    <x v="54"/>
    <x v="37"/>
    <x v="11"/>
    <m/>
    <n v="25"/>
    <n v="0"/>
    <n v="33"/>
    <n v="0"/>
    <n v="17"/>
    <m/>
    <m/>
  </r>
  <r>
    <x v="54"/>
    <x v="46"/>
    <x v="8"/>
    <m/>
    <n v="23"/>
    <n v="4"/>
    <n v="17"/>
    <n v="0"/>
    <n v="10"/>
    <m/>
    <m/>
  </r>
  <r>
    <x v="54"/>
    <x v="22"/>
    <x v="7"/>
    <m/>
    <n v="16"/>
    <n v="14"/>
    <n v="11"/>
    <n v="6"/>
    <n v="8"/>
    <m/>
    <m/>
  </r>
  <r>
    <x v="54"/>
    <x v="61"/>
    <x v="12"/>
    <m/>
    <n v="16"/>
    <n v="6"/>
    <n v="25"/>
    <n v="4"/>
    <n v="10"/>
    <m/>
    <m/>
  </r>
  <r>
    <x v="54"/>
    <x v="19"/>
    <x v="13"/>
    <m/>
    <n v="0"/>
    <n v="0"/>
    <n v="0"/>
    <n v="3"/>
    <n v="0"/>
    <m/>
    <m/>
  </r>
  <r>
    <x v="54"/>
    <x v="67"/>
    <x v="13"/>
    <m/>
    <n v="36"/>
    <n v="7"/>
    <n v="15"/>
    <n v="14"/>
    <n v="4"/>
    <m/>
    <m/>
  </r>
  <r>
    <x v="54"/>
    <x v="53"/>
    <x v="14"/>
    <m/>
    <n v="9"/>
    <n v="11"/>
    <n v="7"/>
    <n v="7"/>
    <n v="14"/>
    <m/>
    <m/>
  </r>
  <r>
    <x v="54"/>
    <x v="21"/>
    <x v="15"/>
    <m/>
    <n v="21"/>
    <n v="1"/>
    <n v="25"/>
    <n v="10"/>
    <n v="5"/>
    <m/>
    <m/>
  </r>
  <r>
    <x v="54"/>
    <x v="45"/>
    <x v="16"/>
    <m/>
    <n v="13"/>
    <n v="2"/>
    <n v="5"/>
    <n v="1"/>
    <n v="7"/>
    <m/>
    <m/>
  </r>
  <r>
    <x v="54"/>
    <x v="62"/>
    <x v="16"/>
    <m/>
    <n v="1"/>
    <n v="0"/>
    <n v="2"/>
    <n v="0"/>
    <n v="3"/>
    <m/>
    <m/>
  </r>
  <r>
    <x v="54"/>
    <x v="62"/>
    <x v="24"/>
    <m/>
    <n v="8"/>
    <n v="2"/>
    <n v="3"/>
    <n v="1"/>
    <n v="3"/>
    <m/>
    <m/>
  </r>
  <r>
    <x v="54"/>
    <x v="63"/>
    <x v="17"/>
    <m/>
    <n v="19"/>
    <n v="6"/>
    <n v="22"/>
    <n v="3"/>
    <n v="17"/>
    <m/>
    <m/>
  </r>
  <r>
    <x v="54"/>
    <x v="33"/>
    <x v="18"/>
    <m/>
    <n v="20"/>
    <n v="7"/>
    <n v="16"/>
    <n v="4"/>
    <n v="4"/>
    <m/>
    <m/>
  </r>
  <r>
    <x v="54"/>
    <x v="56"/>
    <x v="20"/>
    <m/>
    <n v="22"/>
    <n v="1"/>
    <n v="19"/>
    <n v="0"/>
    <n v="10"/>
    <m/>
    <m/>
  </r>
  <r>
    <x v="54"/>
    <x v="38"/>
    <x v="21"/>
    <m/>
    <n v="22"/>
    <n v="4"/>
    <n v="28"/>
    <n v="8"/>
    <n v="11"/>
    <m/>
    <m/>
  </r>
  <r>
    <x v="54"/>
    <x v="41"/>
    <x v="22"/>
    <m/>
    <n v="10"/>
    <n v="4"/>
    <n v="10"/>
    <n v="2"/>
    <n v="3"/>
    <m/>
    <m/>
  </r>
  <r>
    <x v="54"/>
    <x v="49"/>
    <x v="26"/>
    <m/>
    <n v="28"/>
    <n v="0"/>
    <n v="32"/>
    <n v="0"/>
    <n v="11"/>
    <m/>
    <m/>
  </r>
  <r>
    <x v="55"/>
    <x v="15"/>
    <x v="3"/>
    <n v="241"/>
    <m/>
    <m/>
    <m/>
    <m/>
    <m/>
    <n v="112900"/>
    <m/>
  </r>
  <r>
    <x v="55"/>
    <x v="15"/>
    <x v="8"/>
    <n v="214"/>
    <m/>
    <m/>
    <m/>
    <m/>
    <m/>
    <n v="131500"/>
    <m/>
  </r>
  <r>
    <x v="55"/>
    <x v="15"/>
    <x v="4"/>
    <n v="447"/>
    <m/>
    <m/>
    <m/>
    <m/>
    <m/>
    <n v="248150"/>
    <m/>
  </r>
  <r>
    <x v="55"/>
    <x v="15"/>
    <x v="6"/>
    <n v="187"/>
    <m/>
    <m/>
    <m/>
    <m/>
    <m/>
    <n v="139150"/>
    <m/>
  </r>
  <r>
    <x v="55"/>
    <x v="15"/>
    <x v="11"/>
    <n v="402"/>
    <m/>
    <m/>
    <m/>
    <m/>
    <m/>
    <n v="477500"/>
    <m/>
  </r>
  <r>
    <x v="55"/>
    <x v="15"/>
    <x v="10"/>
    <n v="120"/>
    <m/>
    <m/>
    <m/>
    <m/>
    <m/>
    <n v="148700"/>
    <m/>
  </r>
  <r>
    <x v="55"/>
    <x v="15"/>
    <x v="0"/>
    <n v="254"/>
    <m/>
    <m/>
    <m/>
    <m/>
    <m/>
    <n v="331500"/>
    <m/>
  </r>
  <r>
    <x v="55"/>
    <x v="15"/>
    <x v="5"/>
    <n v="195"/>
    <m/>
    <m/>
    <m/>
    <m/>
    <m/>
    <n v="155400"/>
    <m/>
  </r>
  <r>
    <x v="55"/>
    <x v="15"/>
    <x v="9"/>
    <n v="341"/>
    <m/>
    <m/>
    <m/>
    <m/>
    <m/>
    <n v="212750"/>
    <m/>
  </r>
  <r>
    <x v="55"/>
    <x v="15"/>
    <x v="7"/>
    <n v="288"/>
    <m/>
    <m/>
    <m/>
    <m/>
    <m/>
    <n v="97250"/>
    <m/>
  </r>
  <r>
    <x v="55"/>
    <x v="15"/>
    <x v="2"/>
    <n v="442"/>
    <m/>
    <m/>
    <m/>
    <m/>
    <m/>
    <n v="331500"/>
    <m/>
  </r>
  <r>
    <x v="55"/>
    <x v="15"/>
    <x v="1"/>
    <n v="316"/>
    <m/>
    <m/>
    <m/>
    <m/>
    <m/>
    <n v="223900"/>
    <m/>
  </r>
  <r>
    <x v="55"/>
    <x v="15"/>
    <x v="12"/>
    <n v="237"/>
    <m/>
    <m/>
    <m/>
    <m/>
    <m/>
    <n v="125400"/>
    <m/>
  </r>
  <r>
    <x v="55"/>
    <x v="15"/>
    <x v="13"/>
    <n v="195"/>
    <m/>
    <m/>
    <m/>
    <m/>
    <m/>
    <n v="107020"/>
    <m/>
  </r>
  <r>
    <x v="55"/>
    <x v="15"/>
    <x v="14"/>
    <n v="321"/>
    <m/>
    <m/>
    <m/>
    <m/>
    <m/>
    <n v="193900"/>
    <m/>
  </r>
  <r>
    <x v="55"/>
    <x v="15"/>
    <x v="15"/>
    <n v="209"/>
    <m/>
    <m/>
    <m/>
    <m/>
    <m/>
    <n v="110750"/>
    <m/>
  </r>
  <r>
    <x v="55"/>
    <x v="15"/>
    <x v="16"/>
    <n v="186"/>
    <m/>
    <m/>
    <m/>
    <m/>
    <m/>
    <n v="130470"/>
    <m/>
  </r>
  <r>
    <x v="55"/>
    <x v="15"/>
    <x v="17"/>
    <n v="106"/>
    <m/>
    <m/>
    <m/>
    <m/>
    <m/>
    <n v="145400"/>
    <m/>
  </r>
  <r>
    <x v="55"/>
    <x v="15"/>
    <x v="18"/>
    <n v="255"/>
    <m/>
    <m/>
    <m/>
    <m/>
    <m/>
    <n v="132800"/>
    <m/>
  </r>
  <r>
    <x v="55"/>
    <x v="15"/>
    <x v="20"/>
    <n v="175"/>
    <m/>
    <m/>
    <m/>
    <m/>
    <m/>
    <n v="106000"/>
    <m/>
  </r>
  <r>
    <x v="55"/>
    <x v="15"/>
    <x v="21"/>
    <n v="97"/>
    <m/>
    <m/>
    <m/>
    <m/>
    <m/>
    <n v="119800"/>
    <m/>
  </r>
  <r>
    <x v="55"/>
    <x v="15"/>
    <x v="22"/>
    <n v="227"/>
    <m/>
    <m/>
    <m/>
    <m/>
    <m/>
    <n v="64800"/>
    <m/>
  </r>
  <r>
    <x v="55"/>
    <x v="15"/>
    <x v="24"/>
    <n v="167"/>
    <m/>
    <m/>
    <m/>
    <m/>
    <m/>
    <n v="66500"/>
    <m/>
  </r>
  <r>
    <x v="55"/>
    <x v="15"/>
    <x v="26"/>
    <n v="218"/>
    <m/>
    <m/>
    <m/>
    <m/>
    <m/>
    <n v="159150"/>
    <m/>
  </r>
  <r>
    <x v="55"/>
    <x v="15"/>
    <x v="30"/>
    <n v="166"/>
    <m/>
    <m/>
    <m/>
    <m/>
    <m/>
    <n v="104000"/>
    <m/>
  </r>
  <r>
    <x v="55"/>
    <x v="0"/>
    <x v="0"/>
    <m/>
    <n v="16"/>
    <n v="2"/>
    <n v="59"/>
    <n v="0"/>
    <n v="13"/>
    <m/>
    <m/>
  </r>
  <r>
    <x v="55"/>
    <x v="56"/>
    <x v="0"/>
    <m/>
    <n v="8"/>
    <n v="2"/>
    <n v="21"/>
    <n v="0"/>
    <n v="8"/>
    <m/>
    <m/>
  </r>
  <r>
    <x v="55"/>
    <x v="57"/>
    <x v="0"/>
    <m/>
    <n v="11"/>
    <n v="2"/>
    <n v="1"/>
    <n v="0"/>
    <n v="1"/>
    <m/>
    <m/>
  </r>
  <r>
    <x v="55"/>
    <x v="57"/>
    <x v="10"/>
    <m/>
    <n v="12"/>
    <n v="0"/>
    <n v="33"/>
    <n v="1"/>
    <n v="12"/>
    <m/>
    <m/>
  </r>
  <r>
    <x v="55"/>
    <x v="57"/>
    <x v="30"/>
    <m/>
    <n v="0"/>
    <n v="0"/>
    <n v="19"/>
    <n v="3"/>
    <n v="6"/>
    <m/>
    <m/>
  </r>
  <r>
    <x v="55"/>
    <x v="68"/>
    <x v="30"/>
    <m/>
    <n v="21"/>
    <n v="1"/>
    <n v="4"/>
    <n v="0"/>
    <n v="2"/>
    <m/>
    <m/>
  </r>
  <r>
    <x v="55"/>
    <x v="7"/>
    <x v="2"/>
    <m/>
    <n v="19"/>
    <n v="10"/>
    <n v="14"/>
    <n v="1"/>
    <n v="12"/>
    <m/>
    <m/>
  </r>
  <r>
    <x v="55"/>
    <x v="60"/>
    <x v="2"/>
    <m/>
    <n v="18"/>
    <n v="23"/>
    <n v="6"/>
    <n v="12"/>
    <n v="13"/>
    <m/>
    <m/>
  </r>
  <r>
    <x v="55"/>
    <x v="66"/>
    <x v="5"/>
    <m/>
    <n v="45"/>
    <n v="2"/>
    <n v="30"/>
    <n v="0"/>
    <n v="11"/>
    <m/>
    <m/>
  </r>
  <r>
    <x v="55"/>
    <x v="51"/>
    <x v="6"/>
    <m/>
    <n v="0"/>
    <n v="0"/>
    <n v="0"/>
    <n v="0"/>
    <n v="2"/>
    <m/>
    <m/>
  </r>
  <r>
    <x v="55"/>
    <x v="66"/>
    <x v="6"/>
    <m/>
    <n v="13"/>
    <n v="1"/>
    <n v="9"/>
    <n v="0"/>
    <n v="2"/>
    <m/>
    <m/>
  </r>
  <r>
    <x v="55"/>
    <x v="69"/>
    <x v="6"/>
    <m/>
    <n v="9"/>
    <n v="1"/>
    <n v="11"/>
    <n v="0"/>
    <n v="7"/>
    <m/>
    <m/>
  </r>
  <r>
    <x v="55"/>
    <x v="69"/>
    <x v="3"/>
    <m/>
    <n v="3"/>
    <n v="1"/>
    <n v="1"/>
    <n v="0"/>
    <n v="3"/>
    <m/>
    <m/>
  </r>
  <r>
    <x v="55"/>
    <x v="43"/>
    <x v="3"/>
    <m/>
    <n v="16"/>
    <n v="5"/>
    <n v="11"/>
    <n v="1"/>
    <n v="5"/>
    <m/>
    <m/>
  </r>
  <r>
    <x v="55"/>
    <x v="46"/>
    <x v="3"/>
    <m/>
    <n v="1"/>
    <n v="0"/>
    <n v="0"/>
    <n v="0"/>
    <n v="1"/>
    <m/>
    <m/>
  </r>
  <r>
    <x v="55"/>
    <x v="46"/>
    <x v="4"/>
    <m/>
    <n v="10"/>
    <n v="0"/>
    <n v="2"/>
    <n v="0"/>
    <n v="5"/>
    <m/>
    <m/>
  </r>
  <r>
    <x v="55"/>
    <x v="50"/>
    <x v="4"/>
    <m/>
    <n v="20"/>
    <n v="4"/>
    <n v="17"/>
    <n v="4"/>
    <n v="6"/>
    <m/>
    <m/>
  </r>
  <r>
    <x v="55"/>
    <x v="69"/>
    <x v="4"/>
    <m/>
    <n v="9"/>
    <n v="2"/>
    <n v="7"/>
    <n v="1"/>
    <n v="7"/>
    <m/>
    <m/>
  </r>
  <r>
    <x v="55"/>
    <x v="58"/>
    <x v="9"/>
    <m/>
    <n v="27"/>
    <n v="4"/>
    <n v="39"/>
    <n v="1"/>
    <n v="9"/>
    <m/>
    <m/>
  </r>
  <r>
    <x v="55"/>
    <x v="10"/>
    <x v="9"/>
    <m/>
    <n v="25"/>
    <n v="4"/>
    <n v="28"/>
    <n v="3"/>
    <n v="6"/>
    <m/>
    <m/>
  </r>
  <r>
    <x v="55"/>
    <x v="65"/>
    <x v="1"/>
    <m/>
    <n v="33"/>
    <n v="24"/>
    <n v="23"/>
    <n v="2"/>
    <n v="10"/>
    <m/>
    <m/>
  </r>
  <r>
    <x v="55"/>
    <x v="44"/>
    <x v="1"/>
    <m/>
    <n v="7"/>
    <n v="0"/>
    <n v="10"/>
    <n v="3"/>
    <n v="7"/>
    <m/>
    <m/>
  </r>
  <r>
    <x v="55"/>
    <x v="14"/>
    <x v="11"/>
    <m/>
    <n v="23"/>
    <n v="0"/>
    <n v="36"/>
    <n v="0"/>
    <n v="12"/>
    <m/>
    <m/>
  </r>
  <r>
    <x v="55"/>
    <x v="37"/>
    <x v="11"/>
    <m/>
    <n v="14"/>
    <n v="0"/>
    <n v="37"/>
    <n v="0"/>
    <n v="18"/>
    <m/>
    <m/>
  </r>
  <r>
    <x v="55"/>
    <x v="46"/>
    <x v="8"/>
    <m/>
    <n v="20"/>
    <n v="0"/>
    <n v="21"/>
    <n v="4"/>
    <n v="10"/>
    <m/>
    <m/>
  </r>
  <r>
    <x v="55"/>
    <x v="22"/>
    <x v="7"/>
    <m/>
    <n v="8"/>
    <n v="8"/>
    <n v="18"/>
    <n v="5"/>
    <n v="7"/>
    <m/>
    <m/>
  </r>
  <r>
    <x v="55"/>
    <x v="70"/>
    <x v="7"/>
    <m/>
    <n v="11"/>
    <n v="5"/>
    <n v="0"/>
    <n v="0"/>
    <n v="0"/>
    <m/>
    <m/>
  </r>
  <r>
    <x v="55"/>
    <x v="61"/>
    <x v="12"/>
    <m/>
    <n v="18"/>
    <n v="5"/>
    <n v="22"/>
    <n v="5"/>
    <n v="9"/>
    <m/>
    <m/>
  </r>
  <r>
    <x v="55"/>
    <x v="67"/>
    <x v="13"/>
    <m/>
    <n v="14"/>
    <n v="18"/>
    <n v="17"/>
    <n v="5"/>
    <n v="8"/>
    <m/>
    <m/>
  </r>
  <r>
    <x v="55"/>
    <x v="53"/>
    <x v="14"/>
    <m/>
    <n v="18"/>
    <n v="22"/>
    <n v="18"/>
    <n v="27"/>
    <n v="15"/>
    <m/>
    <m/>
  </r>
  <r>
    <x v="55"/>
    <x v="21"/>
    <x v="15"/>
    <m/>
    <n v="9"/>
    <n v="1"/>
    <n v="24"/>
    <n v="3"/>
    <n v="8"/>
    <m/>
    <m/>
  </r>
  <r>
    <x v="55"/>
    <x v="45"/>
    <x v="16"/>
    <m/>
    <n v="12"/>
    <n v="0"/>
    <n v="8"/>
    <n v="1"/>
    <n v="9"/>
    <m/>
    <m/>
  </r>
  <r>
    <x v="55"/>
    <x v="62"/>
    <x v="16"/>
    <m/>
    <n v="5"/>
    <n v="0"/>
    <n v="4"/>
    <n v="1"/>
    <n v="1"/>
    <m/>
    <m/>
  </r>
  <r>
    <x v="55"/>
    <x v="62"/>
    <x v="24"/>
    <m/>
    <n v="13"/>
    <n v="2"/>
    <n v="10"/>
    <n v="3"/>
    <n v="5"/>
    <m/>
    <m/>
  </r>
  <r>
    <x v="55"/>
    <x v="63"/>
    <x v="17"/>
    <m/>
    <n v="14"/>
    <n v="8"/>
    <n v="17"/>
    <n v="2"/>
    <n v="12"/>
    <m/>
    <m/>
  </r>
  <r>
    <x v="55"/>
    <x v="33"/>
    <x v="18"/>
    <m/>
    <n v="14"/>
    <n v="2"/>
    <n v="11"/>
    <n v="8"/>
    <n v="10"/>
    <m/>
    <m/>
  </r>
  <r>
    <x v="55"/>
    <x v="56"/>
    <x v="20"/>
    <m/>
    <n v="16"/>
    <n v="0"/>
    <n v="26"/>
    <n v="0"/>
    <n v="8"/>
    <m/>
    <m/>
  </r>
  <r>
    <x v="55"/>
    <x v="38"/>
    <x v="21"/>
    <m/>
    <n v="7"/>
    <n v="3"/>
    <n v="15"/>
    <n v="3"/>
    <n v="9"/>
    <m/>
    <m/>
  </r>
  <r>
    <x v="55"/>
    <x v="41"/>
    <x v="22"/>
    <m/>
    <n v="11"/>
    <n v="6"/>
    <n v="13"/>
    <n v="1"/>
    <n v="5"/>
    <m/>
    <m/>
  </r>
  <r>
    <x v="55"/>
    <x v="49"/>
    <x v="26"/>
    <m/>
    <n v="30"/>
    <n v="0"/>
    <n v="21"/>
    <n v="3"/>
    <n v="11"/>
    <m/>
    <m/>
  </r>
  <r>
    <x v="56"/>
    <x v="15"/>
    <x v="3"/>
    <n v="207"/>
    <m/>
    <m/>
    <m/>
    <m/>
    <m/>
    <n v="145850"/>
    <m/>
  </r>
  <r>
    <x v="56"/>
    <x v="15"/>
    <x v="8"/>
    <n v="162"/>
    <m/>
    <m/>
    <m/>
    <m/>
    <m/>
    <n v="196400"/>
    <m/>
  </r>
  <r>
    <x v="56"/>
    <x v="15"/>
    <x v="4"/>
    <n v="394"/>
    <m/>
    <m/>
    <m/>
    <m/>
    <m/>
    <n v="238900"/>
    <m/>
  </r>
  <r>
    <x v="56"/>
    <x v="15"/>
    <x v="6"/>
    <n v="133"/>
    <m/>
    <m/>
    <m/>
    <m/>
    <m/>
    <n v="141450"/>
    <m/>
  </r>
  <r>
    <x v="56"/>
    <x v="15"/>
    <x v="11"/>
    <n v="326"/>
    <m/>
    <m/>
    <m/>
    <m/>
    <m/>
    <n v="395600"/>
    <m/>
  </r>
  <r>
    <x v="56"/>
    <x v="15"/>
    <x v="10"/>
    <n v="127"/>
    <m/>
    <m/>
    <m/>
    <m/>
    <m/>
    <n v="105600"/>
    <m/>
  </r>
  <r>
    <x v="56"/>
    <x v="15"/>
    <x v="0"/>
    <n v="270"/>
    <m/>
    <m/>
    <m/>
    <m/>
    <m/>
    <n v="282500"/>
    <m/>
  </r>
  <r>
    <x v="56"/>
    <x v="15"/>
    <x v="5"/>
    <n v="156"/>
    <m/>
    <m/>
    <m/>
    <m/>
    <m/>
    <n v="209750"/>
    <m/>
  </r>
  <r>
    <x v="56"/>
    <x v="15"/>
    <x v="9"/>
    <n v="262"/>
    <m/>
    <m/>
    <m/>
    <m/>
    <m/>
    <n v="368470"/>
    <m/>
  </r>
  <r>
    <x v="56"/>
    <x v="15"/>
    <x v="7"/>
    <n v="286"/>
    <m/>
    <m/>
    <m/>
    <m/>
    <m/>
    <n v="84300"/>
    <m/>
  </r>
  <r>
    <x v="56"/>
    <x v="15"/>
    <x v="2"/>
    <n v="346"/>
    <m/>
    <m/>
    <m/>
    <m/>
    <m/>
    <n v="303100"/>
    <m/>
  </r>
  <r>
    <x v="56"/>
    <x v="15"/>
    <x v="1"/>
    <n v="204"/>
    <m/>
    <m/>
    <m/>
    <m/>
    <m/>
    <n v="238900"/>
    <m/>
  </r>
  <r>
    <x v="56"/>
    <x v="15"/>
    <x v="12"/>
    <n v="183"/>
    <m/>
    <m/>
    <m/>
    <m/>
    <m/>
    <n v="183150"/>
    <m/>
  </r>
  <r>
    <x v="56"/>
    <x v="15"/>
    <x v="13"/>
    <n v="170"/>
    <m/>
    <m/>
    <m/>
    <m/>
    <m/>
    <n v="88000"/>
    <m/>
  </r>
  <r>
    <x v="56"/>
    <x v="15"/>
    <x v="14"/>
    <n v="265"/>
    <m/>
    <m/>
    <m/>
    <m/>
    <m/>
    <n v="179300"/>
    <m/>
  </r>
  <r>
    <x v="56"/>
    <x v="15"/>
    <x v="15"/>
    <n v="127"/>
    <m/>
    <m/>
    <m/>
    <m/>
    <m/>
    <n v="27000"/>
    <m/>
  </r>
  <r>
    <x v="56"/>
    <x v="15"/>
    <x v="16"/>
    <n v="208"/>
    <m/>
    <m/>
    <m/>
    <m/>
    <m/>
    <n v="104460"/>
    <m/>
  </r>
  <r>
    <x v="56"/>
    <x v="15"/>
    <x v="17"/>
    <n v="92"/>
    <m/>
    <m/>
    <m/>
    <m/>
    <m/>
    <n v="155500"/>
    <m/>
  </r>
  <r>
    <x v="56"/>
    <x v="15"/>
    <x v="18"/>
    <n v="223"/>
    <m/>
    <m/>
    <m/>
    <m/>
    <m/>
    <n v="73350"/>
    <m/>
  </r>
  <r>
    <x v="56"/>
    <x v="15"/>
    <x v="20"/>
    <n v="120"/>
    <m/>
    <m/>
    <m/>
    <m/>
    <m/>
    <n v="118500"/>
    <m/>
  </r>
  <r>
    <x v="56"/>
    <x v="15"/>
    <x v="21"/>
    <n v="94"/>
    <m/>
    <m/>
    <m/>
    <m/>
    <m/>
    <n v="137850"/>
    <m/>
  </r>
  <r>
    <x v="56"/>
    <x v="15"/>
    <x v="22"/>
    <n v="140"/>
    <m/>
    <m/>
    <m/>
    <m/>
    <m/>
    <n v="51900"/>
    <m/>
  </r>
  <r>
    <x v="56"/>
    <x v="15"/>
    <x v="24"/>
    <n v="73"/>
    <m/>
    <m/>
    <m/>
    <m/>
    <m/>
    <n v="13500"/>
    <m/>
  </r>
  <r>
    <x v="56"/>
    <x v="15"/>
    <x v="26"/>
    <n v="146"/>
    <m/>
    <m/>
    <m/>
    <m/>
    <m/>
    <n v="116230"/>
    <m/>
  </r>
  <r>
    <x v="56"/>
    <x v="15"/>
    <x v="30"/>
    <n v="93"/>
    <m/>
    <m/>
    <m/>
    <m/>
    <m/>
    <n v="136500"/>
    <m/>
  </r>
  <r>
    <x v="56"/>
    <x v="0"/>
    <x v="0"/>
    <m/>
    <n v="6"/>
    <n v="0"/>
    <n v="29"/>
    <n v="2"/>
    <n v="10"/>
    <m/>
    <m/>
  </r>
  <r>
    <x v="56"/>
    <x v="56"/>
    <x v="0"/>
    <m/>
    <n v="25"/>
    <n v="5"/>
    <n v="23"/>
    <n v="1"/>
    <n v="9"/>
    <m/>
    <m/>
  </r>
  <r>
    <x v="56"/>
    <x v="57"/>
    <x v="0"/>
    <m/>
    <n v="13"/>
    <n v="1"/>
    <n v="2"/>
    <n v="0"/>
    <n v="0"/>
    <m/>
    <m/>
  </r>
  <r>
    <x v="56"/>
    <x v="57"/>
    <x v="10"/>
    <m/>
    <n v="24"/>
    <n v="2"/>
    <n v="57"/>
    <n v="1"/>
    <n v="8"/>
    <m/>
    <m/>
  </r>
  <r>
    <x v="56"/>
    <x v="57"/>
    <x v="30"/>
    <m/>
    <n v="3"/>
    <n v="0"/>
    <n v="26"/>
    <n v="1"/>
    <n v="9"/>
    <m/>
    <m/>
  </r>
  <r>
    <x v="56"/>
    <x v="68"/>
    <x v="30"/>
    <m/>
    <n v="18"/>
    <n v="1"/>
    <n v="9"/>
    <n v="0"/>
    <n v="2"/>
    <m/>
    <m/>
  </r>
  <r>
    <x v="56"/>
    <x v="7"/>
    <x v="2"/>
    <m/>
    <n v="22"/>
    <n v="8"/>
    <n v="17"/>
    <n v="5"/>
    <n v="11"/>
    <m/>
    <m/>
  </r>
  <r>
    <x v="56"/>
    <x v="60"/>
    <x v="2"/>
    <m/>
    <n v="33"/>
    <n v="11"/>
    <n v="18"/>
    <n v="12"/>
    <n v="11"/>
    <m/>
    <m/>
  </r>
  <r>
    <x v="56"/>
    <x v="66"/>
    <x v="5"/>
    <m/>
    <n v="41"/>
    <n v="0"/>
    <n v="26"/>
    <n v="2"/>
    <n v="15"/>
    <m/>
    <m/>
  </r>
  <r>
    <x v="56"/>
    <x v="51"/>
    <x v="6"/>
    <m/>
    <n v="0"/>
    <n v="0"/>
    <n v="0"/>
    <n v="1"/>
    <n v="0"/>
    <m/>
    <m/>
  </r>
  <r>
    <x v="56"/>
    <x v="66"/>
    <x v="6"/>
    <m/>
    <n v="11"/>
    <n v="1"/>
    <n v="17"/>
    <n v="0"/>
    <n v="6"/>
    <m/>
    <m/>
  </r>
  <r>
    <x v="56"/>
    <x v="69"/>
    <x v="6"/>
    <m/>
    <n v="13"/>
    <n v="2"/>
    <n v="3"/>
    <n v="2"/>
    <n v="5"/>
    <m/>
    <m/>
  </r>
  <r>
    <x v="56"/>
    <x v="69"/>
    <x v="3"/>
    <m/>
    <n v="9"/>
    <n v="2"/>
    <n v="4"/>
    <n v="0"/>
    <n v="5"/>
    <m/>
    <m/>
  </r>
  <r>
    <x v="56"/>
    <x v="43"/>
    <x v="3"/>
    <m/>
    <n v="11"/>
    <n v="2"/>
    <n v="7"/>
    <n v="1"/>
    <n v="6"/>
    <m/>
    <m/>
  </r>
  <r>
    <x v="56"/>
    <x v="43"/>
    <x v="4"/>
    <m/>
    <n v="2"/>
    <n v="0"/>
    <n v="0"/>
    <n v="0"/>
    <n v="0"/>
    <m/>
    <m/>
  </r>
  <r>
    <x v="56"/>
    <x v="46"/>
    <x v="4"/>
    <m/>
    <n v="13"/>
    <n v="1"/>
    <n v="2"/>
    <n v="1"/>
    <n v="6"/>
    <m/>
    <m/>
  </r>
  <r>
    <x v="56"/>
    <x v="50"/>
    <x v="4"/>
    <m/>
    <n v="27"/>
    <n v="3"/>
    <n v="18"/>
    <n v="2"/>
    <n v="8"/>
    <m/>
    <m/>
  </r>
  <r>
    <x v="56"/>
    <x v="69"/>
    <x v="4"/>
    <m/>
    <n v="20"/>
    <n v="5"/>
    <n v="7"/>
    <n v="0"/>
    <n v="4"/>
    <m/>
    <m/>
  </r>
  <r>
    <x v="56"/>
    <x v="58"/>
    <x v="9"/>
    <m/>
    <n v="37"/>
    <n v="7"/>
    <n v="40"/>
    <n v="2"/>
    <n v="15"/>
    <m/>
    <m/>
  </r>
  <r>
    <x v="56"/>
    <x v="10"/>
    <x v="9"/>
    <m/>
    <n v="27"/>
    <n v="4"/>
    <n v="31"/>
    <n v="0"/>
    <n v="12"/>
    <m/>
    <m/>
  </r>
  <r>
    <x v="56"/>
    <x v="65"/>
    <x v="1"/>
    <m/>
    <n v="22"/>
    <n v="12"/>
    <n v="19"/>
    <n v="11"/>
    <n v="12"/>
    <m/>
    <m/>
  </r>
  <r>
    <x v="56"/>
    <x v="44"/>
    <x v="1"/>
    <m/>
    <n v="14"/>
    <n v="10"/>
    <n v="23"/>
    <n v="8"/>
    <n v="6"/>
    <m/>
    <m/>
  </r>
  <r>
    <x v="56"/>
    <x v="14"/>
    <x v="11"/>
    <m/>
    <n v="27"/>
    <n v="0"/>
    <n v="33"/>
    <n v="0"/>
    <n v="15"/>
    <m/>
    <m/>
  </r>
  <r>
    <x v="56"/>
    <x v="37"/>
    <x v="11"/>
    <m/>
    <n v="25"/>
    <n v="0"/>
    <n v="30"/>
    <n v="0"/>
    <n v="9"/>
    <m/>
    <m/>
  </r>
  <r>
    <x v="56"/>
    <x v="46"/>
    <x v="8"/>
    <m/>
    <n v="26"/>
    <n v="0"/>
    <n v="25"/>
    <n v="2"/>
    <n v="15"/>
    <m/>
    <m/>
  </r>
  <r>
    <x v="56"/>
    <x v="22"/>
    <x v="7"/>
    <m/>
    <n v="25"/>
    <n v="6"/>
    <n v="9"/>
    <n v="5"/>
    <n v="6"/>
    <m/>
    <m/>
  </r>
  <r>
    <x v="56"/>
    <x v="61"/>
    <x v="12"/>
    <m/>
    <n v="17"/>
    <n v="1"/>
    <n v="22"/>
    <n v="4"/>
    <n v="13"/>
    <m/>
    <m/>
  </r>
  <r>
    <x v="56"/>
    <x v="67"/>
    <x v="13"/>
    <m/>
    <n v="25"/>
    <n v="14"/>
    <n v="10"/>
    <n v="5"/>
    <n v="7"/>
    <m/>
    <m/>
  </r>
  <r>
    <x v="56"/>
    <x v="53"/>
    <x v="14"/>
    <m/>
    <n v="32"/>
    <n v="31"/>
    <n v="27"/>
    <n v="8"/>
    <n v="13"/>
    <m/>
    <m/>
  </r>
  <r>
    <x v="56"/>
    <x v="21"/>
    <x v="15"/>
    <m/>
    <n v="8"/>
    <n v="2"/>
    <n v="23"/>
    <n v="5"/>
    <n v="2"/>
    <m/>
    <m/>
  </r>
  <r>
    <x v="56"/>
    <x v="45"/>
    <x v="16"/>
    <m/>
    <n v="18"/>
    <n v="2"/>
    <n v="15"/>
    <n v="2"/>
    <n v="6"/>
    <m/>
    <m/>
  </r>
  <r>
    <x v="56"/>
    <x v="62"/>
    <x v="16"/>
    <m/>
    <n v="4"/>
    <n v="1"/>
    <n v="2"/>
    <n v="0"/>
    <n v="2"/>
    <m/>
    <m/>
  </r>
  <r>
    <x v="56"/>
    <x v="62"/>
    <x v="24"/>
    <m/>
    <n v="3"/>
    <n v="1"/>
    <n v="2"/>
    <n v="4"/>
    <n v="1"/>
    <m/>
    <m/>
  </r>
  <r>
    <x v="56"/>
    <x v="63"/>
    <x v="17"/>
    <m/>
    <n v="17"/>
    <n v="11"/>
    <n v="20"/>
    <n v="4"/>
    <n v="13"/>
    <m/>
    <m/>
  </r>
  <r>
    <x v="56"/>
    <x v="33"/>
    <x v="18"/>
    <m/>
    <n v="12"/>
    <n v="1"/>
    <n v="12"/>
    <n v="6"/>
    <n v="5"/>
    <m/>
    <m/>
  </r>
  <r>
    <x v="56"/>
    <x v="56"/>
    <x v="20"/>
    <m/>
    <n v="16"/>
    <n v="0"/>
    <n v="22"/>
    <n v="2"/>
    <n v="9"/>
    <m/>
    <m/>
  </r>
  <r>
    <x v="56"/>
    <x v="38"/>
    <x v="21"/>
    <m/>
    <n v="21"/>
    <n v="7"/>
    <n v="31"/>
    <n v="5"/>
    <n v="10"/>
    <m/>
    <m/>
  </r>
  <r>
    <x v="56"/>
    <x v="41"/>
    <x v="22"/>
    <m/>
    <n v="12"/>
    <n v="7"/>
    <n v="17"/>
    <n v="1"/>
    <n v="4"/>
    <m/>
    <m/>
  </r>
  <r>
    <x v="56"/>
    <x v="49"/>
    <x v="26"/>
    <m/>
    <n v="29"/>
    <n v="2"/>
    <n v="24"/>
    <n v="3"/>
    <n v="8"/>
    <m/>
    <m/>
  </r>
  <r>
    <x v="57"/>
    <x v="15"/>
    <x v="3"/>
    <n v="246"/>
    <m/>
    <m/>
    <m/>
    <m/>
    <m/>
    <n v="134900"/>
    <m/>
  </r>
  <r>
    <x v="57"/>
    <x v="15"/>
    <x v="8"/>
    <n v="184"/>
    <m/>
    <m/>
    <m/>
    <m/>
    <m/>
    <n v="107900"/>
    <m/>
  </r>
  <r>
    <x v="57"/>
    <x v="15"/>
    <x v="4"/>
    <n v="414"/>
    <m/>
    <m/>
    <m/>
    <m/>
    <m/>
    <n v="267100"/>
    <m/>
  </r>
  <r>
    <x v="57"/>
    <x v="15"/>
    <x v="6"/>
    <n v="168"/>
    <m/>
    <m/>
    <m/>
    <m/>
    <m/>
    <n v="24000"/>
    <m/>
  </r>
  <r>
    <x v="57"/>
    <x v="15"/>
    <x v="11"/>
    <n v="357"/>
    <m/>
    <m/>
    <m/>
    <m/>
    <m/>
    <n v="407900"/>
    <m/>
  </r>
  <r>
    <x v="57"/>
    <x v="15"/>
    <x v="10"/>
    <n v="161"/>
    <m/>
    <m/>
    <m/>
    <m/>
    <m/>
    <n v="99400"/>
    <m/>
  </r>
  <r>
    <x v="57"/>
    <x v="15"/>
    <x v="0"/>
    <n v="293"/>
    <m/>
    <m/>
    <m/>
    <m/>
    <m/>
    <n v="339350"/>
    <m/>
  </r>
  <r>
    <x v="57"/>
    <x v="15"/>
    <x v="5"/>
    <n v="154"/>
    <m/>
    <m/>
    <m/>
    <m/>
    <m/>
    <n v="169100"/>
    <m/>
  </r>
  <r>
    <x v="57"/>
    <x v="15"/>
    <x v="9"/>
    <n v="312"/>
    <m/>
    <m/>
    <m/>
    <m/>
    <m/>
    <n v="203400"/>
    <m/>
  </r>
  <r>
    <x v="57"/>
    <x v="15"/>
    <x v="7"/>
    <n v="273"/>
    <m/>
    <m/>
    <m/>
    <m/>
    <m/>
    <n v="67450"/>
    <m/>
  </r>
  <r>
    <x v="57"/>
    <x v="15"/>
    <x v="2"/>
    <n v="380"/>
    <m/>
    <m/>
    <m/>
    <m/>
    <m/>
    <n v="385102.8"/>
    <m/>
  </r>
  <r>
    <x v="57"/>
    <x v="15"/>
    <x v="1"/>
    <n v="241"/>
    <m/>
    <m/>
    <m/>
    <m/>
    <m/>
    <n v="172000"/>
    <m/>
  </r>
  <r>
    <x v="57"/>
    <x v="15"/>
    <x v="12"/>
    <n v="247"/>
    <m/>
    <m/>
    <m/>
    <m/>
    <m/>
    <n v="168800"/>
    <m/>
  </r>
  <r>
    <x v="57"/>
    <x v="15"/>
    <x v="13"/>
    <n v="222"/>
    <m/>
    <m/>
    <m/>
    <m/>
    <m/>
    <n v="134910"/>
    <m/>
  </r>
  <r>
    <x v="57"/>
    <x v="15"/>
    <x v="14"/>
    <n v="283"/>
    <m/>
    <m/>
    <m/>
    <m/>
    <m/>
    <n v="214350"/>
    <m/>
  </r>
  <r>
    <x v="57"/>
    <x v="15"/>
    <x v="15"/>
    <n v="162"/>
    <m/>
    <m/>
    <m/>
    <m/>
    <m/>
    <n v="43400"/>
    <m/>
  </r>
  <r>
    <x v="57"/>
    <x v="15"/>
    <x v="16"/>
    <n v="301"/>
    <m/>
    <m/>
    <m/>
    <m/>
    <m/>
    <n v="107050"/>
    <m/>
  </r>
  <r>
    <x v="57"/>
    <x v="15"/>
    <x v="17"/>
    <n v="101"/>
    <m/>
    <m/>
    <m/>
    <m/>
    <m/>
    <n v="144500"/>
    <m/>
  </r>
  <r>
    <x v="57"/>
    <x v="15"/>
    <x v="18"/>
    <n v="270"/>
    <m/>
    <m/>
    <m/>
    <m/>
    <m/>
    <n v="109440"/>
    <m/>
  </r>
  <r>
    <x v="57"/>
    <x v="15"/>
    <x v="20"/>
    <n v="130"/>
    <m/>
    <m/>
    <m/>
    <m/>
    <m/>
    <n v="77500"/>
    <m/>
  </r>
  <r>
    <x v="57"/>
    <x v="15"/>
    <x v="21"/>
    <n v="168"/>
    <m/>
    <m/>
    <m/>
    <m/>
    <m/>
    <n v="137700"/>
    <m/>
  </r>
  <r>
    <x v="57"/>
    <x v="15"/>
    <x v="22"/>
    <n v="404"/>
    <m/>
    <m/>
    <m/>
    <m/>
    <m/>
    <n v="25900"/>
    <m/>
  </r>
  <r>
    <x v="57"/>
    <x v="15"/>
    <x v="24"/>
    <n v="2"/>
    <m/>
    <m/>
    <m/>
    <m/>
    <m/>
    <n v="0"/>
    <m/>
  </r>
  <r>
    <x v="57"/>
    <x v="15"/>
    <x v="26"/>
    <n v="160"/>
    <m/>
    <m/>
    <m/>
    <m/>
    <m/>
    <n v="146050"/>
    <m/>
  </r>
  <r>
    <x v="57"/>
    <x v="15"/>
    <x v="30"/>
    <n v="185"/>
    <m/>
    <m/>
    <m/>
    <m/>
    <m/>
    <n v="69500"/>
    <m/>
  </r>
  <r>
    <x v="57"/>
    <x v="0"/>
    <x v="0"/>
    <m/>
    <n v="0"/>
    <n v="2"/>
    <n v="59"/>
    <n v="5"/>
    <n v="8"/>
    <m/>
    <m/>
  </r>
  <r>
    <x v="57"/>
    <x v="56"/>
    <x v="0"/>
    <m/>
    <n v="15"/>
    <n v="6"/>
    <n v="18"/>
    <n v="1"/>
    <n v="9"/>
    <m/>
    <m/>
  </r>
  <r>
    <x v="57"/>
    <x v="57"/>
    <x v="0"/>
    <m/>
    <n v="12"/>
    <n v="7"/>
    <n v="9"/>
    <n v="0"/>
    <n v="6"/>
    <m/>
    <m/>
  </r>
  <r>
    <x v="57"/>
    <x v="57"/>
    <x v="10"/>
    <m/>
    <n v="23"/>
    <n v="1"/>
    <n v="3"/>
    <n v="57"/>
    <n v="8"/>
    <m/>
    <m/>
  </r>
  <r>
    <x v="57"/>
    <x v="57"/>
    <x v="30"/>
    <m/>
    <n v="0"/>
    <n v="0"/>
    <n v="8"/>
    <n v="3"/>
    <n v="1"/>
    <m/>
    <m/>
  </r>
  <r>
    <x v="57"/>
    <x v="68"/>
    <x v="30"/>
    <m/>
    <n v="18"/>
    <n v="1"/>
    <n v="4"/>
    <n v="1"/>
    <n v="4"/>
    <m/>
    <m/>
  </r>
  <r>
    <x v="57"/>
    <x v="7"/>
    <x v="2"/>
    <m/>
    <n v="18"/>
    <n v="16"/>
    <n v="16"/>
    <n v="11"/>
    <n v="20"/>
    <m/>
    <m/>
  </r>
  <r>
    <x v="57"/>
    <x v="60"/>
    <x v="2"/>
    <m/>
    <n v="18"/>
    <n v="23"/>
    <n v="27"/>
    <n v="4"/>
    <n v="9"/>
    <m/>
    <m/>
  </r>
  <r>
    <x v="57"/>
    <x v="66"/>
    <x v="5"/>
    <m/>
    <n v="42"/>
    <n v="2"/>
    <n v="26"/>
    <n v="2"/>
    <n v="12"/>
    <m/>
    <m/>
  </r>
  <r>
    <x v="57"/>
    <x v="66"/>
    <x v="6"/>
    <m/>
    <n v="9"/>
    <n v="2"/>
    <n v="11"/>
    <n v="1"/>
    <n v="1"/>
    <m/>
    <m/>
  </r>
  <r>
    <x v="57"/>
    <x v="69"/>
    <x v="6"/>
    <m/>
    <n v="9"/>
    <n v="1"/>
    <n v="3"/>
    <n v="0"/>
    <n v="1"/>
    <m/>
    <m/>
  </r>
  <r>
    <x v="57"/>
    <x v="69"/>
    <x v="3"/>
    <m/>
    <n v="6"/>
    <n v="1"/>
    <n v="7"/>
    <n v="1"/>
    <n v="5"/>
    <m/>
    <m/>
  </r>
  <r>
    <x v="57"/>
    <x v="43"/>
    <x v="3"/>
    <m/>
    <n v="7"/>
    <n v="2"/>
    <n v="5"/>
    <n v="0"/>
    <n v="3"/>
    <m/>
    <m/>
  </r>
  <r>
    <x v="57"/>
    <x v="46"/>
    <x v="3"/>
    <m/>
    <n v="1"/>
    <n v="0"/>
    <n v="0"/>
    <n v="0"/>
    <n v="1"/>
    <m/>
    <m/>
  </r>
  <r>
    <x v="57"/>
    <x v="50"/>
    <x v="3"/>
    <m/>
    <n v="1"/>
    <n v="0"/>
    <n v="0"/>
    <n v="0"/>
    <n v="1"/>
    <m/>
    <m/>
  </r>
  <r>
    <x v="57"/>
    <x v="46"/>
    <x v="4"/>
    <m/>
    <n v="8"/>
    <n v="0"/>
    <n v="4"/>
    <n v="1"/>
    <n v="3"/>
    <m/>
    <m/>
  </r>
  <r>
    <x v="57"/>
    <x v="50"/>
    <x v="4"/>
    <m/>
    <n v="16"/>
    <n v="4"/>
    <n v="19"/>
    <n v="2"/>
    <n v="9"/>
    <m/>
    <m/>
  </r>
  <r>
    <x v="57"/>
    <x v="69"/>
    <x v="4"/>
    <m/>
    <n v="9"/>
    <n v="2"/>
    <n v="5"/>
    <n v="0"/>
    <n v="5"/>
    <m/>
    <m/>
  </r>
  <r>
    <x v="57"/>
    <x v="43"/>
    <x v="4"/>
    <m/>
    <n v="2"/>
    <n v="1"/>
    <n v="1"/>
    <n v="0"/>
    <n v="2"/>
    <m/>
    <m/>
  </r>
  <r>
    <x v="57"/>
    <x v="58"/>
    <x v="9"/>
    <m/>
    <n v="21"/>
    <n v="2"/>
    <n v="43"/>
    <n v="2"/>
    <n v="11"/>
    <m/>
    <m/>
  </r>
  <r>
    <x v="57"/>
    <x v="10"/>
    <x v="9"/>
    <m/>
    <n v="23"/>
    <n v="1"/>
    <n v="12"/>
    <n v="0"/>
    <n v="4"/>
    <m/>
    <m/>
  </r>
  <r>
    <x v="57"/>
    <x v="65"/>
    <x v="1"/>
    <m/>
    <n v="13"/>
    <n v="17"/>
    <n v="31"/>
    <n v="11"/>
    <n v="8"/>
    <m/>
    <m/>
  </r>
  <r>
    <x v="57"/>
    <x v="44"/>
    <x v="1"/>
    <m/>
    <n v="4"/>
    <n v="7"/>
    <n v="15"/>
    <n v="6"/>
    <n v="5"/>
    <m/>
    <m/>
  </r>
  <r>
    <x v="57"/>
    <x v="14"/>
    <x v="11"/>
    <m/>
    <n v="22"/>
    <n v="0"/>
    <n v="27"/>
    <n v="0"/>
    <n v="13"/>
    <m/>
    <m/>
  </r>
  <r>
    <x v="57"/>
    <x v="37"/>
    <x v="11"/>
    <m/>
    <n v="21"/>
    <n v="0"/>
    <n v="23"/>
    <n v="0"/>
    <n v="10"/>
    <m/>
    <m/>
  </r>
  <r>
    <x v="57"/>
    <x v="46"/>
    <x v="8"/>
    <m/>
    <n v="17"/>
    <n v="0"/>
    <n v="27"/>
    <n v="1"/>
    <n v="8"/>
    <m/>
    <m/>
  </r>
  <r>
    <x v="57"/>
    <x v="22"/>
    <x v="7"/>
    <m/>
    <n v="13"/>
    <n v="5"/>
    <n v="15"/>
    <n v="1"/>
    <n v="4"/>
    <m/>
    <m/>
  </r>
  <r>
    <x v="57"/>
    <x v="71"/>
    <x v="7"/>
    <m/>
    <n v="16"/>
    <n v="1"/>
    <n v="0"/>
    <n v="0"/>
    <n v="1"/>
    <m/>
    <m/>
  </r>
  <r>
    <x v="57"/>
    <x v="61"/>
    <x v="12"/>
    <m/>
    <n v="25"/>
    <n v="13"/>
    <n v="30"/>
    <n v="9"/>
    <n v="12"/>
    <m/>
    <m/>
  </r>
  <r>
    <x v="57"/>
    <x v="67"/>
    <x v="13"/>
    <m/>
    <n v="20"/>
    <n v="14"/>
    <n v="14"/>
    <n v="14"/>
    <n v="10"/>
    <m/>
    <m/>
  </r>
  <r>
    <x v="57"/>
    <x v="53"/>
    <x v="14"/>
    <m/>
    <n v="16"/>
    <n v="25"/>
    <n v="19"/>
    <n v="8"/>
    <n v="16"/>
    <m/>
    <m/>
  </r>
  <r>
    <x v="57"/>
    <x v="21"/>
    <x v="15"/>
    <m/>
    <n v="12"/>
    <n v="0"/>
    <n v="19"/>
    <n v="8"/>
    <n v="3"/>
    <m/>
    <m/>
  </r>
  <r>
    <x v="57"/>
    <x v="45"/>
    <x v="16"/>
    <m/>
    <n v="16"/>
    <n v="1"/>
    <n v="9"/>
    <n v="0"/>
    <n v="6"/>
    <m/>
    <m/>
  </r>
  <r>
    <x v="57"/>
    <x v="62"/>
    <x v="16"/>
    <m/>
    <n v="8"/>
    <n v="2"/>
    <n v="5"/>
    <n v="0"/>
    <n v="2"/>
    <m/>
    <m/>
  </r>
  <r>
    <x v="57"/>
    <x v="62"/>
    <x v="24"/>
    <m/>
    <n v="1"/>
    <n v="0"/>
    <n v="1"/>
    <n v="0"/>
    <n v="0"/>
    <m/>
    <m/>
  </r>
  <r>
    <x v="57"/>
    <x v="63"/>
    <x v="17"/>
    <m/>
    <n v="20"/>
    <n v="14"/>
    <n v="23"/>
    <n v="6"/>
    <n v="11"/>
    <m/>
    <m/>
  </r>
  <r>
    <x v="57"/>
    <x v="33"/>
    <x v="18"/>
    <m/>
    <n v="13"/>
    <n v="5"/>
    <n v="17"/>
    <n v="16"/>
    <n v="8"/>
    <m/>
    <m/>
  </r>
  <r>
    <x v="57"/>
    <x v="56"/>
    <x v="20"/>
    <m/>
    <n v="26"/>
    <n v="0"/>
    <n v="18"/>
    <n v="1"/>
    <n v="5"/>
    <m/>
    <m/>
  </r>
  <r>
    <x v="57"/>
    <x v="38"/>
    <x v="21"/>
    <m/>
    <n v="23"/>
    <n v="6"/>
    <n v="39"/>
    <n v="8"/>
    <n v="10"/>
    <m/>
    <m/>
  </r>
  <r>
    <x v="57"/>
    <x v="41"/>
    <x v="22"/>
    <m/>
    <n v="12"/>
    <n v="11"/>
    <n v="12"/>
    <n v="8"/>
    <n v="2"/>
    <m/>
    <m/>
  </r>
  <r>
    <x v="57"/>
    <x v="49"/>
    <x v="26"/>
    <m/>
    <n v="32"/>
    <n v="0"/>
    <n v="19"/>
    <n v="2"/>
    <n v="10"/>
    <m/>
    <m/>
  </r>
  <r>
    <x v="58"/>
    <x v="15"/>
    <x v="3"/>
    <n v="169"/>
    <m/>
    <m/>
    <m/>
    <m/>
    <m/>
    <n v="138900"/>
    <m/>
  </r>
  <r>
    <x v="58"/>
    <x v="15"/>
    <x v="8"/>
    <n v="160"/>
    <m/>
    <m/>
    <m/>
    <m/>
    <m/>
    <n v="41500"/>
    <m/>
  </r>
  <r>
    <x v="58"/>
    <x v="15"/>
    <x v="4"/>
    <n v="312"/>
    <m/>
    <m/>
    <m/>
    <m/>
    <m/>
    <n v="294482"/>
    <m/>
  </r>
  <r>
    <x v="58"/>
    <x v="15"/>
    <x v="6"/>
    <n v="155"/>
    <m/>
    <m/>
    <m/>
    <m/>
    <m/>
    <n v="126900"/>
    <m/>
  </r>
  <r>
    <x v="58"/>
    <x v="15"/>
    <x v="11"/>
    <n v="350"/>
    <m/>
    <m/>
    <m/>
    <m/>
    <m/>
    <n v="362900"/>
    <m/>
  </r>
  <r>
    <x v="58"/>
    <x v="15"/>
    <x v="10"/>
    <n v="152"/>
    <m/>
    <m/>
    <m/>
    <m/>
    <m/>
    <n v="49000"/>
    <m/>
  </r>
  <r>
    <x v="58"/>
    <x v="15"/>
    <x v="0"/>
    <n v="389"/>
    <m/>
    <m/>
    <m/>
    <m/>
    <m/>
    <n v="281450"/>
    <m/>
  </r>
  <r>
    <x v="58"/>
    <x v="15"/>
    <x v="5"/>
    <n v="154"/>
    <m/>
    <m/>
    <m/>
    <m/>
    <m/>
    <n v="144900"/>
    <m/>
  </r>
  <r>
    <x v="58"/>
    <x v="15"/>
    <x v="9"/>
    <n v="418"/>
    <m/>
    <m/>
    <m/>
    <m/>
    <m/>
    <n v="272082"/>
    <m/>
  </r>
  <r>
    <x v="58"/>
    <x v="15"/>
    <x v="7"/>
    <n v="312"/>
    <m/>
    <m/>
    <m/>
    <m/>
    <m/>
    <n v="70250"/>
    <m/>
  </r>
  <r>
    <x v="58"/>
    <x v="15"/>
    <x v="2"/>
    <n v="389"/>
    <m/>
    <m/>
    <m/>
    <m/>
    <m/>
    <n v="233200"/>
    <m/>
  </r>
  <r>
    <x v="58"/>
    <x v="15"/>
    <x v="1"/>
    <n v="248"/>
    <m/>
    <m/>
    <m/>
    <m/>
    <m/>
    <n v="106300"/>
    <m/>
  </r>
  <r>
    <x v="58"/>
    <x v="15"/>
    <x v="12"/>
    <n v="242"/>
    <m/>
    <m/>
    <m/>
    <m/>
    <m/>
    <n v="82900"/>
    <m/>
  </r>
  <r>
    <x v="58"/>
    <x v="15"/>
    <x v="13"/>
    <n v="256"/>
    <m/>
    <m/>
    <m/>
    <m/>
    <m/>
    <n v="79490"/>
    <m/>
  </r>
  <r>
    <x v="58"/>
    <x v="15"/>
    <x v="14"/>
    <n v="367"/>
    <m/>
    <m/>
    <m/>
    <m/>
    <m/>
    <n v="208000"/>
    <m/>
  </r>
  <r>
    <x v="58"/>
    <x v="15"/>
    <x v="15"/>
    <n v="117"/>
    <m/>
    <m/>
    <m/>
    <m/>
    <m/>
    <n v="75200"/>
    <m/>
  </r>
  <r>
    <x v="58"/>
    <x v="15"/>
    <x v="16"/>
    <n v="348"/>
    <m/>
    <m/>
    <m/>
    <m/>
    <m/>
    <n v="135180"/>
    <m/>
  </r>
  <r>
    <x v="58"/>
    <x v="15"/>
    <x v="17"/>
    <n v="141"/>
    <m/>
    <m/>
    <m/>
    <m/>
    <m/>
    <n v="139400"/>
    <m/>
  </r>
  <r>
    <x v="58"/>
    <x v="15"/>
    <x v="18"/>
    <n v="201"/>
    <m/>
    <m/>
    <m/>
    <m/>
    <m/>
    <n v="54790"/>
    <m/>
  </r>
  <r>
    <x v="58"/>
    <x v="15"/>
    <x v="20"/>
    <n v="140"/>
    <m/>
    <m/>
    <m/>
    <m/>
    <m/>
    <n v="104950"/>
    <m/>
  </r>
  <r>
    <x v="58"/>
    <x v="15"/>
    <x v="21"/>
    <n v="141"/>
    <m/>
    <m/>
    <m/>
    <m/>
    <m/>
    <n v="139000"/>
    <m/>
  </r>
  <r>
    <x v="58"/>
    <x v="15"/>
    <x v="22"/>
    <n v="747"/>
    <m/>
    <m/>
    <m/>
    <m/>
    <m/>
    <n v="55200"/>
    <m/>
  </r>
  <r>
    <x v="58"/>
    <x v="15"/>
    <x v="24"/>
    <n v="3"/>
    <m/>
    <m/>
    <m/>
    <m/>
    <m/>
    <n v="13500"/>
    <m/>
  </r>
  <r>
    <x v="58"/>
    <x v="15"/>
    <x v="26"/>
    <n v="348"/>
    <m/>
    <m/>
    <m/>
    <m/>
    <m/>
    <n v="161400"/>
    <m/>
  </r>
  <r>
    <x v="58"/>
    <x v="15"/>
    <x v="30"/>
    <n v="180"/>
    <m/>
    <m/>
    <m/>
    <m/>
    <m/>
    <n v="65400"/>
    <m/>
  </r>
  <r>
    <x v="58"/>
    <x v="56"/>
    <x v="0"/>
    <m/>
    <n v="27"/>
    <n v="10"/>
    <n v="31"/>
    <n v="5"/>
    <n v="11"/>
    <m/>
    <m/>
  </r>
  <r>
    <x v="58"/>
    <x v="57"/>
    <x v="0"/>
    <m/>
    <n v="17"/>
    <n v="8"/>
    <n v="20"/>
    <n v="0"/>
    <n v="8"/>
    <m/>
    <m/>
  </r>
  <r>
    <x v="58"/>
    <x v="57"/>
    <x v="10"/>
    <m/>
    <n v="20"/>
    <n v="5"/>
    <n v="21"/>
    <n v="0"/>
    <n v="4"/>
    <m/>
    <m/>
  </r>
  <r>
    <x v="58"/>
    <x v="57"/>
    <x v="30"/>
    <m/>
    <n v="1"/>
    <n v="0"/>
    <n v="4"/>
    <n v="1"/>
    <n v="2"/>
    <m/>
    <m/>
  </r>
  <r>
    <x v="58"/>
    <x v="68"/>
    <x v="30"/>
    <m/>
    <n v="20"/>
    <n v="4"/>
    <n v="11"/>
    <n v="0"/>
    <n v="3"/>
    <m/>
    <m/>
  </r>
  <r>
    <x v="58"/>
    <x v="7"/>
    <x v="2"/>
    <m/>
    <n v="33"/>
    <n v="21"/>
    <n v="28"/>
    <n v="15"/>
    <n v="17"/>
    <m/>
    <m/>
  </r>
  <r>
    <x v="58"/>
    <x v="66"/>
    <x v="5"/>
    <m/>
    <n v="41"/>
    <n v="0"/>
    <n v="22"/>
    <n v="1"/>
    <n v="10"/>
    <m/>
    <m/>
  </r>
  <r>
    <x v="58"/>
    <x v="66"/>
    <x v="6"/>
    <m/>
    <n v="12"/>
    <n v="3"/>
    <n v="4"/>
    <n v="2"/>
    <n v="3"/>
    <m/>
    <m/>
  </r>
  <r>
    <x v="58"/>
    <x v="69"/>
    <x v="6"/>
    <m/>
    <n v="11"/>
    <n v="1"/>
    <n v="4"/>
    <n v="1"/>
    <n v="6"/>
    <m/>
    <m/>
  </r>
  <r>
    <x v="58"/>
    <x v="69"/>
    <x v="3"/>
    <m/>
    <n v="11"/>
    <n v="1"/>
    <n v="4"/>
    <n v="2"/>
    <n v="6"/>
    <m/>
    <m/>
  </r>
  <r>
    <x v="58"/>
    <x v="43"/>
    <x v="3"/>
    <m/>
    <n v="5"/>
    <n v="0"/>
    <n v="2"/>
    <n v="2"/>
    <n v="2"/>
    <m/>
    <m/>
  </r>
  <r>
    <x v="58"/>
    <x v="46"/>
    <x v="3"/>
    <m/>
    <n v="2"/>
    <n v="0"/>
    <n v="0"/>
    <n v="0"/>
    <n v="2"/>
    <m/>
    <m/>
  </r>
  <r>
    <x v="58"/>
    <x v="46"/>
    <x v="4"/>
    <m/>
    <n v="8"/>
    <n v="3"/>
    <n v="2"/>
    <n v="3"/>
    <n v="4"/>
    <m/>
    <m/>
  </r>
  <r>
    <x v="58"/>
    <x v="50"/>
    <x v="4"/>
    <m/>
    <n v="26"/>
    <n v="4"/>
    <n v="9"/>
    <n v="6"/>
    <n v="9"/>
    <m/>
    <m/>
  </r>
  <r>
    <x v="58"/>
    <x v="69"/>
    <x v="4"/>
    <m/>
    <n v="8"/>
    <n v="3"/>
    <n v="5"/>
    <n v="1"/>
    <n v="6"/>
    <m/>
    <m/>
  </r>
  <r>
    <x v="58"/>
    <x v="43"/>
    <x v="4"/>
    <m/>
    <n v="0"/>
    <n v="0"/>
    <n v="0"/>
    <n v="0"/>
    <n v="1"/>
    <m/>
    <m/>
  </r>
  <r>
    <x v="58"/>
    <x v="58"/>
    <x v="9"/>
    <m/>
    <n v="28"/>
    <n v="2"/>
    <n v="30"/>
    <n v="0"/>
    <n v="9"/>
    <m/>
    <m/>
  </r>
  <r>
    <x v="58"/>
    <x v="10"/>
    <x v="9"/>
    <m/>
    <n v="26"/>
    <n v="5"/>
    <n v="16"/>
    <n v="0"/>
    <n v="11"/>
    <m/>
    <m/>
  </r>
  <r>
    <x v="58"/>
    <x v="65"/>
    <x v="1"/>
    <m/>
    <n v="19"/>
    <n v="17"/>
    <n v="24"/>
    <n v="7"/>
    <n v="4"/>
    <m/>
    <m/>
  </r>
  <r>
    <x v="58"/>
    <x v="44"/>
    <x v="1"/>
    <m/>
    <n v="11"/>
    <n v="9"/>
    <n v="13"/>
    <n v="6"/>
    <n v="4"/>
    <m/>
    <m/>
  </r>
  <r>
    <x v="58"/>
    <x v="14"/>
    <x v="11"/>
    <m/>
    <n v="20"/>
    <n v="0"/>
    <n v="24"/>
    <n v="0"/>
    <n v="10"/>
    <m/>
    <m/>
  </r>
  <r>
    <x v="58"/>
    <x v="37"/>
    <x v="11"/>
    <m/>
    <n v="22"/>
    <n v="0"/>
    <n v="21"/>
    <n v="0"/>
    <n v="13"/>
    <m/>
    <m/>
  </r>
  <r>
    <x v="58"/>
    <x v="46"/>
    <x v="8"/>
    <m/>
    <n v="11"/>
    <n v="2"/>
    <n v="16"/>
    <n v="2"/>
    <n v="3"/>
    <m/>
    <m/>
  </r>
  <r>
    <x v="58"/>
    <x v="22"/>
    <x v="7"/>
    <m/>
    <n v="16"/>
    <n v="2"/>
    <n v="14"/>
    <n v="7"/>
    <n v="4"/>
    <m/>
    <m/>
  </r>
  <r>
    <x v="58"/>
    <x v="71"/>
    <x v="7"/>
    <m/>
    <n v="8"/>
    <n v="1"/>
    <n v="3"/>
    <n v="0"/>
    <n v="1"/>
    <m/>
    <m/>
  </r>
  <r>
    <x v="58"/>
    <x v="61"/>
    <x v="12"/>
    <m/>
    <n v="20"/>
    <n v="2"/>
    <n v="21"/>
    <n v="4"/>
    <n v="6"/>
    <m/>
    <m/>
  </r>
  <r>
    <x v="58"/>
    <x v="67"/>
    <x v="13"/>
    <m/>
    <n v="6"/>
    <n v="9"/>
    <n v="14"/>
    <n v="7"/>
    <n v="6"/>
    <m/>
    <m/>
  </r>
  <r>
    <x v="58"/>
    <x v="53"/>
    <x v="14"/>
    <m/>
    <n v="20"/>
    <n v="12"/>
    <n v="30"/>
    <n v="16"/>
    <n v="15"/>
    <m/>
    <m/>
  </r>
  <r>
    <x v="58"/>
    <x v="72"/>
    <x v="14"/>
    <m/>
    <n v="4"/>
    <n v="1"/>
    <n v="0"/>
    <n v="0"/>
    <n v="1"/>
    <m/>
    <m/>
  </r>
  <r>
    <x v="58"/>
    <x v="21"/>
    <x v="15"/>
    <m/>
    <n v="13"/>
    <n v="1"/>
    <n v="22"/>
    <n v="6"/>
    <n v="5"/>
    <m/>
    <m/>
  </r>
  <r>
    <x v="58"/>
    <x v="45"/>
    <x v="16"/>
    <m/>
    <n v="9"/>
    <n v="1"/>
    <n v="11"/>
    <n v="0"/>
    <n v="8"/>
    <m/>
    <m/>
  </r>
  <r>
    <x v="58"/>
    <x v="62"/>
    <x v="16"/>
    <m/>
    <n v="3"/>
    <n v="0"/>
    <n v="3"/>
    <n v="0"/>
    <n v="2"/>
    <m/>
    <m/>
  </r>
  <r>
    <x v="58"/>
    <x v="62"/>
    <x v="24"/>
    <m/>
    <n v="1"/>
    <n v="0"/>
    <n v="2"/>
    <n v="0"/>
    <n v="1"/>
    <m/>
    <m/>
  </r>
  <r>
    <x v="58"/>
    <x v="63"/>
    <x v="17"/>
    <m/>
    <n v="20"/>
    <n v="9"/>
    <n v="13"/>
    <n v="3"/>
    <n v="11"/>
    <m/>
    <m/>
  </r>
  <r>
    <x v="58"/>
    <x v="33"/>
    <x v="18"/>
    <m/>
    <n v="11"/>
    <n v="4"/>
    <n v="12"/>
    <n v="7"/>
    <n v="4"/>
    <m/>
    <m/>
  </r>
  <r>
    <x v="58"/>
    <x v="56"/>
    <x v="20"/>
    <m/>
    <n v="14"/>
    <n v="0"/>
    <n v="21"/>
    <n v="0"/>
    <n v="8"/>
    <m/>
    <m/>
  </r>
  <r>
    <x v="58"/>
    <x v="38"/>
    <x v="21"/>
    <m/>
    <n v="25"/>
    <n v="4"/>
    <n v="24"/>
    <n v="2"/>
    <n v="10"/>
    <m/>
    <m/>
  </r>
  <r>
    <x v="58"/>
    <x v="41"/>
    <x v="22"/>
    <m/>
    <n v="10"/>
    <n v="1"/>
    <n v="10"/>
    <n v="0"/>
    <n v="4"/>
    <m/>
    <m/>
  </r>
  <r>
    <x v="58"/>
    <x v="49"/>
    <x v="26"/>
    <m/>
    <n v="32"/>
    <n v="0"/>
    <n v="29"/>
    <n v="0"/>
    <n v="11"/>
    <m/>
    <m/>
  </r>
  <r>
    <x v="58"/>
    <x v="73"/>
    <x v="26"/>
    <m/>
    <n v="4"/>
    <n v="0"/>
    <n v="0"/>
    <n v="0"/>
    <n v="0"/>
    <m/>
    <m/>
  </r>
  <r>
    <x v="59"/>
    <x v="15"/>
    <x v="3"/>
    <n v="175"/>
    <m/>
    <m/>
    <m/>
    <m/>
    <m/>
    <n v="140700"/>
    <m/>
  </r>
  <r>
    <x v="59"/>
    <x v="15"/>
    <x v="8"/>
    <n v="165"/>
    <m/>
    <m/>
    <m/>
    <m/>
    <m/>
    <n v="172138.2"/>
    <m/>
  </r>
  <r>
    <x v="59"/>
    <x v="15"/>
    <x v="4"/>
    <n v="310"/>
    <m/>
    <m/>
    <m/>
    <m/>
    <m/>
    <n v="356882"/>
    <m/>
  </r>
  <r>
    <x v="59"/>
    <x v="15"/>
    <x v="6"/>
    <n v="215"/>
    <m/>
    <m/>
    <m/>
    <m/>
    <m/>
    <n v="145005"/>
    <m/>
  </r>
  <r>
    <x v="59"/>
    <x v="15"/>
    <x v="11"/>
    <n v="365"/>
    <m/>
    <m/>
    <m/>
    <m/>
    <m/>
    <n v="427500"/>
    <m/>
  </r>
  <r>
    <x v="59"/>
    <x v="15"/>
    <x v="10"/>
    <n v="173"/>
    <m/>
    <m/>
    <m/>
    <m/>
    <m/>
    <n v="157300"/>
    <m/>
  </r>
  <r>
    <x v="59"/>
    <x v="15"/>
    <x v="0"/>
    <n v="320"/>
    <m/>
    <m/>
    <m/>
    <m/>
    <m/>
    <n v="394700"/>
    <m/>
  </r>
  <r>
    <x v="59"/>
    <x v="15"/>
    <x v="5"/>
    <n v="189"/>
    <m/>
    <m/>
    <m/>
    <m/>
    <m/>
    <n v="245664"/>
    <m/>
  </r>
  <r>
    <x v="59"/>
    <x v="15"/>
    <x v="9"/>
    <n v="374"/>
    <m/>
    <m/>
    <m/>
    <m/>
    <m/>
    <n v="222720"/>
    <m/>
  </r>
  <r>
    <x v="59"/>
    <x v="15"/>
    <x v="7"/>
    <n v="295"/>
    <m/>
    <m/>
    <m/>
    <m/>
    <m/>
    <n v="220900"/>
    <m/>
  </r>
  <r>
    <x v="59"/>
    <x v="15"/>
    <x v="2"/>
    <n v="378"/>
    <m/>
    <m/>
    <m/>
    <m/>
    <m/>
    <n v="400024"/>
    <m/>
  </r>
  <r>
    <x v="59"/>
    <x v="15"/>
    <x v="1"/>
    <n v="349"/>
    <m/>
    <m/>
    <m/>
    <m/>
    <m/>
    <n v="302600"/>
    <m/>
  </r>
  <r>
    <x v="59"/>
    <x v="15"/>
    <x v="12"/>
    <n v="292"/>
    <m/>
    <m/>
    <m/>
    <m/>
    <m/>
    <n v="156482"/>
    <m/>
  </r>
  <r>
    <x v="59"/>
    <x v="15"/>
    <x v="13"/>
    <n v="315"/>
    <m/>
    <m/>
    <m/>
    <m/>
    <m/>
    <n v="94950"/>
    <m/>
  </r>
  <r>
    <x v="59"/>
    <x v="15"/>
    <x v="14"/>
    <n v="306"/>
    <m/>
    <m/>
    <m/>
    <m/>
    <m/>
    <n v="210050"/>
    <m/>
  </r>
  <r>
    <x v="59"/>
    <x v="15"/>
    <x v="15"/>
    <n v="94"/>
    <m/>
    <m/>
    <m/>
    <m/>
    <m/>
    <n v="42732"/>
    <m/>
  </r>
  <r>
    <x v="59"/>
    <x v="15"/>
    <x v="16"/>
    <n v="463"/>
    <m/>
    <m/>
    <m/>
    <m/>
    <m/>
    <n v="108399"/>
    <m/>
  </r>
  <r>
    <x v="59"/>
    <x v="15"/>
    <x v="17"/>
    <n v="222"/>
    <m/>
    <m/>
    <m/>
    <m/>
    <m/>
    <n v="206500"/>
    <m/>
  </r>
  <r>
    <x v="59"/>
    <x v="15"/>
    <x v="18"/>
    <n v="232"/>
    <m/>
    <m/>
    <m/>
    <m/>
    <m/>
    <n v="137232"/>
    <m/>
  </r>
  <r>
    <x v="59"/>
    <x v="15"/>
    <x v="20"/>
    <n v="184"/>
    <m/>
    <m/>
    <m/>
    <m/>
    <m/>
    <n v="80000"/>
    <m/>
  </r>
  <r>
    <x v="59"/>
    <x v="15"/>
    <x v="21"/>
    <n v="216"/>
    <m/>
    <m/>
    <m/>
    <m/>
    <m/>
    <n v="127114"/>
    <m/>
  </r>
  <r>
    <x v="59"/>
    <x v="15"/>
    <x v="22"/>
    <n v="110"/>
    <m/>
    <m/>
    <m/>
    <m/>
    <m/>
    <n v="83800"/>
    <m/>
  </r>
  <r>
    <x v="59"/>
    <x v="15"/>
    <x v="26"/>
    <n v="256"/>
    <m/>
    <m/>
    <m/>
    <m/>
    <m/>
    <n v="235546"/>
    <m/>
  </r>
  <r>
    <x v="59"/>
    <x v="15"/>
    <x v="30"/>
    <n v="167"/>
    <m/>
    <m/>
    <m/>
    <m/>
    <m/>
    <n v="113750"/>
    <m/>
  </r>
  <r>
    <x v="59"/>
    <x v="56"/>
    <x v="0"/>
    <m/>
    <n v="31"/>
    <n v="5"/>
    <n v="39"/>
    <n v="1"/>
    <n v="14"/>
    <m/>
    <m/>
  </r>
  <r>
    <x v="59"/>
    <x v="57"/>
    <x v="0"/>
    <m/>
    <n v="21"/>
    <n v="5"/>
    <n v="22"/>
    <n v="1"/>
    <n v="11"/>
    <m/>
    <m/>
  </r>
  <r>
    <x v="59"/>
    <x v="57"/>
    <x v="10"/>
    <m/>
    <n v="23"/>
    <n v="1"/>
    <n v="3"/>
    <n v="57"/>
    <n v="11"/>
    <m/>
    <m/>
  </r>
  <r>
    <x v="59"/>
    <x v="68"/>
    <x v="30"/>
    <m/>
    <n v="12"/>
    <n v="0"/>
    <n v="30"/>
    <n v="1"/>
    <n v="8"/>
    <m/>
    <m/>
  </r>
  <r>
    <x v="59"/>
    <x v="7"/>
    <x v="2"/>
    <m/>
    <n v="30"/>
    <n v="16"/>
    <n v="36"/>
    <n v="7"/>
    <n v="18"/>
    <m/>
    <m/>
  </r>
  <r>
    <x v="59"/>
    <x v="60"/>
    <x v="2"/>
    <m/>
    <n v="33"/>
    <n v="23"/>
    <n v="23"/>
    <n v="7"/>
    <n v="11"/>
    <m/>
    <m/>
  </r>
  <r>
    <x v="59"/>
    <x v="66"/>
    <x v="5"/>
    <m/>
    <n v="59"/>
    <n v="1"/>
    <n v="40"/>
    <n v="1"/>
    <n v="17"/>
    <m/>
    <m/>
  </r>
  <r>
    <x v="59"/>
    <x v="51"/>
    <x v="6"/>
    <m/>
    <n v="2"/>
    <n v="0"/>
    <n v="1"/>
    <n v="3"/>
    <n v="2"/>
    <m/>
    <m/>
  </r>
  <r>
    <x v="59"/>
    <x v="66"/>
    <x v="6"/>
    <m/>
    <n v="16"/>
    <n v="2"/>
    <n v="14"/>
    <n v="0"/>
    <n v="5"/>
    <m/>
    <m/>
  </r>
  <r>
    <x v="59"/>
    <x v="69"/>
    <x v="6"/>
    <m/>
    <n v="7"/>
    <n v="4"/>
    <n v="7"/>
    <n v="1"/>
    <n v="4"/>
    <m/>
    <m/>
  </r>
  <r>
    <x v="59"/>
    <x v="69"/>
    <x v="3"/>
    <m/>
    <n v="7"/>
    <n v="1"/>
    <n v="8"/>
    <n v="0"/>
    <n v="4"/>
    <m/>
    <m/>
  </r>
  <r>
    <x v="59"/>
    <x v="43"/>
    <x v="3"/>
    <m/>
    <n v="11"/>
    <n v="10"/>
    <n v="12"/>
    <n v="0"/>
    <n v="6"/>
    <m/>
    <m/>
  </r>
  <r>
    <x v="59"/>
    <x v="46"/>
    <x v="4"/>
    <m/>
    <n v="24"/>
    <n v="2"/>
    <n v="8"/>
    <n v="2"/>
    <n v="9"/>
    <m/>
    <m/>
  </r>
  <r>
    <x v="59"/>
    <x v="50"/>
    <x v="4"/>
    <m/>
    <n v="23"/>
    <n v="5"/>
    <n v="18"/>
    <n v="5"/>
    <n v="12"/>
    <m/>
    <m/>
  </r>
  <r>
    <x v="59"/>
    <x v="69"/>
    <x v="4"/>
    <m/>
    <n v="10"/>
    <n v="1"/>
    <n v="8"/>
    <n v="0"/>
    <n v="3"/>
    <m/>
    <m/>
  </r>
  <r>
    <x v="59"/>
    <x v="43"/>
    <x v="4"/>
    <m/>
    <n v="1"/>
    <n v="0"/>
    <n v="2"/>
    <n v="0"/>
    <n v="1"/>
    <m/>
    <m/>
  </r>
  <r>
    <x v="59"/>
    <x v="58"/>
    <x v="9"/>
    <m/>
    <n v="36"/>
    <n v="2"/>
    <n v="37"/>
    <n v="2"/>
    <n v="10"/>
    <m/>
    <m/>
  </r>
  <r>
    <x v="59"/>
    <x v="10"/>
    <x v="9"/>
    <m/>
    <n v="30"/>
    <n v="3"/>
    <n v="29"/>
    <n v="1"/>
    <n v="6"/>
    <m/>
    <m/>
  </r>
  <r>
    <x v="59"/>
    <x v="65"/>
    <x v="1"/>
    <m/>
    <n v="13"/>
    <n v="17"/>
    <n v="31"/>
    <n v="8"/>
    <n v="14"/>
    <m/>
    <m/>
  </r>
  <r>
    <x v="59"/>
    <x v="44"/>
    <x v="1"/>
    <m/>
    <n v="11"/>
    <n v="6"/>
    <n v="14"/>
    <n v="9"/>
    <n v="8"/>
    <m/>
    <m/>
  </r>
  <r>
    <x v="59"/>
    <x v="14"/>
    <x v="11"/>
    <m/>
    <n v="25"/>
    <n v="0"/>
    <n v="25"/>
    <n v="0"/>
    <n v="13"/>
    <m/>
    <m/>
  </r>
  <r>
    <x v="59"/>
    <x v="37"/>
    <x v="11"/>
    <m/>
    <n v="25"/>
    <n v="0"/>
    <n v="37"/>
    <n v="0"/>
    <n v="12"/>
    <m/>
    <m/>
  </r>
  <r>
    <x v="59"/>
    <x v="46"/>
    <x v="8"/>
    <m/>
    <n v="26"/>
    <n v="1"/>
    <n v="26"/>
    <n v="2"/>
    <n v="11"/>
    <m/>
    <m/>
  </r>
  <r>
    <x v="59"/>
    <x v="50"/>
    <x v="8"/>
    <m/>
    <n v="1"/>
    <n v="0"/>
    <n v="0"/>
    <n v="0"/>
    <n v="1"/>
    <m/>
    <m/>
  </r>
  <r>
    <x v="59"/>
    <x v="22"/>
    <x v="7"/>
    <m/>
    <n v="12"/>
    <n v="0"/>
    <n v="17"/>
    <n v="2"/>
    <n v="5"/>
    <m/>
    <m/>
  </r>
  <r>
    <x v="59"/>
    <x v="71"/>
    <x v="7"/>
    <m/>
    <n v="11"/>
    <n v="4"/>
    <n v="6"/>
    <n v="0"/>
    <n v="11"/>
    <m/>
    <m/>
  </r>
  <r>
    <x v="59"/>
    <x v="61"/>
    <x v="12"/>
    <m/>
    <n v="21"/>
    <n v="12"/>
    <n v="17"/>
    <n v="7"/>
    <n v="11"/>
    <m/>
    <m/>
  </r>
  <r>
    <x v="59"/>
    <x v="67"/>
    <x v="13"/>
    <m/>
    <n v="39"/>
    <n v="20"/>
    <n v="22"/>
    <n v="5"/>
    <n v="7"/>
    <m/>
    <m/>
  </r>
  <r>
    <x v="59"/>
    <x v="53"/>
    <x v="14"/>
    <m/>
    <n v="15"/>
    <n v="11"/>
    <n v="36"/>
    <n v="6"/>
    <n v="12"/>
    <m/>
    <m/>
  </r>
  <r>
    <x v="59"/>
    <x v="72"/>
    <x v="14"/>
    <m/>
    <n v="15"/>
    <n v="12"/>
    <n v="2"/>
    <n v="0"/>
    <n v="3"/>
    <m/>
    <m/>
  </r>
  <r>
    <x v="59"/>
    <x v="21"/>
    <x v="15"/>
    <m/>
    <n v="17"/>
    <n v="3"/>
    <n v="21"/>
    <n v="5"/>
    <n v="3"/>
    <m/>
    <m/>
  </r>
  <r>
    <x v="59"/>
    <x v="45"/>
    <x v="16"/>
    <m/>
    <n v="4"/>
    <n v="0"/>
    <n v="12"/>
    <n v="0"/>
    <n v="1"/>
    <m/>
    <m/>
  </r>
  <r>
    <x v="59"/>
    <x v="62"/>
    <x v="16"/>
    <m/>
    <n v="13"/>
    <n v="1"/>
    <n v="17"/>
    <n v="0"/>
    <n v="7"/>
    <m/>
    <m/>
  </r>
  <r>
    <x v="59"/>
    <x v="63"/>
    <x v="17"/>
    <m/>
    <n v="24"/>
    <n v="11"/>
    <n v="28"/>
    <n v="5"/>
    <n v="16"/>
    <m/>
    <m/>
  </r>
  <r>
    <x v="59"/>
    <x v="33"/>
    <x v="18"/>
    <m/>
    <n v="13"/>
    <n v="5"/>
    <n v="23"/>
    <n v="15"/>
    <n v="10"/>
    <m/>
    <m/>
  </r>
  <r>
    <x v="59"/>
    <x v="56"/>
    <x v="20"/>
    <m/>
    <n v="12"/>
    <n v="0"/>
    <n v="16"/>
    <n v="1"/>
    <n v="5"/>
    <m/>
    <m/>
  </r>
  <r>
    <x v="59"/>
    <x v="38"/>
    <x v="21"/>
    <m/>
    <n v="29"/>
    <n v="11"/>
    <n v="33"/>
    <n v="5"/>
    <n v="9"/>
    <m/>
    <m/>
  </r>
  <r>
    <x v="59"/>
    <x v="41"/>
    <x v="22"/>
    <m/>
    <n v="16"/>
    <n v="3"/>
    <n v="28"/>
    <n v="10"/>
    <n v="6"/>
    <m/>
    <m/>
  </r>
  <r>
    <x v="59"/>
    <x v="49"/>
    <x v="26"/>
    <m/>
    <n v="19"/>
    <n v="0"/>
    <n v="25"/>
    <n v="3"/>
    <n v="15"/>
    <m/>
    <m/>
  </r>
  <r>
    <x v="59"/>
    <x v="73"/>
    <x v="26"/>
    <m/>
    <n v="9"/>
    <n v="0"/>
    <n v="1"/>
    <n v="0"/>
    <n v="1"/>
    <m/>
    <m/>
  </r>
  <r>
    <x v="60"/>
    <x v="15"/>
    <x v="3"/>
    <n v="319"/>
    <m/>
    <m/>
    <m/>
    <m/>
    <m/>
    <n v="119450"/>
    <m/>
  </r>
  <r>
    <x v="60"/>
    <x v="15"/>
    <x v="8"/>
    <n v="231"/>
    <m/>
    <m/>
    <m/>
    <m/>
    <m/>
    <n v="212010"/>
    <m/>
  </r>
  <r>
    <x v="60"/>
    <x v="15"/>
    <x v="4"/>
    <n v="436"/>
    <m/>
    <m/>
    <m/>
    <m/>
    <m/>
    <n v="339056"/>
    <m/>
  </r>
  <r>
    <x v="60"/>
    <x v="15"/>
    <x v="6"/>
    <n v="199"/>
    <m/>
    <m/>
    <m/>
    <m/>
    <m/>
    <n v="112100"/>
    <m/>
  </r>
  <r>
    <x v="60"/>
    <x v="15"/>
    <x v="11"/>
    <n v="302"/>
    <m/>
    <m/>
    <m/>
    <m/>
    <m/>
    <n v="422600"/>
    <m/>
  </r>
  <r>
    <x v="60"/>
    <x v="15"/>
    <x v="10"/>
    <n v="156"/>
    <m/>
    <m/>
    <m/>
    <m/>
    <m/>
    <n v="139900"/>
    <m/>
  </r>
  <r>
    <x v="60"/>
    <x v="15"/>
    <x v="0"/>
    <n v="292"/>
    <m/>
    <m/>
    <m/>
    <m/>
    <m/>
    <n v="383114"/>
    <m/>
  </r>
  <r>
    <x v="60"/>
    <x v="15"/>
    <x v="5"/>
    <n v="178"/>
    <m/>
    <m/>
    <m/>
    <m/>
    <m/>
    <n v="214714"/>
    <m/>
  </r>
  <r>
    <x v="60"/>
    <x v="15"/>
    <x v="9"/>
    <n v="346"/>
    <m/>
    <m/>
    <m/>
    <m/>
    <m/>
    <n v="337088"/>
    <m/>
  </r>
  <r>
    <x v="60"/>
    <x v="15"/>
    <x v="7"/>
    <n v="413"/>
    <m/>
    <m/>
    <m/>
    <m/>
    <m/>
    <n v="143768"/>
    <m/>
  </r>
  <r>
    <x v="60"/>
    <x v="15"/>
    <x v="2"/>
    <n v="377"/>
    <m/>
    <m/>
    <m/>
    <m/>
    <m/>
    <n v="254346"/>
    <m/>
  </r>
  <r>
    <x v="60"/>
    <x v="15"/>
    <x v="1"/>
    <n v="345"/>
    <m/>
    <m/>
    <m/>
    <m/>
    <m/>
    <n v="289050"/>
    <m/>
  </r>
  <r>
    <x v="60"/>
    <x v="15"/>
    <x v="12"/>
    <n v="322"/>
    <m/>
    <m/>
    <m/>
    <m/>
    <m/>
    <n v="149144"/>
    <m/>
  </r>
  <r>
    <x v="60"/>
    <x v="15"/>
    <x v="13"/>
    <n v="360"/>
    <m/>
    <m/>
    <m/>
    <m/>
    <m/>
    <n v="197702"/>
    <m/>
  </r>
  <r>
    <x v="60"/>
    <x v="15"/>
    <x v="14"/>
    <n v="295"/>
    <m/>
    <m/>
    <m/>
    <m/>
    <m/>
    <n v="210714"/>
    <m/>
  </r>
  <r>
    <x v="60"/>
    <x v="15"/>
    <x v="15"/>
    <n v="171"/>
    <m/>
    <m/>
    <m/>
    <m/>
    <m/>
    <n v="53946"/>
    <m/>
  </r>
  <r>
    <x v="60"/>
    <x v="15"/>
    <x v="16"/>
    <n v="476"/>
    <m/>
    <m/>
    <m/>
    <m/>
    <m/>
    <n v="235990"/>
    <m/>
  </r>
  <r>
    <x v="60"/>
    <x v="15"/>
    <x v="17"/>
    <n v="155"/>
    <m/>
    <m/>
    <m/>
    <m/>
    <m/>
    <n v="108100"/>
    <m/>
  </r>
  <r>
    <x v="60"/>
    <x v="15"/>
    <x v="18"/>
    <n v="285"/>
    <m/>
    <m/>
    <m/>
    <m/>
    <m/>
    <n v="111664"/>
    <m/>
  </r>
  <r>
    <x v="60"/>
    <x v="15"/>
    <x v="20"/>
    <n v="204"/>
    <m/>
    <m/>
    <m/>
    <m/>
    <m/>
    <n v="148382"/>
    <m/>
  </r>
  <r>
    <x v="60"/>
    <x v="15"/>
    <x v="21"/>
    <n v="203"/>
    <m/>
    <m/>
    <m/>
    <m/>
    <m/>
    <n v="126346"/>
    <m/>
  </r>
  <r>
    <x v="60"/>
    <x v="15"/>
    <x v="22"/>
    <m/>
    <m/>
    <m/>
    <m/>
    <m/>
    <m/>
    <m/>
    <m/>
  </r>
  <r>
    <x v="60"/>
    <x v="15"/>
    <x v="26"/>
    <n v="216"/>
    <m/>
    <m/>
    <m/>
    <m/>
    <m/>
    <n v="161450"/>
    <m/>
  </r>
  <r>
    <x v="60"/>
    <x v="15"/>
    <x v="30"/>
    <n v="198"/>
    <m/>
    <m/>
    <m/>
    <m/>
    <m/>
    <n v="32000"/>
    <m/>
  </r>
  <r>
    <x v="60"/>
    <x v="56"/>
    <x v="0"/>
    <m/>
    <n v="19"/>
    <n v="4"/>
    <n v="30"/>
    <n v="4"/>
    <n v="17"/>
    <m/>
    <m/>
  </r>
  <r>
    <x v="60"/>
    <x v="56"/>
    <x v="10"/>
    <m/>
    <n v="0"/>
    <n v="4"/>
    <n v="0"/>
    <n v="0"/>
    <n v="2"/>
    <m/>
    <m/>
  </r>
  <r>
    <x v="60"/>
    <x v="56"/>
    <x v="30"/>
    <m/>
    <n v="6"/>
    <n v="1"/>
    <n v="1"/>
    <n v="0"/>
    <n v="0"/>
    <m/>
    <m/>
  </r>
  <r>
    <x v="60"/>
    <x v="57"/>
    <x v="0"/>
    <m/>
    <n v="16"/>
    <n v="4"/>
    <n v="17"/>
    <n v="4"/>
    <n v="8"/>
    <m/>
    <m/>
  </r>
  <r>
    <x v="60"/>
    <x v="57"/>
    <x v="10"/>
    <m/>
    <n v="11"/>
    <n v="1"/>
    <n v="24"/>
    <n v="1"/>
    <n v="8"/>
    <m/>
    <m/>
  </r>
  <r>
    <x v="60"/>
    <x v="57"/>
    <x v="30"/>
    <m/>
    <n v="0"/>
    <n v="2"/>
    <n v="3"/>
    <n v="0"/>
    <n v="1"/>
    <m/>
    <m/>
  </r>
  <r>
    <x v="60"/>
    <x v="68"/>
    <x v="30"/>
    <m/>
    <n v="5"/>
    <n v="0"/>
    <n v="9"/>
    <n v="0"/>
    <n v="1"/>
    <m/>
    <m/>
  </r>
  <r>
    <x v="60"/>
    <x v="7"/>
    <x v="2"/>
    <m/>
    <n v="31"/>
    <n v="12"/>
    <n v="39"/>
    <n v="6"/>
    <n v="11"/>
    <m/>
    <m/>
  </r>
  <r>
    <x v="60"/>
    <x v="60"/>
    <x v="2"/>
    <m/>
    <n v="22"/>
    <n v="24"/>
    <n v="23"/>
    <n v="5"/>
    <n v="7"/>
    <m/>
    <m/>
  </r>
  <r>
    <x v="60"/>
    <x v="66"/>
    <x v="5"/>
    <m/>
    <n v="39"/>
    <n v="1"/>
    <n v="26"/>
    <n v="0"/>
    <n v="15"/>
    <m/>
    <m/>
  </r>
  <r>
    <x v="60"/>
    <x v="51"/>
    <x v="6"/>
    <m/>
    <n v="0"/>
    <n v="2"/>
    <n v="0"/>
    <n v="1"/>
    <n v="0"/>
    <m/>
    <m/>
  </r>
  <r>
    <x v="60"/>
    <x v="66"/>
    <x v="6"/>
    <m/>
    <n v="5"/>
    <n v="1"/>
    <n v="5"/>
    <n v="0"/>
    <n v="3"/>
    <m/>
    <m/>
  </r>
  <r>
    <x v="60"/>
    <x v="69"/>
    <x v="6"/>
    <m/>
    <n v="15"/>
    <n v="6"/>
    <n v="13"/>
    <n v="1"/>
    <n v="5"/>
    <m/>
    <m/>
  </r>
  <r>
    <x v="60"/>
    <x v="69"/>
    <x v="3"/>
    <m/>
    <n v="9"/>
    <n v="5"/>
    <n v="5"/>
    <n v="0"/>
    <n v="2"/>
    <m/>
    <m/>
  </r>
  <r>
    <x v="60"/>
    <x v="43"/>
    <x v="3"/>
    <m/>
    <n v="7"/>
    <n v="2"/>
    <n v="5"/>
    <n v="1"/>
    <n v="6"/>
    <m/>
    <m/>
  </r>
  <r>
    <x v="60"/>
    <x v="46"/>
    <x v="4"/>
    <m/>
    <n v="18"/>
    <n v="3"/>
    <n v="9"/>
    <n v="2"/>
    <n v="5"/>
    <m/>
    <m/>
  </r>
  <r>
    <x v="60"/>
    <x v="50"/>
    <x v="4"/>
    <m/>
    <n v="20"/>
    <n v="8"/>
    <n v="13"/>
    <n v="0"/>
    <n v="14"/>
    <m/>
    <m/>
  </r>
  <r>
    <x v="60"/>
    <x v="69"/>
    <x v="4"/>
    <m/>
    <n v="7"/>
    <n v="0"/>
    <n v="5"/>
    <n v="0"/>
    <n v="4"/>
    <m/>
    <m/>
  </r>
  <r>
    <x v="60"/>
    <x v="43"/>
    <x v="4"/>
    <m/>
    <n v="1"/>
    <n v="0"/>
    <n v="4"/>
    <n v="1"/>
    <n v="1"/>
    <m/>
    <m/>
  </r>
  <r>
    <x v="60"/>
    <x v="58"/>
    <x v="9"/>
    <m/>
    <n v="41"/>
    <n v="5"/>
    <n v="39"/>
    <n v="1"/>
    <n v="11"/>
    <m/>
    <m/>
  </r>
  <r>
    <x v="60"/>
    <x v="10"/>
    <x v="9"/>
    <m/>
    <n v="30"/>
    <n v="0"/>
    <n v="38"/>
    <n v="0"/>
    <n v="13"/>
    <m/>
    <m/>
  </r>
  <r>
    <x v="60"/>
    <x v="65"/>
    <x v="1"/>
    <m/>
    <n v="30"/>
    <n v="8"/>
    <n v="29"/>
    <n v="6"/>
    <n v="16"/>
    <m/>
    <m/>
  </r>
  <r>
    <x v="60"/>
    <x v="44"/>
    <x v="1"/>
    <m/>
    <n v="5"/>
    <n v="8"/>
    <n v="7"/>
    <n v="5"/>
    <n v="5"/>
    <m/>
    <m/>
  </r>
  <r>
    <x v="60"/>
    <x v="14"/>
    <x v="11"/>
    <m/>
    <n v="29"/>
    <n v="0"/>
    <n v="32"/>
    <n v="0"/>
    <n v="12"/>
    <m/>
    <m/>
  </r>
  <r>
    <x v="60"/>
    <x v="37"/>
    <x v="11"/>
    <m/>
    <n v="20"/>
    <n v="0"/>
    <n v="31"/>
    <n v="0"/>
    <n v="13"/>
    <m/>
    <m/>
  </r>
  <r>
    <x v="60"/>
    <x v="46"/>
    <x v="8"/>
    <m/>
    <n v="31"/>
    <n v="0"/>
    <n v="36"/>
    <n v="2"/>
    <n v="16"/>
    <m/>
    <m/>
  </r>
  <r>
    <x v="60"/>
    <x v="22"/>
    <x v="7"/>
    <m/>
    <n v="19"/>
    <n v="4"/>
    <n v="11"/>
    <n v="1"/>
    <n v="5"/>
    <m/>
    <m/>
  </r>
  <r>
    <x v="60"/>
    <x v="71"/>
    <x v="7"/>
    <m/>
    <n v="26"/>
    <n v="6"/>
    <n v="6"/>
    <n v="1"/>
    <n v="5"/>
    <m/>
    <m/>
  </r>
  <r>
    <x v="60"/>
    <x v="61"/>
    <x v="12"/>
    <m/>
    <n v="21"/>
    <n v="9"/>
    <n v="22"/>
    <n v="7"/>
    <n v="10"/>
    <m/>
    <m/>
  </r>
  <r>
    <x v="60"/>
    <x v="67"/>
    <x v="13"/>
    <m/>
    <n v="19"/>
    <n v="21"/>
    <n v="13"/>
    <n v="8"/>
    <n v="12"/>
    <m/>
    <m/>
  </r>
  <r>
    <x v="60"/>
    <x v="19"/>
    <x v="13"/>
    <m/>
    <n v="13"/>
    <n v="0"/>
    <n v="3"/>
    <n v="0"/>
    <n v="3"/>
    <m/>
    <m/>
  </r>
  <r>
    <x v="60"/>
    <x v="53"/>
    <x v="14"/>
    <m/>
    <n v="10"/>
    <n v="12"/>
    <n v="23"/>
    <n v="9"/>
    <n v="9"/>
    <m/>
    <m/>
  </r>
  <r>
    <x v="60"/>
    <x v="72"/>
    <x v="14"/>
    <m/>
    <n v="17"/>
    <n v="10"/>
    <n v="7"/>
    <n v="1"/>
    <n v="6"/>
    <m/>
    <m/>
  </r>
  <r>
    <x v="60"/>
    <x v="21"/>
    <x v="15"/>
    <m/>
    <n v="15"/>
    <n v="2"/>
    <n v="20"/>
    <n v="7"/>
    <n v="4"/>
    <m/>
    <m/>
  </r>
  <r>
    <x v="60"/>
    <x v="45"/>
    <x v="16"/>
    <m/>
    <n v="14"/>
    <n v="2"/>
    <n v="15"/>
    <n v="2"/>
    <n v="10"/>
    <m/>
    <m/>
  </r>
  <r>
    <x v="60"/>
    <x v="62"/>
    <x v="16"/>
    <m/>
    <n v="13"/>
    <n v="3"/>
    <n v="9"/>
    <n v="1"/>
    <n v="7"/>
    <m/>
    <m/>
  </r>
  <r>
    <x v="60"/>
    <x v="63"/>
    <x v="17"/>
    <m/>
    <n v="15"/>
    <n v="9"/>
    <n v="8"/>
    <n v="3"/>
    <n v="8"/>
    <m/>
    <m/>
  </r>
  <r>
    <x v="60"/>
    <x v="33"/>
    <x v="18"/>
    <m/>
    <n v="14"/>
    <n v="2"/>
    <n v="10"/>
    <n v="3"/>
    <n v="8"/>
    <m/>
    <m/>
  </r>
  <r>
    <x v="60"/>
    <x v="56"/>
    <x v="20"/>
    <m/>
    <n v="14"/>
    <n v="0"/>
    <n v="14"/>
    <n v="0"/>
    <n v="9"/>
    <m/>
    <m/>
  </r>
  <r>
    <x v="60"/>
    <x v="38"/>
    <x v="21"/>
    <m/>
    <n v="16"/>
    <n v="8"/>
    <n v="24"/>
    <n v="3"/>
    <n v="9"/>
    <m/>
    <m/>
  </r>
  <r>
    <x v="60"/>
    <x v="41"/>
    <x v="22"/>
    <m/>
    <n v="0"/>
    <n v="0"/>
    <n v="34"/>
    <n v="16"/>
    <n v="0"/>
    <m/>
    <m/>
  </r>
  <r>
    <x v="60"/>
    <x v="49"/>
    <x v="26"/>
    <m/>
    <n v="12"/>
    <n v="2"/>
    <n v="22"/>
    <n v="2"/>
    <n v="10"/>
    <m/>
    <m/>
  </r>
  <r>
    <x v="60"/>
    <x v="73"/>
    <x v="26"/>
    <m/>
    <n v="14"/>
    <n v="0"/>
    <n v="1"/>
    <n v="0"/>
    <n v="1"/>
    <m/>
    <m/>
  </r>
  <r>
    <x v="61"/>
    <x v="15"/>
    <x v="3"/>
    <n v="294"/>
    <m/>
    <m/>
    <m/>
    <m/>
    <m/>
    <n v="166164"/>
    <m/>
  </r>
  <r>
    <x v="61"/>
    <x v="15"/>
    <x v="8"/>
    <n v="353"/>
    <m/>
    <m/>
    <m/>
    <m/>
    <m/>
    <n v="151564"/>
    <m/>
  </r>
  <r>
    <x v="61"/>
    <x v="15"/>
    <x v="4"/>
    <n v="462"/>
    <m/>
    <m/>
    <m/>
    <m/>
    <m/>
    <n v="306674"/>
    <m/>
  </r>
  <r>
    <x v="61"/>
    <x v="15"/>
    <x v="6"/>
    <n v="260"/>
    <m/>
    <m/>
    <m/>
    <m/>
    <m/>
    <n v="140450"/>
    <m/>
  </r>
  <r>
    <x v="61"/>
    <x v="15"/>
    <x v="11"/>
    <n v="291"/>
    <m/>
    <m/>
    <m/>
    <m/>
    <m/>
    <n v="417600"/>
    <m/>
  </r>
  <r>
    <x v="61"/>
    <x v="15"/>
    <x v="10"/>
    <n v="166"/>
    <m/>
    <m/>
    <m/>
    <m/>
    <m/>
    <n v="120400"/>
    <m/>
  </r>
  <r>
    <x v="61"/>
    <x v="15"/>
    <x v="0"/>
    <n v="287"/>
    <m/>
    <m/>
    <m/>
    <m/>
    <m/>
    <n v="228914"/>
    <m/>
  </r>
  <r>
    <x v="61"/>
    <x v="15"/>
    <x v="5"/>
    <n v="212"/>
    <m/>
    <m/>
    <m/>
    <m/>
    <m/>
    <n v="194788"/>
    <m/>
  </r>
  <r>
    <x v="61"/>
    <x v="15"/>
    <x v="9"/>
    <n v="352"/>
    <m/>
    <m/>
    <m/>
    <m/>
    <m/>
    <n v="315296"/>
    <m/>
  </r>
  <r>
    <x v="61"/>
    <x v="15"/>
    <x v="7"/>
    <n v="353"/>
    <m/>
    <m/>
    <m/>
    <m/>
    <m/>
    <n v="170178"/>
    <m/>
  </r>
  <r>
    <x v="61"/>
    <x v="15"/>
    <x v="2"/>
    <n v="438"/>
    <m/>
    <m/>
    <m/>
    <m/>
    <m/>
    <n v="281438"/>
    <m/>
  </r>
  <r>
    <x v="61"/>
    <x v="15"/>
    <x v="1"/>
    <n v="287"/>
    <m/>
    <m/>
    <m/>
    <m/>
    <m/>
    <n v="302300"/>
    <m/>
  </r>
  <r>
    <x v="61"/>
    <x v="15"/>
    <x v="12"/>
    <n v="401"/>
    <m/>
    <m/>
    <m/>
    <m/>
    <m/>
    <n v="157092"/>
    <m/>
  </r>
  <r>
    <x v="61"/>
    <x v="15"/>
    <x v="13"/>
    <n v="296"/>
    <m/>
    <m/>
    <m/>
    <m/>
    <m/>
    <n v="125820"/>
    <m/>
  </r>
  <r>
    <x v="61"/>
    <x v="15"/>
    <x v="14"/>
    <n v="344"/>
    <m/>
    <m/>
    <m/>
    <m/>
    <m/>
    <n v="141682"/>
    <m/>
  </r>
  <r>
    <x v="61"/>
    <x v="15"/>
    <x v="15"/>
    <n v="248"/>
    <m/>
    <m/>
    <m/>
    <m/>
    <m/>
    <n v="39064"/>
    <m/>
  </r>
  <r>
    <x v="61"/>
    <x v="15"/>
    <x v="16"/>
    <n v="421"/>
    <m/>
    <m/>
    <m/>
    <m/>
    <m/>
    <n v="148480"/>
    <m/>
  </r>
  <r>
    <x v="61"/>
    <x v="15"/>
    <x v="17"/>
    <n v="162"/>
    <m/>
    <m/>
    <m/>
    <m/>
    <m/>
    <n v="136300"/>
    <m/>
  </r>
  <r>
    <x v="61"/>
    <x v="15"/>
    <x v="18"/>
    <n v="241"/>
    <m/>
    <m/>
    <m/>
    <m/>
    <m/>
    <n v="90764"/>
    <m/>
  </r>
  <r>
    <x v="61"/>
    <x v="15"/>
    <x v="20"/>
    <n v="213"/>
    <m/>
    <m/>
    <m/>
    <m/>
    <m/>
    <n v="27000"/>
    <m/>
  </r>
  <r>
    <x v="61"/>
    <x v="15"/>
    <x v="21"/>
    <n v="213"/>
    <m/>
    <m/>
    <m/>
    <m/>
    <m/>
    <n v="93994"/>
    <m/>
  </r>
  <r>
    <x v="61"/>
    <x v="15"/>
    <x v="26"/>
    <n v="240"/>
    <m/>
    <m/>
    <m/>
    <m/>
    <m/>
    <n v="216164"/>
    <m/>
  </r>
  <r>
    <x v="61"/>
    <x v="15"/>
    <x v="30"/>
    <n v="191"/>
    <m/>
    <m/>
    <m/>
    <m/>
    <m/>
    <n v="48500"/>
    <m/>
  </r>
  <r>
    <x v="61"/>
    <x v="56"/>
    <x v="0"/>
    <m/>
    <n v="18"/>
    <n v="0"/>
    <n v="20"/>
    <n v="3"/>
    <n v="11"/>
    <m/>
    <m/>
  </r>
  <r>
    <x v="61"/>
    <x v="56"/>
    <x v="30"/>
    <m/>
    <n v="1"/>
    <n v="0"/>
    <n v="0"/>
    <n v="0"/>
    <n v="1"/>
    <m/>
    <m/>
  </r>
  <r>
    <x v="61"/>
    <x v="57"/>
    <x v="0"/>
    <m/>
    <n v="22"/>
    <n v="7"/>
    <n v="17"/>
    <n v="1"/>
    <n v="4"/>
    <m/>
    <m/>
  </r>
  <r>
    <x v="61"/>
    <x v="57"/>
    <x v="10"/>
    <m/>
    <n v="26"/>
    <n v="2"/>
    <n v="52"/>
    <n v="0"/>
    <n v="8"/>
    <m/>
    <m/>
  </r>
  <r>
    <x v="61"/>
    <x v="57"/>
    <x v="30"/>
    <m/>
    <n v="2"/>
    <n v="0"/>
    <n v="0"/>
    <n v="0"/>
    <n v="1"/>
    <m/>
    <m/>
  </r>
  <r>
    <x v="61"/>
    <x v="68"/>
    <x v="30"/>
    <m/>
    <n v="13"/>
    <n v="2"/>
    <n v="15"/>
    <n v="1"/>
    <n v="1"/>
    <m/>
    <m/>
  </r>
  <r>
    <x v="61"/>
    <x v="7"/>
    <x v="2"/>
    <m/>
    <n v="20"/>
    <n v="12"/>
    <n v="21"/>
    <n v="5"/>
    <n v="12"/>
    <m/>
    <m/>
  </r>
  <r>
    <x v="61"/>
    <x v="60"/>
    <x v="2"/>
    <m/>
    <n v="23"/>
    <n v="32"/>
    <n v="18"/>
    <n v="5"/>
    <n v="8"/>
    <m/>
    <m/>
  </r>
  <r>
    <x v="61"/>
    <x v="66"/>
    <x v="5"/>
    <m/>
    <n v="51"/>
    <n v="2"/>
    <n v="35"/>
    <n v="2"/>
    <n v="13"/>
    <m/>
    <m/>
  </r>
  <r>
    <x v="61"/>
    <x v="66"/>
    <x v="6"/>
    <m/>
    <n v="5"/>
    <n v="1"/>
    <n v="11"/>
    <n v="0"/>
    <n v="4"/>
    <m/>
    <m/>
  </r>
  <r>
    <x v="61"/>
    <x v="69"/>
    <x v="6"/>
    <m/>
    <n v="11"/>
    <n v="5"/>
    <n v="3"/>
    <n v="2"/>
    <n v="5"/>
    <m/>
    <m/>
  </r>
  <r>
    <x v="61"/>
    <x v="69"/>
    <x v="3"/>
    <m/>
    <n v="13"/>
    <n v="3"/>
    <n v="8"/>
    <n v="3"/>
    <n v="6"/>
    <m/>
    <m/>
  </r>
  <r>
    <x v="61"/>
    <x v="43"/>
    <x v="3"/>
    <m/>
    <n v="4"/>
    <n v="1"/>
    <n v="4"/>
    <n v="1"/>
    <n v="5"/>
    <m/>
    <m/>
  </r>
  <r>
    <x v="61"/>
    <x v="46"/>
    <x v="4"/>
    <m/>
    <n v="14"/>
    <n v="0"/>
    <n v="9"/>
    <n v="0"/>
    <n v="7"/>
    <m/>
    <m/>
  </r>
  <r>
    <x v="61"/>
    <x v="50"/>
    <x v="4"/>
    <m/>
    <n v="22"/>
    <n v="4"/>
    <n v="17"/>
    <n v="1"/>
    <n v="8"/>
    <m/>
    <m/>
  </r>
  <r>
    <x v="61"/>
    <x v="69"/>
    <x v="4"/>
    <m/>
    <n v="16"/>
    <n v="1"/>
    <n v="8"/>
    <n v="1"/>
    <n v="1"/>
    <m/>
    <m/>
  </r>
  <r>
    <x v="61"/>
    <x v="43"/>
    <x v="4"/>
    <m/>
    <n v="9"/>
    <n v="3"/>
    <n v="0"/>
    <n v="0"/>
    <n v="5"/>
    <m/>
    <m/>
  </r>
  <r>
    <x v="61"/>
    <x v="58"/>
    <x v="9"/>
    <m/>
    <n v="24"/>
    <n v="0"/>
    <n v="30"/>
    <n v="3"/>
    <n v="15"/>
    <m/>
    <m/>
  </r>
  <r>
    <x v="61"/>
    <x v="10"/>
    <x v="9"/>
    <m/>
    <n v="32"/>
    <n v="3"/>
    <n v="34"/>
    <n v="0"/>
    <n v="8"/>
    <m/>
    <m/>
  </r>
  <r>
    <x v="61"/>
    <x v="65"/>
    <x v="1"/>
    <m/>
    <n v="26"/>
    <n v="9"/>
    <n v="23"/>
    <n v="5"/>
    <n v="12"/>
    <m/>
    <m/>
  </r>
  <r>
    <x v="61"/>
    <x v="44"/>
    <x v="1"/>
    <m/>
    <n v="10"/>
    <n v="8"/>
    <n v="6"/>
    <n v="3"/>
    <n v="8"/>
    <m/>
    <m/>
  </r>
  <r>
    <x v="61"/>
    <x v="14"/>
    <x v="11"/>
    <m/>
    <n v="18"/>
    <n v="0"/>
    <n v="22"/>
    <n v="0"/>
    <n v="12"/>
    <m/>
    <m/>
  </r>
  <r>
    <x v="61"/>
    <x v="37"/>
    <x v="11"/>
    <m/>
    <n v="18"/>
    <n v="0"/>
    <n v="32"/>
    <n v="0"/>
    <n v="13"/>
    <m/>
    <m/>
  </r>
  <r>
    <x v="61"/>
    <x v="46"/>
    <x v="8"/>
    <m/>
    <n v="40"/>
    <n v="0"/>
    <n v="36"/>
    <n v="2"/>
    <n v="10"/>
    <m/>
    <m/>
  </r>
  <r>
    <x v="61"/>
    <x v="22"/>
    <x v="7"/>
    <m/>
    <n v="16"/>
    <n v="1"/>
    <n v="13"/>
    <n v="3"/>
    <n v="4"/>
    <m/>
    <m/>
  </r>
  <r>
    <x v="61"/>
    <x v="71"/>
    <x v="7"/>
    <m/>
    <n v="16"/>
    <n v="1"/>
    <n v="4"/>
    <n v="0"/>
    <n v="7"/>
    <m/>
    <m/>
  </r>
  <r>
    <x v="61"/>
    <x v="61"/>
    <x v="12"/>
    <m/>
    <n v="10"/>
    <n v="3"/>
    <n v="25"/>
    <n v="3"/>
    <n v="10"/>
    <m/>
    <m/>
  </r>
  <r>
    <x v="61"/>
    <x v="74"/>
    <x v="12"/>
    <m/>
    <n v="28"/>
    <n v="8"/>
    <n v="0"/>
    <n v="0"/>
    <n v="1"/>
    <m/>
    <m/>
  </r>
  <r>
    <x v="61"/>
    <x v="67"/>
    <x v="13"/>
    <m/>
    <n v="24"/>
    <n v="17"/>
    <n v="16"/>
    <n v="12"/>
    <n v="9"/>
    <m/>
    <m/>
  </r>
  <r>
    <x v="61"/>
    <x v="19"/>
    <x v="13"/>
    <m/>
    <n v="2"/>
    <n v="2"/>
    <n v="1"/>
    <n v="0"/>
    <n v="1"/>
    <m/>
    <m/>
  </r>
  <r>
    <x v="61"/>
    <x v="53"/>
    <x v="14"/>
    <m/>
    <n v="15"/>
    <n v="13"/>
    <n v="24"/>
    <n v="11"/>
    <n v="8"/>
    <m/>
    <m/>
  </r>
  <r>
    <x v="61"/>
    <x v="72"/>
    <x v="14"/>
    <m/>
    <n v="14"/>
    <n v="9"/>
    <n v="3"/>
    <n v="1"/>
    <n v="2"/>
    <m/>
    <m/>
  </r>
  <r>
    <x v="61"/>
    <x v="21"/>
    <x v="15"/>
    <m/>
    <n v="20"/>
    <n v="6"/>
    <n v="18"/>
    <n v="3"/>
    <n v="3"/>
    <m/>
    <m/>
  </r>
  <r>
    <x v="61"/>
    <x v="45"/>
    <x v="16"/>
    <m/>
    <n v="17"/>
    <n v="1"/>
    <n v="9"/>
    <n v="0"/>
    <n v="7"/>
    <m/>
    <m/>
  </r>
  <r>
    <x v="61"/>
    <x v="62"/>
    <x v="16"/>
    <m/>
    <n v="12"/>
    <n v="4"/>
    <n v="6"/>
    <n v="0"/>
    <n v="4"/>
    <m/>
    <m/>
  </r>
  <r>
    <x v="61"/>
    <x v="63"/>
    <x v="17"/>
    <m/>
    <n v="23"/>
    <n v="1"/>
    <n v="18"/>
    <n v="5"/>
    <n v="10"/>
    <m/>
    <m/>
  </r>
  <r>
    <x v="61"/>
    <x v="33"/>
    <x v="18"/>
    <m/>
    <n v="10"/>
    <n v="2"/>
    <n v="15"/>
    <n v="9"/>
    <n v="6"/>
    <m/>
    <m/>
  </r>
  <r>
    <x v="61"/>
    <x v="56"/>
    <x v="20"/>
    <m/>
    <n v="16"/>
    <n v="1"/>
    <n v="16"/>
    <n v="1"/>
    <n v="2"/>
    <m/>
    <m/>
  </r>
  <r>
    <x v="61"/>
    <x v="38"/>
    <x v="21"/>
    <m/>
    <n v="14"/>
    <n v="18"/>
    <n v="38"/>
    <n v="7"/>
    <n v="7"/>
    <m/>
    <m/>
  </r>
  <r>
    <x v="61"/>
    <x v="49"/>
    <x v="26"/>
    <m/>
    <n v="15"/>
    <n v="1"/>
    <n v="17"/>
    <n v="0"/>
    <n v="9"/>
    <m/>
    <m/>
  </r>
  <r>
    <x v="61"/>
    <x v="73"/>
    <x v="26"/>
    <m/>
    <n v="13"/>
    <n v="1"/>
    <n v="3"/>
    <n v="0"/>
    <n v="5"/>
    <m/>
    <m/>
  </r>
  <r>
    <x v="62"/>
    <x v="15"/>
    <x v="3"/>
    <n v="310"/>
    <m/>
    <m/>
    <m/>
    <m/>
    <m/>
    <n v="136946"/>
    <m/>
  </r>
  <r>
    <x v="62"/>
    <x v="15"/>
    <x v="8"/>
    <n v="354"/>
    <m/>
    <m/>
    <m/>
    <m/>
    <m/>
    <n v="170460"/>
    <m/>
  </r>
  <r>
    <x v="62"/>
    <x v="15"/>
    <x v="4"/>
    <n v="458"/>
    <m/>
    <m/>
    <m/>
    <m/>
    <m/>
    <n v="348656"/>
    <m/>
  </r>
  <r>
    <x v="62"/>
    <x v="15"/>
    <x v="6"/>
    <n v="222"/>
    <m/>
    <m/>
    <m/>
    <m/>
    <m/>
    <n v="178000"/>
    <m/>
  </r>
  <r>
    <x v="62"/>
    <x v="15"/>
    <x v="11"/>
    <n v="453"/>
    <m/>
    <m/>
    <m/>
    <m/>
    <m/>
    <n v="427500"/>
    <m/>
  </r>
  <r>
    <x v="62"/>
    <x v="15"/>
    <x v="10"/>
    <n v="153"/>
    <m/>
    <m/>
    <m/>
    <m/>
    <m/>
    <n v="124500"/>
    <m/>
  </r>
  <r>
    <x v="62"/>
    <x v="15"/>
    <x v="0"/>
    <n v="314"/>
    <m/>
    <m/>
    <m/>
    <m/>
    <m/>
    <n v="419441.2"/>
    <m/>
  </r>
  <r>
    <x v="62"/>
    <x v="15"/>
    <x v="5"/>
    <n v="226"/>
    <m/>
    <m/>
    <m/>
    <m/>
    <m/>
    <n v="124496"/>
    <m/>
  </r>
  <r>
    <x v="62"/>
    <x v="15"/>
    <x v="9"/>
    <n v="353"/>
    <m/>
    <m/>
    <m/>
    <m/>
    <m/>
    <n v="293638"/>
    <m/>
  </r>
  <r>
    <x v="62"/>
    <x v="15"/>
    <x v="7"/>
    <n v="341"/>
    <m/>
    <m/>
    <m/>
    <m/>
    <m/>
    <n v="116327.86"/>
    <m/>
  </r>
  <r>
    <x v="62"/>
    <x v="15"/>
    <x v="2"/>
    <n v="486"/>
    <m/>
    <m/>
    <m/>
    <m/>
    <m/>
    <n v="296828"/>
    <m/>
  </r>
  <r>
    <x v="62"/>
    <x v="15"/>
    <x v="1"/>
    <n v="321"/>
    <m/>
    <m/>
    <m/>
    <m/>
    <m/>
    <n v="252400"/>
    <m/>
  </r>
  <r>
    <x v="62"/>
    <x v="15"/>
    <x v="12"/>
    <n v="429"/>
    <m/>
    <m/>
    <m/>
    <m/>
    <m/>
    <n v="173801"/>
    <m/>
  </r>
  <r>
    <x v="62"/>
    <x v="15"/>
    <x v="13"/>
    <n v="383"/>
    <m/>
    <m/>
    <m/>
    <m/>
    <m/>
    <n v="88492"/>
    <m/>
  </r>
  <r>
    <x v="62"/>
    <x v="15"/>
    <x v="14"/>
    <n v="363"/>
    <m/>
    <m/>
    <m/>
    <m/>
    <m/>
    <n v="185282"/>
    <m/>
  </r>
  <r>
    <x v="62"/>
    <x v="15"/>
    <x v="15"/>
    <n v="224"/>
    <m/>
    <m/>
    <m/>
    <m/>
    <m/>
    <n v="12582"/>
    <m/>
  </r>
  <r>
    <x v="62"/>
    <x v="15"/>
    <x v="16"/>
    <n v="373"/>
    <m/>
    <m/>
    <m/>
    <m/>
    <m/>
    <n v="95990"/>
    <m/>
  </r>
  <r>
    <x v="62"/>
    <x v="15"/>
    <x v="17"/>
    <n v="217"/>
    <m/>
    <m/>
    <m/>
    <m/>
    <m/>
    <n v="166900"/>
    <m/>
  </r>
  <r>
    <x v="62"/>
    <x v="15"/>
    <x v="18"/>
    <n v="290"/>
    <m/>
    <m/>
    <m/>
    <m/>
    <m/>
    <n v="84232"/>
    <m/>
  </r>
  <r>
    <x v="62"/>
    <x v="15"/>
    <x v="20"/>
    <n v="220"/>
    <m/>
    <m/>
    <m/>
    <m/>
    <m/>
    <n v="153832"/>
    <m/>
  </r>
  <r>
    <x v="62"/>
    <x v="15"/>
    <x v="21"/>
    <n v="162"/>
    <m/>
    <m/>
    <m/>
    <m/>
    <m/>
    <n v="111046"/>
    <m/>
  </r>
  <r>
    <x v="62"/>
    <x v="15"/>
    <x v="26"/>
    <n v="306"/>
    <m/>
    <m/>
    <m/>
    <m/>
    <m/>
    <n v="223614"/>
    <m/>
  </r>
  <r>
    <x v="62"/>
    <x v="15"/>
    <x v="30"/>
    <n v="211"/>
    <m/>
    <m/>
    <m/>
    <m/>
    <m/>
    <n v="28000"/>
    <m/>
  </r>
  <r>
    <x v="62"/>
    <x v="56"/>
    <x v="0"/>
    <m/>
    <n v="23"/>
    <n v="10"/>
    <n v="23"/>
    <n v="3"/>
    <n v="11"/>
    <m/>
    <m/>
  </r>
  <r>
    <x v="62"/>
    <x v="57"/>
    <x v="0"/>
    <m/>
    <n v="30"/>
    <n v="8"/>
    <n v="37"/>
    <n v="3"/>
    <n v="16"/>
    <m/>
    <m/>
  </r>
  <r>
    <x v="62"/>
    <x v="57"/>
    <x v="10"/>
    <m/>
    <n v="20"/>
    <n v="4"/>
    <n v="46"/>
    <n v="2"/>
    <n v="9"/>
    <m/>
    <m/>
  </r>
  <r>
    <x v="62"/>
    <x v="57"/>
    <x v="30"/>
    <m/>
    <n v="3"/>
    <n v="0"/>
    <n v="2"/>
    <n v="3"/>
    <n v="2"/>
    <m/>
    <m/>
  </r>
  <r>
    <x v="62"/>
    <x v="68"/>
    <x v="30"/>
    <m/>
    <n v="15"/>
    <n v="2"/>
    <n v="21"/>
    <n v="0"/>
    <n v="0"/>
    <m/>
    <m/>
  </r>
  <r>
    <x v="62"/>
    <x v="7"/>
    <x v="2"/>
    <m/>
    <n v="23"/>
    <n v="14"/>
    <n v="36"/>
    <n v="3"/>
    <n v="11"/>
    <m/>
    <m/>
  </r>
  <r>
    <x v="62"/>
    <x v="60"/>
    <x v="2"/>
    <m/>
    <n v="29"/>
    <n v="33"/>
    <n v="19"/>
    <n v="6"/>
    <n v="9"/>
    <m/>
    <m/>
  </r>
  <r>
    <x v="62"/>
    <x v="66"/>
    <x v="5"/>
    <m/>
    <n v="47"/>
    <n v="2"/>
    <n v="37"/>
    <n v="1"/>
    <n v="8"/>
    <m/>
    <m/>
  </r>
  <r>
    <x v="62"/>
    <x v="66"/>
    <x v="6"/>
    <m/>
    <n v="6"/>
    <n v="3"/>
    <n v="8"/>
    <n v="1"/>
    <n v="3"/>
    <m/>
    <m/>
  </r>
  <r>
    <x v="62"/>
    <x v="69"/>
    <x v="6"/>
    <m/>
    <n v="18"/>
    <n v="4"/>
    <n v="11"/>
    <n v="2"/>
    <n v="8"/>
    <m/>
    <m/>
  </r>
  <r>
    <x v="62"/>
    <x v="50"/>
    <x v="3"/>
    <m/>
    <n v="2"/>
    <n v="0"/>
    <n v="0"/>
    <n v="0"/>
    <n v="2"/>
    <m/>
    <m/>
  </r>
  <r>
    <x v="62"/>
    <x v="69"/>
    <x v="3"/>
    <m/>
    <n v="8"/>
    <n v="3"/>
    <n v="5"/>
    <n v="1"/>
    <n v="4"/>
    <m/>
    <m/>
  </r>
  <r>
    <x v="62"/>
    <x v="43"/>
    <x v="3"/>
    <m/>
    <n v="11"/>
    <n v="1"/>
    <n v="3"/>
    <n v="1"/>
    <n v="4"/>
    <m/>
    <m/>
  </r>
  <r>
    <x v="62"/>
    <x v="46"/>
    <x v="4"/>
    <m/>
    <n v="14"/>
    <n v="2"/>
    <n v="2"/>
    <n v="1"/>
    <n v="7"/>
    <m/>
    <m/>
  </r>
  <r>
    <x v="62"/>
    <x v="50"/>
    <x v="4"/>
    <m/>
    <n v="12"/>
    <n v="6"/>
    <n v="25"/>
    <n v="3"/>
    <n v="8"/>
    <m/>
    <m/>
  </r>
  <r>
    <x v="62"/>
    <x v="69"/>
    <x v="4"/>
    <m/>
    <n v="12"/>
    <n v="2"/>
    <n v="5"/>
    <n v="0"/>
    <n v="3"/>
    <m/>
    <m/>
  </r>
  <r>
    <x v="62"/>
    <x v="43"/>
    <x v="4"/>
    <m/>
    <n v="6"/>
    <n v="3"/>
    <n v="6"/>
    <n v="1"/>
    <n v="5"/>
    <m/>
    <m/>
  </r>
  <r>
    <x v="62"/>
    <x v="58"/>
    <x v="9"/>
    <m/>
    <n v="44"/>
    <n v="5"/>
    <n v="43"/>
    <n v="5"/>
    <n v="14"/>
    <m/>
    <m/>
  </r>
  <r>
    <x v="62"/>
    <x v="10"/>
    <x v="9"/>
    <m/>
    <n v="27"/>
    <n v="1"/>
    <n v="29"/>
    <n v="4"/>
    <n v="7"/>
    <m/>
    <m/>
  </r>
  <r>
    <x v="62"/>
    <x v="65"/>
    <x v="1"/>
    <m/>
    <n v="27"/>
    <n v="18"/>
    <n v="24"/>
    <n v="11"/>
    <n v="14"/>
    <m/>
    <m/>
  </r>
  <r>
    <x v="62"/>
    <x v="44"/>
    <x v="1"/>
    <m/>
    <n v="6"/>
    <n v="2"/>
    <n v="15"/>
    <n v="4"/>
    <n v="4"/>
    <m/>
    <m/>
  </r>
  <r>
    <x v="62"/>
    <x v="14"/>
    <x v="11"/>
    <m/>
    <n v="28"/>
    <n v="0"/>
    <n v="34"/>
    <n v="0"/>
    <n v="10"/>
    <m/>
    <m/>
  </r>
  <r>
    <x v="62"/>
    <x v="37"/>
    <x v="11"/>
    <m/>
    <n v="31"/>
    <n v="0"/>
    <n v="36"/>
    <n v="0"/>
    <n v="17"/>
    <m/>
    <m/>
  </r>
  <r>
    <x v="62"/>
    <x v="46"/>
    <x v="8"/>
    <m/>
    <n v="23"/>
    <n v="1"/>
    <n v="30"/>
    <n v="1"/>
    <n v="12"/>
    <m/>
    <m/>
  </r>
  <r>
    <x v="62"/>
    <x v="22"/>
    <x v="7"/>
    <m/>
    <n v="11"/>
    <n v="1"/>
    <n v="7"/>
    <n v="1"/>
    <n v="2"/>
    <m/>
    <m/>
  </r>
  <r>
    <x v="62"/>
    <x v="71"/>
    <x v="7"/>
    <m/>
    <n v="25"/>
    <n v="5"/>
    <n v="9"/>
    <n v="0"/>
    <n v="6"/>
    <m/>
    <m/>
  </r>
  <r>
    <x v="62"/>
    <x v="61"/>
    <x v="12"/>
    <m/>
    <n v="30"/>
    <n v="9"/>
    <n v="32"/>
    <n v="5"/>
    <n v="8"/>
    <m/>
    <m/>
  </r>
  <r>
    <x v="62"/>
    <x v="74"/>
    <x v="12"/>
    <m/>
    <n v="14"/>
    <n v="10"/>
    <n v="5"/>
    <n v="0"/>
    <n v="4"/>
    <m/>
    <m/>
  </r>
  <r>
    <x v="62"/>
    <x v="67"/>
    <x v="13"/>
    <m/>
    <n v="31"/>
    <n v="14"/>
    <n v="18"/>
    <n v="7"/>
    <n v="6"/>
    <m/>
    <m/>
  </r>
  <r>
    <x v="62"/>
    <x v="19"/>
    <x v="13"/>
    <m/>
    <n v="12"/>
    <n v="0"/>
    <n v="5"/>
    <n v="0"/>
    <n v="1"/>
    <m/>
    <m/>
  </r>
  <r>
    <x v="62"/>
    <x v="53"/>
    <x v="14"/>
    <m/>
    <n v="27"/>
    <n v="10"/>
    <n v="26"/>
    <n v="9"/>
    <n v="11"/>
    <m/>
    <m/>
  </r>
  <r>
    <x v="62"/>
    <x v="72"/>
    <x v="14"/>
    <m/>
    <n v="19"/>
    <n v="11"/>
    <n v="2"/>
    <n v="1"/>
    <n v="3"/>
    <m/>
    <m/>
  </r>
  <r>
    <x v="62"/>
    <x v="21"/>
    <x v="15"/>
    <m/>
    <n v="10"/>
    <n v="3"/>
    <n v="14"/>
    <n v="3"/>
    <n v="1"/>
    <m/>
    <m/>
  </r>
  <r>
    <x v="62"/>
    <x v="45"/>
    <x v="16"/>
    <m/>
    <n v="1"/>
    <n v="0"/>
    <n v="8"/>
    <n v="1"/>
    <n v="1"/>
    <m/>
    <m/>
  </r>
  <r>
    <x v="62"/>
    <x v="62"/>
    <x v="16"/>
    <m/>
    <n v="24"/>
    <n v="8"/>
    <n v="7"/>
    <n v="1"/>
    <n v="6"/>
    <m/>
    <m/>
  </r>
  <r>
    <x v="62"/>
    <x v="63"/>
    <x v="17"/>
    <m/>
    <n v="22"/>
    <n v="6"/>
    <n v="21"/>
    <n v="4"/>
    <n v="12"/>
    <m/>
    <m/>
  </r>
  <r>
    <x v="62"/>
    <x v="33"/>
    <x v="18"/>
    <m/>
    <n v="6"/>
    <n v="3"/>
    <n v="10"/>
    <n v="13"/>
    <n v="6"/>
    <m/>
    <m/>
  </r>
  <r>
    <x v="62"/>
    <x v="56"/>
    <x v="20"/>
    <m/>
    <n v="19"/>
    <n v="1"/>
    <n v="19"/>
    <n v="0"/>
    <n v="10"/>
    <m/>
    <m/>
  </r>
  <r>
    <x v="62"/>
    <x v="38"/>
    <x v="21"/>
    <m/>
    <n v="24"/>
    <n v="7"/>
    <n v="33"/>
    <n v="3"/>
    <n v="8"/>
    <m/>
    <m/>
  </r>
  <r>
    <x v="62"/>
    <x v="49"/>
    <x v="26"/>
    <m/>
    <n v="15"/>
    <n v="3"/>
    <n v="15"/>
    <n v="2"/>
    <n v="12"/>
    <m/>
    <m/>
  </r>
  <r>
    <x v="62"/>
    <x v="73"/>
    <x v="26"/>
    <m/>
    <n v="14"/>
    <n v="1"/>
    <n v="6"/>
    <n v="0"/>
    <n v="3"/>
    <m/>
    <m/>
  </r>
  <r>
    <x v="63"/>
    <x v="15"/>
    <x v="3"/>
    <n v="358"/>
    <m/>
    <m/>
    <m/>
    <m/>
    <m/>
    <n v="109900"/>
    <m/>
  </r>
  <r>
    <x v="63"/>
    <x v="15"/>
    <x v="8"/>
    <n v="322"/>
    <m/>
    <m/>
    <m/>
    <m/>
    <m/>
    <n v="85328"/>
    <m/>
  </r>
  <r>
    <x v="63"/>
    <x v="15"/>
    <x v="4"/>
    <n v="333"/>
    <m/>
    <m/>
    <m/>
    <m/>
    <m/>
    <n v="342892"/>
    <m/>
  </r>
  <r>
    <x v="63"/>
    <x v="15"/>
    <x v="6"/>
    <n v="285"/>
    <m/>
    <m/>
    <m/>
    <m/>
    <m/>
    <n v="87000"/>
    <m/>
  </r>
  <r>
    <x v="63"/>
    <x v="15"/>
    <x v="11"/>
    <n v="346"/>
    <m/>
    <m/>
    <m/>
    <m/>
    <m/>
    <n v="417000"/>
    <m/>
  </r>
  <r>
    <x v="63"/>
    <x v="15"/>
    <x v="10"/>
    <n v="165"/>
    <m/>
    <m/>
    <m/>
    <m/>
    <m/>
    <n v="163000"/>
    <m/>
  </r>
  <r>
    <x v="63"/>
    <x v="15"/>
    <x v="0"/>
    <n v="366"/>
    <m/>
    <m/>
    <m/>
    <m/>
    <m/>
    <n v="243428"/>
    <m/>
  </r>
  <r>
    <x v="63"/>
    <x v="15"/>
    <x v="5"/>
    <n v="219"/>
    <m/>
    <m/>
    <m/>
    <m/>
    <m/>
    <n v="117114"/>
    <m/>
  </r>
  <r>
    <x v="63"/>
    <x v="15"/>
    <x v="9"/>
    <n v="344"/>
    <m/>
    <m/>
    <m/>
    <m/>
    <m/>
    <n v="263946"/>
    <m/>
  </r>
  <r>
    <x v="63"/>
    <x v="15"/>
    <x v="7"/>
    <n v="342"/>
    <m/>
    <m/>
    <m/>
    <m/>
    <m/>
    <n v="100496"/>
    <m/>
  </r>
  <r>
    <x v="63"/>
    <x v="15"/>
    <x v="2"/>
    <n v="477"/>
    <m/>
    <m/>
    <m/>
    <m/>
    <m/>
    <n v="271628"/>
    <m/>
  </r>
  <r>
    <x v="63"/>
    <x v="15"/>
    <x v="1"/>
    <n v="380"/>
    <m/>
    <m/>
    <m/>
    <m/>
    <m/>
    <n v="233550"/>
    <m/>
  </r>
  <r>
    <x v="63"/>
    <x v="15"/>
    <x v="12"/>
    <n v="412"/>
    <m/>
    <m/>
    <m/>
    <m/>
    <m/>
    <n v="136627"/>
    <m/>
  </r>
  <r>
    <x v="63"/>
    <x v="15"/>
    <x v="13"/>
    <n v="354"/>
    <m/>
    <m/>
    <m/>
    <m/>
    <m/>
    <n v="128472"/>
    <m/>
  </r>
  <r>
    <x v="63"/>
    <x v="15"/>
    <x v="14"/>
    <n v="290"/>
    <m/>
    <m/>
    <m/>
    <m/>
    <m/>
    <n v="216146"/>
    <m/>
  </r>
  <r>
    <x v="63"/>
    <x v="15"/>
    <x v="15"/>
    <n v="242"/>
    <m/>
    <m/>
    <m/>
    <m/>
    <m/>
    <n v="96660"/>
    <m/>
  </r>
  <r>
    <x v="63"/>
    <x v="15"/>
    <x v="16"/>
    <n v="358"/>
    <m/>
    <m/>
    <m/>
    <m/>
    <m/>
    <n v="121000"/>
    <m/>
  </r>
  <r>
    <x v="63"/>
    <x v="15"/>
    <x v="17"/>
    <n v="301"/>
    <m/>
    <m/>
    <m/>
    <m/>
    <m/>
    <n v="205500"/>
    <m/>
  </r>
  <r>
    <x v="63"/>
    <x v="15"/>
    <x v="18"/>
    <n v="228"/>
    <m/>
    <m/>
    <m/>
    <m/>
    <m/>
    <n v="141146"/>
    <m/>
  </r>
  <r>
    <x v="63"/>
    <x v="15"/>
    <x v="20"/>
    <n v="217"/>
    <m/>
    <m/>
    <m/>
    <m/>
    <m/>
    <n v="89900"/>
    <m/>
  </r>
  <r>
    <x v="63"/>
    <x v="15"/>
    <x v="21"/>
    <n v="175"/>
    <m/>
    <m/>
    <m/>
    <m/>
    <m/>
    <n v="97646"/>
    <m/>
  </r>
  <r>
    <x v="63"/>
    <x v="15"/>
    <x v="26"/>
    <n v="269"/>
    <m/>
    <m/>
    <m/>
    <m/>
    <m/>
    <n v="213714"/>
    <m/>
  </r>
  <r>
    <x v="63"/>
    <x v="15"/>
    <x v="30"/>
    <n v="163"/>
    <m/>
    <m/>
    <m/>
    <m/>
    <m/>
    <n v="86450"/>
    <m/>
  </r>
  <r>
    <x v="63"/>
    <x v="56"/>
    <x v="0"/>
    <m/>
    <n v="9"/>
    <n v="1"/>
    <n v="23"/>
    <n v="1"/>
    <n v="6"/>
    <m/>
    <m/>
  </r>
  <r>
    <x v="63"/>
    <x v="57"/>
    <x v="0"/>
    <m/>
    <n v="30"/>
    <n v="4"/>
    <n v="32"/>
    <n v="3"/>
    <n v="10"/>
    <m/>
    <m/>
  </r>
  <r>
    <x v="63"/>
    <x v="75"/>
    <x v="10"/>
    <m/>
    <n v="21"/>
    <n v="0"/>
    <n v="2"/>
    <n v="0"/>
    <n v="5"/>
    <m/>
    <m/>
  </r>
  <r>
    <x v="63"/>
    <x v="57"/>
    <x v="10"/>
    <m/>
    <n v="9"/>
    <n v="1"/>
    <n v="21"/>
    <n v="0"/>
    <n v="6"/>
    <m/>
    <m/>
  </r>
  <r>
    <x v="63"/>
    <x v="57"/>
    <x v="30"/>
    <m/>
    <n v="3"/>
    <n v="1"/>
    <n v="1"/>
    <n v="1"/>
    <n v="3"/>
    <m/>
    <m/>
  </r>
  <r>
    <x v="63"/>
    <x v="68"/>
    <x v="30"/>
    <m/>
    <n v="0"/>
    <n v="0"/>
    <n v="12"/>
    <n v="4"/>
    <n v="0"/>
    <m/>
    <m/>
  </r>
  <r>
    <x v="63"/>
    <x v="75"/>
    <x v="30"/>
    <m/>
    <n v="18"/>
    <n v="8"/>
    <n v="5"/>
    <n v="0"/>
    <n v="3"/>
    <m/>
    <m/>
  </r>
  <r>
    <x v="63"/>
    <x v="7"/>
    <x v="2"/>
    <m/>
    <n v="17"/>
    <n v="9"/>
    <n v="25"/>
    <n v="5"/>
    <n v="9"/>
    <m/>
    <m/>
  </r>
  <r>
    <x v="63"/>
    <x v="60"/>
    <x v="2"/>
    <m/>
    <n v="42"/>
    <n v="21"/>
    <n v="14"/>
    <n v="3"/>
    <n v="9"/>
    <m/>
    <m/>
  </r>
  <r>
    <x v="63"/>
    <x v="66"/>
    <x v="5"/>
    <m/>
    <n v="38"/>
    <n v="1"/>
    <n v="30"/>
    <n v="0"/>
    <n v="8"/>
    <m/>
    <m/>
  </r>
  <r>
    <x v="63"/>
    <x v="66"/>
    <x v="6"/>
    <m/>
    <n v="5"/>
    <n v="2"/>
    <n v="7"/>
    <n v="0"/>
    <n v="0"/>
    <m/>
    <m/>
  </r>
  <r>
    <x v="63"/>
    <x v="69"/>
    <x v="6"/>
    <m/>
    <n v="16"/>
    <n v="5"/>
    <n v="12"/>
    <n v="3"/>
    <n v="6"/>
    <m/>
    <m/>
  </r>
  <r>
    <x v="63"/>
    <x v="69"/>
    <x v="3"/>
    <m/>
    <n v="8"/>
    <n v="1"/>
    <n v="8"/>
    <n v="1"/>
    <n v="3"/>
    <m/>
    <m/>
  </r>
  <r>
    <x v="63"/>
    <x v="43"/>
    <x v="3"/>
    <m/>
    <n v="5"/>
    <n v="3"/>
    <n v="5"/>
    <n v="2"/>
    <n v="4"/>
    <m/>
    <m/>
  </r>
  <r>
    <x v="63"/>
    <x v="46"/>
    <x v="3"/>
    <m/>
    <n v="1"/>
    <n v="0"/>
    <n v="0"/>
    <n v="0"/>
    <n v="1"/>
    <m/>
    <m/>
  </r>
  <r>
    <x v="63"/>
    <x v="46"/>
    <x v="4"/>
    <m/>
    <n v="13"/>
    <n v="3"/>
    <n v="8"/>
    <n v="0"/>
    <n v="3"/>
    <m/>
    <m/>
  </r>
  <r>
    <x v="63"/>
    <x v="50"/>
    <x v="4"/>
    <m/>
    <n v="24"/>
    <n v="4"/>
    <n v="18"/>
    <n v="3"/>
    <n v="11"/>
    <m/>
    <m/>
  </r>
  <r>
    <x v="63"/>
    <x v="69"/>
    <x v="4"/>
    <m/>
    <n v="11"/>
    <n v="2"/>
    <n v="7"/>
    <n v="1"/>
    <n v="4"/>
    <m/>
    <m/>
  </r>
  <r>
    <x v="63"/>
    <x v="43"/>
    <x v="4"/>
    <m/>
    <n v="2"/>
    <n v="0"/>
    <n v="8"/>
    <n v="0"/>
    <n v="6"/>
    <m/>
    <m/>
  </r>
  <r>
    <x v="63"/>
    <x v="58"/>
    <x v="9"/>
    <m/>
    <n v="37"/>
    <n v="4"/>
    <n v="30"/>
    <n v="0"/>
    <n v="12"/>
    <m/>
    <m/>
  </r>
  <r>
    <x v="63"/>
    <x v="10"/>
    <x v="9"/>
    <m/>
    <n v="40"/>
    <n v="21"/>
    <n v="1"/>
    <n v="0"/>
    <n v="7"/>
    <m/>
    <m/>
  </r>
  <r>
    <x v="63"/>
    <x v="65"/>
    <x v="1"/>
    <m/>
    <n v="25"/>
    <n v="10"/>
    <n v="21"/>
    <n v="8"/>
    <n v="9"/>
    <m/>
    <m/>
  </r>
  <r>
    <x v="63"/>
    <x v="44"/>
    <x v="1"/>
    <m/>
    <n v="14"/>
    <n v="3"/>
    <n v="12"/>
    <n v="3"/>
    <n v="7"/>
    <m/>
    <m/>
  </r>
  <r>
    <x v="63"/>
    <x v="14"/>
    <x v="11"/>
    <m/>
    <n v="21"/>
    <n v="0"/>
    <n v="29"/>
    <n v="0"/>
    <n v="15"/>
    <m/>
    <m/>
  </r>
  <r>
    <x v="63"/>
    <x v="37"/>
    <x v="11"/>
    <m/>
    <n v="19"/>
    <n v="0"/>
    <n v="27"/>
    <n v="0"/>
    <n v="11"/>
    <m/>
    <m/>
  </r>
  <r>
    <x v="63"/>
    <x v="46"/>
    <x v="8"/>
    <m/>
    <n v="27"/>
    <n v="1"/>
    <n v="15"/>
    <n v="3"/>
    <n v="6"/>
    <m/>
    <m/>
  </r>
  <r>
    <x v="63"/>
    <x v="22"/>
    <x v="7"/>
    <m/>
    <n v="16"/>
    <n v="12"/>
    <n v="9"/>
    <n v="6"/>
    <n v="3"/>
    <m/>
    <m/>
  </r>
  <r>
    <x v="63"/>
    <x v="71"/>
    <x v="7"/>
    <m/>
    <n v="22"/>
    <n v="3"/>
    <n v="4"/>
    <n v="2"/>
    <n v="4"/>
    <m/>
    <m/>
  </r>
  <r>
    <x v="63"/>
    <x v="61"/>
    <x v="12"/>
    <m/>
    <n v="20"/>
    <n v="4"/>
    <n v="18"/>
    <n v="1"/>
    <n v="8"/>
    <m/>
    <m/>
  </r>
  <r>
    <x v="63"/>
    <x v="74"/>
    <x v="12"/>
    <m/>
    <n v="21"/>
    <n v="4"/>
    <n v="0"/>
    <n v="0"/>
    <n v="1"/>
    <m/>
    <m/>
  </r>
  <r>
    <x v="63"/>
    <x v="67"/>
    <x v="13"/>
    <m/>
    <n v="18"/>
    <n v="5"/>
    <n v="12"/>
    <n v="4"/>
    <n v="8"/>
    <m/>
    <m/>
  </r>
  <r>
    <x v="63"/>
    <x v="19"/>
    <x v="13"/>
    <m/>
    <n v="11"/>
    <n v="4"/>
    <n v="6"/>
    <n v="0"/>
    <n v="2"/>
    <m/>
    <m/>
  </r>
  <r>
    <x v="63"/>
    <x v="53"/>
    <x v="14"/>
    <m/>
    <n v="16"/>
    <n v="12"/>
    <n v="15"/>
    <n v="8"/>
    <n v="10"/>
    <m/>
    <m/>
  </r>
  <r>
    <x v="63"/>
    <x v="72"/>
    <x v="14"/>
    <m/>
    <n v="8"/>
    <n v="8"/>
    <n v="6"/>
    <n v="1"/>
    <n v="6"/>
    <m/>
    <m/>
  </r>
  <r>
    <x v="63"/>
    <x v="21"/>
    <x v="15"/>
    <m/>
    <n v="18"/>
    <n v="2"/>
    <n v="19"/>
    <n v="7"/>
    <n v="7"/>
    <m/>
    <m/>
  </r>
  <r>
    <x v="63"/>
    <x v="45"/>
    <x v="16"/>
    <m/>
    <n v="0"/>
    <n v="0"/>
    <n v="2"/>
    <n v="1"/>
    <n v="0"/>
    <m/>
    <m/>
  </r>
  <r>
    <x v="63"/>
    <x v="62"/>
    <x v="16"/>
    <m/>
    <n v="25"/>
    <n v="4"/>
    <n v="14"/>
    <n v="1"/>
    <n v="9"/>
    <m/>
    <m/>
  </r>
  <r>
    <x v="63"/>
    <x v="63"/>
    <x v="17"/>
    <m/>
    <n v="31"/>
    <n v="11"/>
    <n v="16"/>
    <n v="6"/>
    <n v="15"/>
    <m/>
    <m/>
  </r>
  <r>
    <x v="63"/>
    <x v="33"/>
    <x v="18"/>
    <m/>
    <n v="8"/>
    <n v="8"/>
    <n v="10"/>
    <n v="10"/>
    <n v="10"/>
    <m/>
    <m/>
  </r>
  <r>
    <x v="63"/>
    <x v="76"/>
    <x v="18"/>
    <m/>
    <n v="9"/>
    <n v="0"/>
    <n v="0"/>
    <n v="0"/>
    <n v="0"/>
    <m/>
    <m/>
  </r>
  <r>
    <x v="63"/>
    <x v="56"/>
    <x v="20"/>
    <m/>
    <n v="12"/>
    <n v="1"/>
    <n v="20"/>
    <n v="2"/>
    <n v="6"/>
    <m/>
    <m/>
  </r>
  <r>
    <x v="63"/>
    <x v="38"/>
    <x v="21"/>
    <m/>
    <n v="15"/>
    <n v="8"/>
    <n v="15"/>
    <n v="0"/>
    <n v="7"/>
    <m/>
    <m/>
  </r>
  <r>
    <x v="63"/>
    <x v="49"/>
    <x v="26"/>
    <m/>
    <n v="11"/>
    <n v="0"/>
    <n v="16"/>
    <n v="4"/>
    <n v="9"/>
    <m/>
    <m/>
  </r>
  <r>
    <x v="63"/>
    <x v="73"/>
    <x v="26"/>
    <m/>
    <n v="11"/>
    <n v="1"/>
    <n v="3"/>
    <n v="1"/>
    <n v="6"/>
    <m/>
    <m/>
  </r>
  <r>
    <x v="64"/>
    <x v="56"/>
    <x v="0"/>
    <m/>
    <n v="14"/>
    <n v="3"/>
    <n v="23"/>
    <n v="0"/>
    <n v="12"/>
    <m/>
    <m/>
  </r>
  <r>
    <x v="64"/>
    <x v="57"/>
    <x v="0"/>
    <m/>
    <n v="22"/>
    <n v="3"/>
    <n v="28"/>
    <n v="2"/>
    <n v="10"/>
    <m/>
    <m/>
  </r>
  <r>
    <x v="64"/>
    <x v="75"/>
    <x v="10"/>
    <m/>
    <n v="11"/>
    <n v="1"/>
    <n v="7"/>
    <n v="0"/>
    <n v="4"/>
    <m/>
    <m/>
  </r>
  <r>
    <x v="64"/>
    <x v="57"/>
    <x v="10"/>
    <m/>
    <n v="1"/>
    <n v="0"/>
    <n v="34"/>
    <n v="0"/>
    <n v="5"/>
    <m/>
    <m/>
  </r>
  <r>
    <x v="64"/>
    <x v="57"/>
    <x v="30"/>
    <m/>
    <n v="0"/>
    <n v="1"/>
    <n v="3"/>
    <n v="0"/>
    <n v="1"/>
    <m/>
    <m/>
  </r>
  <r>
    <x v="64"/>
    <x v="75"/>
    <x v="30"/>
    <m/>
    <n v="12"/>
    <n v="0"/>
    <n v="11"/>
    <n v="0"/>
    <n v="6"/>
    <m/>
    <m/>
  </r>
  <r>
    <x v="64"/>
    <x v="7"/>
    <x v="2"/>
    <m/>
    <n v="9"/>
    <n v="11"/>
    <n v="32"/>
    <n v="7"/>
    <n v="9"/>
    <m/>
    <m/>
  </r>
  <r>
    <x v="64"/>
    <x v="60"/>
    <x v="2"/>
    <m/>
    <n v="20"/>
    <n v="11"/>
    <n v="18"/>
    <n v="5"/>
    <n v="11"/>
    <m/>
    <m/>
  </r>
  <r>
    <x v="64"/>
    <x v="66"/>
    <x v="5"/>
    <m/>
    <n v="18"/>
    <n v="0"/>
    <n v="23"/>
    <n v="2"/>
    <n v="16"/>
    <m/>
    <m/>
  </r>
  <r>
    <x v="64"/>
    <x v="66"/>
    <x v="6"/>
    <m/>
    <n v="1"/>
    <n v="1"/>
    <n v="1"/>
    <n v="0"/>
    <n v="1"/>
    <m/>
    <m/>
  </r>
  <r>
    <x v="64"/>
    <x v="69"/>
    <x v="6"/>
    <m/>
    <n v="14"/>
    <n v="2"/>
    <n v="15"/>
    <n v="3"/>
    <n v="7"/>
    <m/>
    <m/>
  </r>
  <r>
    <x v="64"/>
    <x v="46"/>
    <x v="6"/>
    <m/>
    <n v="5"/>
    <n v="1"/>
    <n v="0"/>
    <n v="0"/>
    <n v="1"/>
    <m/>
    <m/>
  </r>
  <r>
    <x v="64"/>
    <x v="46"/>
    <x v="3"/>
    <m/>
    <n v="1"/>
    <n v="0"/>
    <n v="0"/>
    <n v="0"/>
    <n v="1"/>
    <m/>
    <m/>
  </r>
  <r>
    <x v="64"/>
    <x v="69"/>
    <x v="3"/>
    <m/>
    <n v="4"/>
    <n v="5"/>
    <n v="5"/>
    <n v="2"/>
    <n v="8"/>
    <m/>
    <m/>
  </r>
  <r>
    <x v="64"/>
    <x v="43"/>
    <x v="3"/>
    <m/>
    <n v="5"/>
    <n v="0"/>
    <n v="5"/>
    <n v="2"/>
    <n v="6"/>
    <m/>
    <m/>
  </r>
  <r>
    <x v="64"/>
    <x v="50"/>
    <x v="3"/>
    <m/>
    <n v="1"/>
    <n v="0"/>
    <n v="0"/>
    <n v="0"/>
    <n v="2"/>
    <m/>
    <m/>
  </r>
  <r>
    <x v="64"/>
    <x v="46"/>
    <x v="4"/>
    <m/>
    <n v="3"/>
    <n v="1"/>
    <n v="12"/>
    <n v="1"/>
    <n v="1"/>
    <m/>
    <m/>
  </r>
  <r>
    <x v="64"/>
    <x v="50"/>
    <x v="4"/>
    <m/>
    <n v="15"/>
    <n v="5"/>
    <n v="14"/>
    <n v="2"/>
    <n v="10"/>
    <m/>
    <m/>
  </r>
  <r>
    <x v="64"/>
    <x v="69"/>
    <x v="4"/>
    <m/>
    <n v="3"/>
    <n v="2"/>
    <n v="10"/>
    <n v="1"/>
    <n v="4"/>
    <m/>
    <m/>
  </r>
  <r>
    <x v="64"/>
    <x v="43"/>
    <x v="4"/>
    <m/>
    <n v="10"/>
    <n v="3"/>
    <n v="1"/>
    <n v="0"/>
    <n v="3"/>
    <m/>
    <m/>
  </r>
  <r>
    <x v="64"/>
    <x v="58"/>
    <x v="9"/>
    <m/>
    <n v="17"/>
    <n v="2"/>
    <n v="20"/>
    <n v="2"/>
    <n v="10"/>
    <m/>
    <m/>
  </r>
  <r>
    <x v="64"/>
    <x v="10"/>
    <x v="9"/>
    <m/>
    <n v="16"/>
    <n v="2"/>
    <n v="25"/>
    <n v="0"/>
    <n v="8"/>
    <m/>
    <m/>
  </r>
  <r>
    <x v="64"/>
    <x v="65"/>
    <x v="9"/>
    <m/>
    <n v="3"/>
    <n v="0"/>
    <n v="0"/>
    <n v="0"/>
    <n v="2"/>
    <m/>
    <m/>
  </r>
  <r>
    <x v="64"/>
    <x v="65"/>
    <x v="1"/>
    <m/>
    <n v="13"/>
    <n v="9"/>
    <n v="25"/>
    <n v="5"/>
    <n v="7"/>
    <m/>
    <m/>
  </r>
  <r>
    <x v="64"/>
    <x v="44"/>
    <x v="1"/>
    <m/>
    <n v="5"/>
    <n v="1"/>
    <n v="14"/>
    <n v="5"/>
    <n v="8"/>
    <m/>
    <m/>
  </r>
  <r>
    <x v="64"/>
    <x v="14"/>
    <x v="11"/>
    <m/>
    <n v="16"/>
    <n v="0"/>
    <n v="22"/>
    <n v="0"/>
    <n v="7"/>
    <m/>
    <m/>
  </r>
  <r>
    <x v="64"/>
    <x v="37"/>
    <x v="11"/>
    <m/>
    <n v="16"/>
    <n v="0"/>
    <n v="26"/>
    <n v="0"/>
    <n v="12"/>
    <m/>
    <m/>
  </r>
  <r>
    <x v="64"/>
    <x v="46"/>
    <x v="8"/>
    <m/>
    <n v="22"/>
    <n v="0"/>
    <n v="14"/>
    <n v="1"/>
    <n v="8"/>
    <m/>
    <m/>
  </r>
  <r>
    <x v="64"/>
    <x v="22"/>
    <x v="7"/>
    <m/>
    <n v="8"/>
    <n v="1"/>
    <n v="5"/>
    <n v="1"/>
    <n v="8"/>
    <m/>
    <m/>
  </r>
  <r>
    <x v="64"/>
    <x v="71"/>
    <x v="7"/>
    <m/>
    <n v="25"/>
    <n v="5"/>
    <n v="14"/>
    <n v="1"/>
    <n v="1"/>
    <m/>
    <m/>
  </r>
  <r>
    <x v="64"/>
    <x v="61"/>
    <x v="12"/>
    <m/>
    <n v="21"/>
    <n v="7"/>
    <n v="15"/>
    <n v="3"/>
    <n v="6"/>
    <m/>
    <m/>
  </r>
  <r>
    <x v="64"/>
    <x v="74"/>
    <x v="12"/>
    <m/>
    <n v="7"/>
    <n v="5"/>
    <n v="3"/>
    <n v="0"/>
    <n v="3"/>
    <m/>
    <m/>
  </r>
  <r>
    <x v="64"/>
    <x v="67"/>
    <x v="13"/>
    <m/>
    <n v="9"/>
    <n v="2"/>
    <n v="12"/>
    <n v="9"/>
    <n v="6"/>
    <m/>
    <m/>
  </r>
  <r>
    <x v="64"/>
    <x v="19"/>
    <x v="13"/>
    <m/>
    <n v="10"/>
    <n v="1"/>
    <n v="4"/>
    <n v="0"/>
    <n v="7"/>
    <m/>
    <m/>
  </r>
  <r>
    <x v="64"/>
    <x v="53"/>
    <x v="14"/>
    <m/>
    <n v="13"/>
    <n v="7"/>
    <n v="1"/>
    <n v="9"/>
    <n v="7"/>
    <m/>
    <m/>
  </r>
  <r>
    <x v="64"/>
    <x v="72"/>
    <x v="14"/>
    <m/>
    <n v="15"/>
    <n v="5"/>
    <n v="4"/>
    <n v="1"/>
    <n v="3"/>
    <m/>
    <m/>
  </r>
  <r>
    <x v="64"/>
    <x v="21"/>
    <x v="15"/>
    <m/>
    <n v="8"/>
    <n v="0"/>
    <n v="19"/>
    <n v="8"/>
    <n v="2"/>
    <m/>
    <m/>
  </r>
  <r>
    <x v="64"/>
    <x v="62"/>
    <x v="16"/>
    <m/>
    <n v="14"/>
    <n v="1"/>
    <n v="18"/>
    <n v="2"/>
    <n v="10"/>
    <m/>
    <m/>
  </r>
  <r>
    <x v="64"/>
    <x v="37"/>
    <x v="16"/>
    <m/>
    <n v="0"/>
    <n v="1"/>
    <n v="0"/>
    <n v="0"/>
    <n v="0"/>
    <m/>
    <m/>
  </r>
  <r>
    <x v="64"/>
    <x v="63"/>
    <x v="17"/>
    <m/>
    <n v="17"/>
    <n v="6"/>
    <n v="15"/>
    <n v="1"/>
    <n v="15"/>
    <m/>
    <m/>
  </r>
  <r>
    <x v="64"/>
    <x v="33"/>
    <x v="18"/>
    <m/>
    <n v="8"/>
    <n v="1"/>
    <n v="25"/>
    <n v="11"/>
    <n v="9"/>
    <m/>
    <m/>
  </r>
  <r>
    <x v="64"/>
    <x v="56"/>
    <x v="20"/>
    <m/>
    <n v="10"/>
    <n v="1"/>
    <n v="14"/>
    <n v="1"/>
    <n v="8"/>
    <m/>
    <m/>
  </r>
  <r>
    <x v="64"/>
    <x v="38"/>
    <x v="21"/>
    <m/>
    <n v="14"/>
    <n v="4"/>
    <n v="28"/>
    <n v="6"/>
    <n v="10"/>
    <m/>
    <m/>
  </r>
  <r>
    <x v="64"/>
    <x v="49"/>
    <x v="26"/>
    <m/>
    <n v="6"/>
    <n v="0"/>
    <n v="15"/>
    <n v="0"/>
    <n v="2"/>
    <m/>
    <m/>
  </r>
  <r>
    <x v="64"/>
    <x v="73"/>
    <x v="26"/>
    <m/>
    <n v="13"/>
    <n v="0"/>
    <n v="5"/>
    <n v="1"/>
    <n v="3"/>
    <m/>
    <m/>
  </r>
  <r>
    <x v="64"/>
    <x v="15"/>
    <x v="3"/>
    <n v="254"/>
    <m/>
    <m/>
    <m/>
    <m/>
    <m/>
    <n v="222400"/>
    <m/>
  </r>
  <r>
    <x v="64"/>
    <x v="15"/>
    <x v="8"/>
    <n v="305"/>
    <m/>
    <m/>
    <m/>
    <m/>
    <m/>
    <n v="118210"/>
    <m/>
  </r>
  <r>
    <x v="64"/>
    <x v="15"/>
    <x v="4"/>
    <n v="261"/>
    <m/>
    <m/>
    <m/>
    <m/>
    <m/>
    <n v="270910"/>
    <m/>
  </r>
  <r>
    <x v="64"/>
    <x v="15"/>
    <x v="6"/>
    <n v="219"/>
    <m/>
    <m/>
    <m/>
    <m/>
    <m/>
    <n v="124832"/>
    <m/>
  </r>
  <r>
    <x v="64"/>
    <x v="15"/>
    <x v="11"/>
    <n v="260"/>
    <m/>
    <m/>
    <m/>
    <m/>
    <m/>
    <n v="325100"/>
    <m/>
  </r>
  <r>
    <x v="64"/>
    <x v="15"/>
    <x v="10"/>
    <n v="110"/>
    <m/>
    <m/>
    <m/>
    <m/>
    <m/>
    <n v="128300"/>
    <m/>
  </r>
  <r>
    <x v="64"/>
    <x v="15"/>
    <x v="0"/>
    <n v="403"/>
    <m/>
    <m/>
    <m/>
    <m/>
    <m/>
    <n v="327666.2"/>
    <m/>
  </r>
  <r>
    <x v="64"/>
    <x v="15"/>
    <x v="5"/>
    <n v="162"/>
    <m/>
    <m/>
    <m/>
    <m/>
    <m/>
    <n v="239864"/>
    <m/>
  </r>
  <r>
    <x v="64"/>
    <x v="15"/>
    <x v="9"/>
    <n v="254"/>
    <m/>
    <m/>
    <m/>
    <m/>
    <m/>
    <n v="274894"/>
    <m/>
  </r>
  <r>
    <x v="64"/>
    <x v="15"/>
    <x v="7"/>
    <n v="211"/>
    <m/>
    <m/>
    <m/>
    <m/>
    <m/>
    <n v="127910"/>
    <m/>
  </r>
  <r>
    <x v="64"/>
    <x v="15"/>
    <x v="2"/>
    <n v="344"/>
    <m/>
    <m/>
    <m/>
    <m/>
    <m/>
    <n v="313696"/>
    <m/>
  </r>
  <r>
    <x v="64"/>
    <x v="15"/>
    <x v="1"/>
    <n v="185"/>
    <m/>
    <m/>
    <m/>
    <m/>
    <m/>
    <n v="218700"/>
    <m/>
  </r>
  <r>
    <x v="64"/>
    <x v="15"/>
    <x v="12"/>
    <n v="273"/>
    <m/>
    <m/>
    <m/>
    <m/>
    <m/>
    <n v="127046"/>
    <m/>
  </r>
  <r>
    <x v="64"/>
    <x v="15"/>
    <x v="13"/>
    <n v="303"/>
    <m/>
    <m/>
    <m/>
    <m/>
    <m/>
    <n v="175200"/>
    <m/>
  </r>
  <r>
    <x v="64"/>
    <x v="15"/>
    <x v="14"/>
    <n v="192"/>
    <m/>
    <m/>
    <m/>
    <m/>
    <m/>
    <n v="139596"/>
    <m/>
  </r>
  <r>
    <x v="64"/>
    <x v="15"/>
    <x v="15"/>
    <n v="175"/>
    <m/>
    <m/>
    <m/>
    <m/>
    <m/>
    <n v="25164"/>
    <m/>
  </r>
  <r>
    <x v="64"/>
    <x v="15"/>
    <x v="16"/>
    <n v="243"/>
    <m/>
    <m/>
    <m/>
    <m/>
    <m/>
    <n v="141000"/>
    <m/>
  </r>
  <r>
    <x v="64"/>
    <x v="15"/>
    <x v="17"/>
    <n v="248"/>
    <m/>
    <m/>
    <m/>
    <m/>
    <m/>
    <n v="206900"/>
    <m/>
  </r>
  <r>
    <x v="64"/>
    <x v="15"/>
    <x v="18"/>
    <n v="162"/>
    <m/>
    <m/>
    <m/>
    <m/>
    <m/>
    <n v="140328"/>
    <m/>
  </r>
  <r>
    <x v="64"/>
    <x v="15"/>
    <x v="20"/>
    <n v="162"/>
    <m/>
    <m/>
    <m/>
    <m/>
    <m/>
    <n v="124400"/>
    <m/>
  </r>
  <r>
    <x v="64"/>
    <x v="15"/>
    <x v="21"/>
    <n v="121"/>
    <m/>
    <m/>
    <m/>
    <m/>
    <m/>
    <n v="137882"/>
    <m/>
  </r>
  <r>
    <x v="64"/>
    <x v="15"/>
    <x v="26"/>
    <n v="258"/>
    <m/>
    <m/>
    <m/>
    <m/>
    <m/>
    <n v="83182"/>
    <m/>
  </r>
  <r>
    <x v="64"/>
    <x v="15"/>
    <x v="30"/>
    <n v="91"/>
    <m/>
    <m/>
    <m/>
    <m/>
    <m/>
    <n v="101882"/>
    <m/>
  </r>
  <r>
    <x v="65"/>
    <x v="56"/>
    <x v="0"/>
    <m/>
    <n v="28"/>
    <n v="4"/>
    <n v="30"/>
    <n v="2"/>
    <n v="9"/>
    <m/>
    <m/>
  </r>
  <r>
    <x v="65"/>
    <x v="57"/>
    <x v="0"/>
    <m/>
    <n v="30"/>
    <n v="7"/>
    <n v="19"/>
    <n v="6"/>
    <n v="13"/>
    <m/>
    <m/>
  </r>
  <r>
    <x v="65"/>
    <x v="75"/>
    <x v="10"/>
    <m/>
    <n v="28"/>
    <n v="1"/>
    <n v="5"/>
    <n v="0"/>
    <n v="4"/>
    <m/>
    <m/>
  </r>
  <r>
    <x v="65"/>
    <x v="57"/>
    <x v="10"/>
    <m/>
    <n v="2"/>
    <n v="1"/>
    <n v="17"/>
    <n v="2"/>
    <n v="5"/>
    <m/>
    <m/>
  </r>
  <r>
    <x v="65"/>
    <x v="57"/>
    <x v="30"/>
    <m/>
    <n v="0"/>
    <n v="1"/>
    <n v="1"/>
    <n v="0"/>
    <n v="1"/>
    <m/>
    <m/>
  </r>
  <r>
    <x v="65"/>
    <x v="75"/>
    <x v="30"/>
    <m/>
    <n v="18"/>
    <n v="0"/>
    <n v="13"/>
    <n v="0"/>
    <n v="4"/>
    <m/>
    <m/>
  </r>
  <r>
    <x v="65"/>
    <x v="7"/>
    <x v="2"/>
    <m/>
    <n v="24"/>
    <n v="20"/>
    <n v="36"/>
    <n v="9"/>
    <n v="10"/>
    <m/>
    <m/>
  </r>
  <r>
    <x v="65"/>
    <x v="60"/>
    <x v="2"/>
    <m/>
    <n v="26"/>
    <n v="17"/>
    <n v="23"/>
    <n v="6"/>
    <n v="11"/>
    <m/>
    <m/>
  </r>
  <r>
    <x v="65"/>
    <x v="66"/>
    <x v="5"/>
    <m/>
    <n v="56"/>
    <n v="0"/>
    <n v="53"/>
    <n v="2"/>
    <n v="10"/>
    <m/>
    <m/>
  </r>
  <r>
    <x v="65"/>
    <x v="66"/>
    <x v="6"/>
    <m/>
    <n v="13"/>
    <n v="1"/>
    <n v="3"/>
    <n v="1"/>
    <n v="0"/>
    <m/>
    <m/>
  </r>
  <r>
    <x v="65"/>
    <x v="69"/>
    <x v="6"/>
    <m/>
    <n v="24"/>
    <n v="2"/>
    <n v="11"/>
    <n v="2"/>
    <n v="12"/>
    <m/>
    <m/>
  </r>
  <r>
    <x v="65"/>
    <x v="69"/>
    <x v="3"/>
    <m/>
    <n v="10"/>
    <n v="2"/>
    <n v="11"/>
    <n v="2"/>
    <n v="4"/>
    <m/>
    <m/>
  </r>
  <r>
    <x v="65"/>
    <x v="43"/>
    <x v="3"/>
    <m/>
    <n v="11"/>
    <n v="4"/>
    <n v="5"/>
    <n v="1"/>
    <n v="5"/>
    <m/>
    <m/>
  </r>
  <r>
    <x v="65"/>
    <x v="50"/>
    <x v="3"/>
    <m/>
    <n v="1"/>
    <n v="0"/>
    <n v="0"/>
    <n v="0"/>
    <n v="1"/>
    <m/>
    <m/>
  </r>
  <r>
    <x v="65"/>
    <x v="46"/>
    <x v="4"/>
    <m/>
    <n v="6"/>
    <n v="1"/>
    <n v="15"/>
    <n v="0"/>
    <n v="5"/>
    <m/>
    <m/>
  </r>
  <r>
    <x v="65"/>
    <x v="50"/>
    <x v="4"/>
    <m/>
    <n v="35"/>
    <n v="6"/>
    <n v="21"/>
    <n v="3"/>
    <n v="10"/>
    <m/>
    <m/>
  </r>
  <r>
    <x v="65"/>
    <x v="69"/>
    <x v="4"/>
    <m/>
    <n v="17"/>
    <n v="3"/>
    <n v="6"/>
    <n v="2"/>
    <n v="5"/>
    <m/>
    <m/>
  </r>
  <r>
    <x v="65"/>
    <x v="43"/>
    <x v="4"/>
    <m/>
    <n v="6"/>
    <n v="0"/>
    <n v="2"/>
    <n v="1"/>
    <n v="2"/>
    <m/>
    <m/>
  </r>
  <r>
    <x v="65"/>
    <x v="58"/>
    <x v="9"/>
    <m/>
    <n v="43"/>
    <n v="3"/>
    <n v="43"/>
    <n v="0"/>
    <n v="15"/>
    <m/>
    <m/>
  </r>
  <r>
    <x v="65"/>
    <x v="10"/>
    <x v="9"/>
    <m/>
    <n v="35"/>
    <n v="0"/>
    <n v="29"/>
    <n v="0"/>
    <n v="10"/>
    <m/>
    <m/>
  </r>
  <r>
    <x v="65"/>
    <x v="65"/>
    <x v="9"/>
    <m/>
    <n v="2"/>
    <n v="0"/>
    <n v="0"/>
    <n v="0"/>
    <n v="2"/>
    <m/>
    <m/>
  </r>
  <r>
    <x v="65"/>
    <x v="65"/>
    <x v="1"/>
    <m/>
    <n v="25"/>
    <n v="7"/>
    <n v="29"/>
    <n v="11"/>
    <n v="13"/>
    <m/>
    <m/>
  </r>
  <r>
    <x v="65"/>
    <x v="44"/>
    <x v="1"/>
    <m/>
    <n v="9"/>
    <n v="4"/>
    <n v="21"/>
    <n v="6"/>
    <n v="7"/>
    <m/>
    <m/>
  </r>
  <r>
    <x v="65"/>
    <x v="14"/>
    <x v="11"/>
    <m/>
    <n v="6"/>
    <n v="0"/>
    <n v="12"/>
    <n v="0"/>
    <n v="7"/>
    <m/>
    <m/>
  </r>
  <r>
    <x v="65"/>
    <x v="37"/>
    <x v="11"/>
    <m/>
    <n v="24"/>
    <n v="0"/>
    <n v="27"/>
    <n v="0"/>
    <n v="18"/>
    <m/>
    <m/>
  </r>
  <r>
    <x v="65"/>
    <x v="46"/>
    <x v="8"/>
    <m/>
    <n v="29"/>
    <n v="1"/>
    <n v="29"/>
    <n v="2"/>
    <n v="13"/>
    <m/>
    <m/>
  </r>
  <r>
    <x v="65"/>
    <x v="50"/>
    <x v="8"/>
    <m/>
    <n v="2"/>
    <n v="0"/>
    <n v="0"/>
    <n v="0"/>
    <n v="2"/>
    <m/>
    <m/>
  </r>
  <r>
    <x v="65"/>
    <x v="22"/>
    <x v="7"/>
    <m/>
    <n v="11"/>
    <n v="4"/>
    <n v="10"/>
    <n v="7"/>
    <n v="5"/>
    <m/>
    <m/>
  </r>
  <r>
    <x v="65"/>
    <x v="71"/>
    <x v="7"/>
    <m/>
    <n v="14"/>
    <n v="6"/>
    <n v="7"/>
    <n v="3"/>
    <n v="7"/>
    <m/>
    <m/>
  </r>
  <r>
    <x v="65"/>
    <x v="61"/>
    <x v="12"/>
    <m/>
    <n v="14"/>
    <n v="8"/>
    <n v="20"/>
    <n v="7"/>
    <n v="10"/>
    <m/>
    <m/>
  </r>
  <r>
    <x v="65"/>
    <x v="74"/>
    <x v="12"/>
    <m/>
    <n v="12"/>
    <n v="3"/>
    <n v="5"/>
    <n v="2"/>
    <n v="4"/>
    <m/>
    <m/>
  </r>
  <r>
    <x v="65"/>
    <x v="67"/>
    <x v="13"/>
    <m/>
    <n v="20"/>
    <n v="5"/>
    <n v="21"/>
    <n v="6"/>
    <n v="7"/>
    <m/>
    <m/>
  </r>
  <r>
    <x v="65"/>
    <x v="19"/>
    <x v="13"/>
    <m/>
    <n v="16"/>
    <n v="2"/>
    <n v="11"/>
    <n v="1"/>
    <n v="9"/>
    <m/>
    <m/>
  </r>
  <r>
    <x v="65"/>
    <x v="53"/>
    <x v="14"/>
    <m/>
    <n v="6"/>
    <n v="6"/>
    <n v="12"/>
    <n v="7"/>
    <n v="10"/>
    <m/>
    <m/>
  </r>
  <r>
    <x v="65"/>
    <x v="72"/>
    <x v="14"/>
    <m/>
    <n v="28"/>
    <n v="5"/>
    <n v="5"/>
    <n v="3"/>
    <n v="6"/>
    <m/>
    <m/>
  </r>
  <r>
    <x v="65"/>
    <x v="21"/>
    <x v="15"/>
    <m/>
    <n v="10"/>
    <n v="2"/>
    <n v="24"/>
    <n v="5"/>
    <n v="7"/>
    <m/>
    <m/>
  </r>
  <r>
    <x v="65"/>
    <x v="62"/>
    <x v="16"/>
    <m/>
    <n v="28"/>
    <n v="4"/>
    <n v="13"/>
    <n v="0"/>
    <n v="9"/>
    <m/>
    <m/>
  </r>
  <r>
    <x v="65"/>
    <x v="63"/>
    <x v="17"/>
    <m/>
    <n v="26"/>
    <n v="6"/>
    <n v="18"/>
    <n v="0"/>
    <n v="16"/>
    <m/>
    <m/>
  </r>
  <r>
    <x v="65"/>
    <x v="33"/>
    <x v="18"/>
    <m/>
    <n v="13"/>
    <n v="5"/>
    <n v="19"/>
    <n v="2"/>
    <n v="2"/>
    <m/>
    <m/>
  </r>
  <r>
    <x v="65"/>
    <x v="56"/>
    <x v="20"/>
    <m/>
    <n v="18"/>
    <n v="2"/>
    <n v="20"/>
    <n v="0"/>
    <n v="7"/>
    <m/>
    <m/>
  </r>
  <r>
    <x v="65"/>
    <x v="38"/>
    <x v="21"/>
    <m/>
    <n v="27"/>
    <n v="1"/>
    <n v="30"/>
    <n v="2"/>
    <n v="11"/>
    <m/>
    <m/>
  </r>
  <r>
    <x v="65"/>
    <x v="49"/>
    <x v="26"/>
    <m/>
    <n v="12"/>
    <n v="1"/>
    <n v="9"/>
    <n v="0"/>
    <n v="4"/>
    <m/>
    <m/>
  </r>
  <r>
    <x v="65"/>
    <x v="73"/>
    <x v="26"/>
    <m/>
    <n v="13"/>
    <n v="0"/>
    <n v="8"/>
    <n v="0"/>
    <n v="4"/>
    <m/>
    <m/>
  </r>
  <r>
    <x v="65"/>
    <x v="15"/>
    <x v="3"/>
    <n v="425"/>
    <m/>
    <m/>
    <m/>
    <m/>
    <m/>
    <n v="135600"/>
    <m/>
  </r>
  <r>
    <x v="65"/>
    <x v="15"/>
    <x v="8"/>
    <n v="401"/>
    <m/>
    <m/>
    <m/>
    <m/>
    <m/>
    <n v="224964"/>
    <m/>
  </r>
  <r>
    <x v="65"/>
    <x v="15"/>
    <x v="4"/>
    <n v="359"/>
    <m/>
    <m/>
    <m/>
    <m/>
    <m/>
    <n v="309610"/>
    <m/>
  </r>
  <r>
    <x v="65"/>
    <x v="15"/>
    <x v="6"/>
    <n v="289"/>
    <m/>
    <m/>
    <m/>
    <m/>
    <m/>
    <n v="177750"/>
    <m/>
  </r>
  <r>
    <x v="65"/>
    <x v="15"/>
    <x v="11"/>
    <n v="428"/>
    <m/>
    <m/>
    <m/>
    <m/>
    <m/>
    <n v="392300"/>
    <m/>
  </r>
  <r>
    <x v="65"/>
    <x v="15"/>
    <x v="10"/>
    <n v="186"/>
    <m/>
    <m/>
    <m/>
    <m/>
    <m/>
    <n v="130450"/>
    <m/>
  </r>
  <r>
    <x v="65"/>
    <x v="15"/>
    <x v="0"/>
    <n v="443"/>
    <m/>
    <m/>
    <m/>
    <m/>
    <m/>
    <n v="328720"/>
    <m/>
  </r>
  <r>
    <x v="65"/>
    <x v="15"/>
    <x v="5"/>
    <n v="222"/>
    <m/>
    <m/>
    <m/>
    <m/>
    <m/>
    <n v="152000"/>
    <m/>
  </r>
  <r>
    <x v="65"/>
    <x v="15"/>
    <x v="9"/>
    <n v="385"/>
    <m/>
    <m/>
    <m/>
    <m/>
    <m/>
    <n v="392652"/>
    <m/>
  </r>
  <r>
    <x v="65"/>
    <x v="15"/>
    <x v="7"/>
    <n v="325"/>
    <m/>
    <m/>
    <m/>
    <m/>
    <m/>
    <n v="183106"/>
    <m/>
  </r>
  <r>
    <x v="65"/>
    <x v="15"/>
    <x v="2"/>
    <n v="515"/>
    <m/>
    <m/>
    <m/>
    <m/>
    <m/>
    <n v="344039"/>
    <m/>
  </r>
  <r>
    <x v="65"/>
    <x v="15"/>
    <x v="1"/>
    <n v="292"/>
    <m/>
    <m/>
    <m/>
    <m/>
    <m/>
    <n v="291100"/>
    <m/>
  </r>
  <r>
    <x v="65"/>
    <x v="15"/>
    <x v="12"/>
    <n v="211"/>
    <m/>
    <m/>
    <m/>
    <m/>
    <m/>
    <n v="218228"/>
    <m/>
  </r>
  <r>
    <x v="65"/>
    <x v="15"/>
    <x v="13"/>
    <n v="160"/>
    <m/>
    <m/>
    <m/>
    <m/>
    <m/>
    <n v="216530"/>
    <m/>
  </r>
  <r>
    <x v="65"/>
    <x v="15"/>
    <x v="14"/>
    <n v="305"/>
    <m/>
    <m/>
    <m/>
    <m/>
    <m/>
    <n v="229650"/>
    <m/>
  </r>
  <r>
    <x v="65"/>
    <x v="15"/>
    <x v="15"/>
    <n v="209"/>
    <m/>
    <m/>
    <m/>
    <m/>
    <m/>
    <n v="98428"/>
    <m/>
  </r>
  <r>
    <x v="65"/>
    <x v="15"/>
    <x v="16"/>
    <n v="326"/>
    <m/>
    <m/>
    <m/>
    <m/>
    <m/>
    <n v="125500"/>
    <m/>
  </r>
  <r>
    <x v="65"/>
    <x v="15"/>
    <x v="17"/>
    <n v="112"/>
    <m/>
    <m/>
    <m/>
    <m/>
    <m/>
    <n v="222180"/>
    <m/>
  </r>
  <r>
    <x v="65"/>
    <x v="15"/>
    <x v="18"/>
    <n v="269"/>
    <m/>
    <m/>
    <m/>
    <m/>
    <m/>
    <n v="30400"/>
    <m/>
  </r>
  <r>
    <x v="65"/>
    <x v="15"/>
    <x v="20"/>
    <n v="211"/>
    <m/>
    <m/>
    <m/>
    <m/>
    <m/>
    <n v="103550"/>
    <m/>
  </r>
  <r>
    <x v="65"/>
    <x v="15"/>
    <x v="21"/>
    <n v="175"/>
    <m/>
    <m/>
    <m/>
    <m/>
    <m/>
    <n v="161484"/>
    <m/>
  </r>
  <r>
    <x v="65"/>
    <x v="15"/>
    <x v="26"/>
    <n v="272"/>
    <m/>
    <m/>
    <m/>
    <m/>
    <m/>
    <n v="123982"/>
    <m/>
  </r>
  <r>
    <x v="65"/>
    <x v="15"/>
    <x v="30"/>
    <n v="149"/>
    <m/>
    <m/>
    <m/>
    <m/>
    <m/>
    <n v="79950"/>
    <m/>
  </r>
  <r>
    <x v="66"/>
    <x v="56"/>
    <x v="0"/>
    <m/>
    <n v="9"/>
    <n v="3"/>
    <n v="12"/>
    <n v="3"/>
    <n v="7"/>
    <m/>
    <m/>
  </r>
  <r>
    <x v="66"/>
    <x v="57"/>
    <x v="0"/>
    <m/>
    <n v="28"/>
    <n v="8"/>
    <n v="27"/>
    <n v="1"/>
    <n v="13"/>
    <m/>
    <m/>
  </r>
  <r>
    <x v="66"/>
    <x v="75"/>
    <x v="10"/>
    <m/>
    <n v="12"/>
    <n v="2"/>
    <n v="4"/>
    <n v="0"/>
    <n v="6"/>
    <m/>
    <m/>
  </r>
  <r>
    <x v="66"/>
    <x v="57"/>
    <x v="10"/>
    <m/>
    <n v="3"/>
    <n v="0"/>
    <n v="19"/>
    <n v="1"/>
    <n v="5"/>
    <m/>
    <m/>
  </r>
  <r>
    <x v="66"/>
    <x v="75"/>
    <x v="30"/>
    <m/>
    <n v="17"/>
    <n v="5"/>
    <n v="10"/>
    <n v="0"/>
    <n v="6"/>
    <m/>
    <m/>
  </r>
  <r>
    <x v="66"/>
    <x v="7"/>
    <x v="2"/>
    <m/>
    <n v="23"/>
    <n v="10"/>
    <n v="23"/>
    <n v="6"/>
    <n v="9"/>
    <m/>
    <m/>
  </r>
  <r>
    <x v="66"/>
    <x v="60"/>
    <x v="2"/>
    <m/>
    <n v="19"/>
    <n v="12"/>
    <n v="20"/>
    <n v="7"/>
    <n v="11"/>
    <m/>
    <m/>
  </r>
  <r>
    <x v="66"/>
    <x v="66"/>
    <x v="5"/>
    <m/>
    <n v="27"/>
    <n v="2"/>
    <n v="35"/>
    <n v="0"/>
    <n v="9"/>
    <m/>
    <m/>
  </r>
  <r>
    <x v="66"/>
    <x v="66"/>
    <x v="6"/>
    <m/>
    <n v="10"/>
    <n v="0"/>
    <n v="3"/>
    <n v="3"/>
    <n v="3"/>
    <m/>
    <m/>
  </r>
  <r>
    <x v="66"/>
    <x v="69"/>
    <x v="6"/>
    <m/>
    <n v="13"/>
    <n v="4"/>
    <n v="8"/>
    <n v="1"/>
    <n v="7"/>
    <m/>
    <m/>
  </r>
  <r>
    <x v="66"/>
    <x v="46"/>
    <x v="6"/>
    <m/>
    <n v="0"/>
    <n v="1"/>
    <n v="0"/>
    <n v="0"/>
    <n v="0"/>
    <m/>
    <m/>
  </r>
  <r>
    <x v="66"/>
    <x v="69"/>
    <x v="3"/>
    <m/>
    <n v="9"/>
    <n v="1"/>
    <n v="7"/>
    <n v="2"/>
    <n v="6"/>
    <m/>
    <m/>
  </r>
  <r>
    <x v="66"/>
    <x v="43"/>
    <x v="3"/>
    <m/>
    <n v="13"/>
    <n v="1"/>
    <n v="1"/>
    <n v="2"/>
    <n v="7"/>
    <m/>
    <m/>
  </r>
  <r>
    <x v="66"/>
    <x v="50"/>
    <x v="3"/>
    <m/>
    <n v="1"/>
    <n v="0"/>
    <n v="0"/>
    <n v="0"/>
    <n v="1"/>
    <m/>
    <m/>
  </r>
  <r>
    <x v="66"/>
    <x v="46"/>
    <x v="4"/>
    <m/>
    <n v="3"/>
    <n v="1"/>
    <n v="5"/>
    <n v="0"/>
    <n v="3"/>
    <m/>
    <m/>
  </r>
  <r>
    <x v="66"/>
    <x v="50"/>
    <x v="4"/>
    <m/>
    <n v="20"/>
    <n v="7"/>
    <n v="18"/>
    <n v="2"/>
    <n v="8"/>
    <m/>
    <m/>
  </r>
  <r>
    <x v="66"/>
    <x v="69"/>
    <x v="4"/>
    <m/>
    <n v="12"/>
    <n v="2"/>
    <n v="6"/>
    <n v="2"/>
    <n v="10"/>
    <m/>
    <m/>
  </r>
  <r>
    <x v="66"/>
    <x v="43"/>
    <x v="4"/>
    <m/>
    <n v="4"/>
    <n v="1"/>
    <n v="6"/>
    <n v="0"/>
    <n v="2"/>
    <m/>
    <m/>
  </r>
  <r>
    <x v="66"/>
    <x v="58"/>
    <x v="9"/>
    <m/>
    <n v="33"/>
    <n v="7"/>
    <n v="38"/>
    <n v="1"/>
    <n v="12"/>
    <m/>
    <m/>
  </r>
  <r>
    <x v="66"/>
    <x v="10"/>
    <x v="9"/>
    <m/>
    <n v="20"/>
    <n v="1"/>
    <n v="19"/>
    <n v="0"/>
    <n v="6"/>
    <m/>
    <m/>
  </r>
  <r>
    <x v="66"/>
    <x v="65"/>
    <x v="1"/>
    <m/>
    <n v="19"/>
    <n v="17"/>
    <n v="13"/>
    <n v="7"/>
    <n v="10"/>
    <m/>
    <m/>
  </r>
  <r>
    <x v="66"/>
    <x v="44"/>
    <x v="1"/>
    <m/>
    <n v="8"/>
    <n v="6"/>
    <n v="12"/>
    <n v="3"/>
    <n v="4"/>
    <m/>
    <m/>
  </r>
  <r>
    <x v="66"/>
    <x v="14"/>
    <x v="11"/>
    <m/>
    <n v="23"/>
    <n v="0"/>
    <n v="11"/>
    <n v="0"/>
    <n v="8"/>
    <m/>
    <m/>
  </r>
  <r>
    <x v="66"/>
    <x v="37"/>
    <x v="11"/>
    <m/>
    <n v="21"/>
    <n v="0"/>
    <n v="29"/>
    <n v="0"/>
    <n v="11"/>
    <m/>
    <m/>
  </r>
  <r>
    <x v="66"/>
    <x v="46"/>
    <x v="8"/>
    <m/>
    <n v="21"/>
    <n v="5"/>
    <n v="23"/>
    <n v="1"/>
    <n v="13"/>
    <m/>
    <m/>
  </r>
  <r>
    <x v="66"/>
    <x v="50"/>
    <x v="8"/>
    <m/>
    <n v="1"/>
    <n v="0"/>
    <n v="0"/>
    <n v="0"/>
    <n v="1"/>
    <m/>
    <m/>
  </r>
  <r>
    <x v="66"/>
    <x v="69"/>
    <x v="8"/>
    <m/>
    <n v="1"/>
    <n v="0"/>
    <n v="0"/>
    <n v="0"/>
    <n v="1"/>
    <m/>
    <m/>
  </r>
  <r>
    <x v="66"/>
    <x v="22"/>
    <x v="7"/>
    <m/>
    <n v="15"/>
    <n v="2"/>
    <n v="5"/>
    <n v="1"/>
    <n v="7"/>
    <m/>
    <m/>
  </r>
  <r>
    <x v="66"/>
    <x v="71"/>
    <x v="7"/>
    <m/>
    <n v="8"/>
    <n v="2"/>
    <n v="7"/>
    <n v="0"/>
    <n v="4"/>
    <m/>
    <m/>
  </r>
  <r>
    <x v="66"/>
    <x v="61"/>
    <x v="12"/>
    <m/>
    <n v="20"/>
    <n v="2"/>
    <n v="27"/>
    <n v="2"/>
    <n v="9"/>
    <m/>
    <m/>
  </r>
  <r>
    <x v="66"/>
    <x v="74"/>
    <x v="12"/>
    <m/>
    <n v="15"/>
    <n v="5"/>
    <n v="3"/>
    <n v="1"/>
    <n v="1"/>
    <m/>
    <m/>
  </r>
  <r>
    <x v="66"/>
    <x v="67"/>
    <x v="13"/>
    <m/>
    <n v="4"/>
    <n v="7"/>
    <n v="11"/>
    <n v="1"/>
    <n v="6"/>
    <m/>
    <m/>
  </r>
  <r>
    <x v="66"/>
    <x v="19"/>
    <x v="13"/>
    <m/>
    <n v="12"/>
    <n v="0"/>
    <n v="7"/>
    <n v="3"/>
    <n v="5"/>
    <m/>
    <m/>
  </r>
  <r>
    <x v="66"/>
    <x v="53"/>
    <x v="14"/>
    <m/>
    <n v="26"/>
    <n v="12"/>
    <n v="28"/>
    <n v="7"/>
    <n v="7"/>
    <m/>
    <m/>
  </r>
  <r>
    <x v="66"/>
    <x v="72"/>
    <x v="14"/>
    <m/>
    <n v="18"/>
    <n v="7"/>
    <n v="4"/>
    <n v="3"/>
    <n v="4"/>
    <m/>
    <m/>
  </r>
  <r>
    <x v="66"/>
    <x v="62"/>
    <x v="16"/>
    <m/>
    <n v="13"/>
    <n v="0"/>
    <n v="12"/>
    <n v="0"/>
    <n v="12"/>
    <m/>
    <m/>
  </r>
  <r>
    <x v="66"/>
    <x v="63"/>
    <x v="17"/>
    <m/>
    <n v="12"/>
    <n v="8"/>
    <n v="7"/>
    <n v="1"/>
    <n v="14"/>
    <m/>
    <m/>
  </r>
  <r>
    <x v="66"/>
    <x v="33"/>
    <x v="18"/>
    <m/>
    <n v="9"/>
    <n v="1"/>
    <n v="14"/>
    <n v="13"/>
    <n v="5"/>
    <m/>
    <m/>
  </r>
  <r>
    <x v="66"/>
    <x v="77"/>
    <x v="18"/>
    <m/>
    <n v="8"/>
    <n v="4"/>
    <n v="1"/>
    <n v="2"/>
    <n v="0"/>
    <m/>
    <m/>
  </r>
  <r>
    <x v="66"/>
    <x v="56"/>
    <x v="20"/>
    <m/>
    <n v="21"/>
    <n v="1"/>
    <n v="12"/>
    <n v="0"/>
    <n v="5"/>
    <m/>
    <m/>
  </r>
  <r>
    <x v="66"/>
    <x v="38"/>
    <x v="21"/>
    <m/>
    <n v="20"/>
    <n v="6"/>
    <n v="23"/>
    <n v="4"/>
    <n v="8"/>
    <m/>
    <m/>
  </r>
  <r>
    <x v="66"/>
    <x v="49"/>
    <x v="26"/>
    <m/>
    <n v="23"/>
    <n v="0"/>
    <n v="19"/>
    <n v="0"/>
    <n v="6"/>
    <m/>
    <m/>
  </r>
  <r>
    <x v="66"/>
    <x v="73"/>
    <x v="26"/>
    <m/>
    <n v="7"/>
    <n v="0"/>
    <n v="3"/>
    <n v="0"/>
    <n v="4"/>
    <m/>
    <m/>
  </r>
  <r>
    <x v="66"/>
    <x v="15"/>
    <x v="3"/>
    <n v="306"/>
    <m/>
    <m/>
    <m/>
    <m/>
    <m/>
    <n v="209420"/>
    <m/>
  </r>
  <r>
    <x v="66"/>
    <x v="15"/>
    <x v="8"/>
    <n v="234"/>
    <m/>
    <m/>
    <m/>
    <m/>
    <m/>
    <n v="228210"/>
    <m/>
  </r>
  <r>
    <x v="66"/>
    <x v="15"/>
    <x v="4"/>
    <n v="340"/>
    <m/>
    <m/>
    <m/>
    <m/>
    <m/>
    <n v="359760"/>
    <m/>
  </r>
  <r>
    <x v="66"/>
    <x v="15"/>
    <x v="6"/>
    <n v="236"/>
    <m/>
    <m/>
    <m/>
    <m/>
    <m/>
    <n v="147182"/>
    <m/>
  </r>
  <r>
    <x v="66"/>
    <x v="15"/>
    <x v="11"/>
    <n v="371"/>
    <m/>
    <m/>
    <m/>
    <m/>
    <m/>
    <n v="320500"/>
    <m/>
  </r>
  <r>
    <x v="66"/>
    <x v="15"/>
    <x v="10"/>
    <n v="127"/>
    <m/>
    <m/>
    <m/>
    <m/>
    <m/>
    <n v="170500"/>
    <m/>
  </r>
  <r>
    <x v="66"/>
    <x v="15"/>
    <x v="0"/>
    <n v="300"/>
    <m/>
    <m/>
    <m/>
    <m/>
    <m/>
    <n v="305028"/>
    <m/>
  </r>
  <r>
    <x v="66"/>
    <x v="15"/>
    <x v="5"/>
    <n v="145"/>
    <m/>
    <m/>
    <m/>
    <m/>
    <m/>
    <n v="146716"/>
    <m/>
  </r>
  <r>
    <x v="66"/>
    <x v="15"/>
    <x v="9"/>
    <n v="420"/>
    <m/>
    <m/>
    <m/>
    <m/>
    <m/>
    <n v="272510"/>
    <m/>
  </r>
  <r>
    <x v="66"/>
    <x v="15"/>
    <x v="7"/>
    <n v="213"/>
    <m/>
    <m/>
    <m/>
    <m/>
    <m/>
    <n v="174069.86"/>
    <m/>
  </r>
  <r>
    <x v="66"/>
    <x v="15"/>
    <x v="2"/>
    <n v="452"/>
    <m/>
    <m/>
    <m/>
    <m/>
    <m/>
    <n v="326850"/>
    <m/>
  </r>
  <r>
    <x v="66"/>
    <x v="15"/>
    <x v="1"/>
    <n v="242"/>
    <m/>
    <m/>
    <m/>
    <m/>
    <m/>
    <n v="205000"/>
    <m/>
  </r>
  <r>
    <x v="66"/>
    <x v="15"/>
    <x v="12"/>
    <n v="201"/>
    <m/>
    <m/>
    <m/>
    <m/>
    <m/>
    <n v="156622"/>
    <m/>
  </r>
  <r>
    <x v="66"/>
    <x v="15"/>
    <x v="13"/>
    <n v="163"/>
    <m/>
    <m/>
    <m/>
    <m/>
    <m/>
    <n v="146552"/>
    <m/>
  </r>
  <r>
    <x v="66"/>
    <x v="15"/>
    <x v="14"/>
    <n v="262"/>
    <m/>
    <m/>
    <m/>
    <m/>
    <m/>
    <n v="167512"/>
    <m/>
  </r>
  <r>
    <x v="66"/>
    <x v="15"/>
    <x v="16"/>
    <n v="275"/>
    <m/>
    <m/>
    <m/>
    <m/>
    <m/>
    <n v="161000"/>
    <m/>
  </r>
  <r>
    <x v="66"/>
    <x v="15"/>
    <x v="17"/>
    <n v="257"/>
    <m/>
    <m/>
    <m/>
    <m/>
    <m/>
    <n v="193800"/>
    <m/>
  </r>
  <r>
    <x v="66"/>
    <x v="15"/>
    <x v="18"/>
    <n v="246"/>
    <m/>
    <m/>
    <m/>
    <m/>
    <m/>
    <n v="67610"/>
    <m/>
  </r>
  <r>
    <x v="66"/>
    <x v="15"/>
    <x v="20"/>
    <n v="166"/>
    <m/>
    <m/>
    <m/>
    <m/>
    <m/>
    <n v="71700"/>
    <m/>
  </r>
  <r>
    <x v="66"/>
    <x v="15"/>
    <x v="21"/>
    <n v="121"/>
    <m/>
    <m/>
    <m/>
    <m/>
    <m/>
    <n v="119720"/>
    <m/>
  </r>
  <r>
    <x v="66"/>
    <x v="15"/>
    <x v="26"/>
    <n v="224"/>
    <m/>
    <m/>
    <m/>
    <m/>
    <m/>
    <n v="146200"/>
    <m/>
  </r>
  <r>
    <x v="66"/>
    <x v="15"/>
    <x v="30"/>
    <n v="130"/>
    <m/>
    <m/>
    <m/>
    <m/>
    <m/>
    <n v="92350"/>
    <m/>
  </r>
  <r>
    <x v="67"/>
    <x v="56"/>
    <x v="0"/>
    <m/>
    <m/>
    <m/>
    <m/>
    <m/>
    <n v="10"/>
    <m/>
    <m/>
  </r>
  <r>
    <x v="67"/>
    <x v="57"/>
    <x v="0"/>
    <m/>
    <m/>
    <m/>
    <m/>
    <m/>
    <n v="5"/>
    <m/>
    <m/>
  </r>
  <r>
    <x v="67"/>
    <x v="75"/>
    <x v="0"/>
    <m/>
    <m/>
    <m/>
    <m/>
    <m/>
    <n v="1"/>
    <m/>
    <m/>
  </r>
  <r>
    <x v="67"/>
    <x v="75"/>
    <x v="10"/>
    <m/>
    <m/>
    <m/>
    <m/>
    <m/>
    <n v="10"/>
    <m/>
    <m/>
  </r>
  <r>
    <x v="67"/>
    <x v="57"/>
    <x v="10"/>
    <m/>
    <m/>
    <m/>
    <m/>
    <m/>
    <n v="2"/>
    <m/>
    <m/>
  </r>
  <r>
    <x v="67"/>
    <x v="75"/>
    <x v="30"/>
    <m/>
    <m/>
    <m/>
    <m/>
    <m/>
    <n v="6"/>
    <m/>
    <m/>
  </r>
  <r>
    <x v="67"/>
    <x v="7"/>
    <x v="2"/>
    <m/>
    <m/>
    <m/>
    <m/>
    <m/>
    <n v="14"/>
    <m/>
    <m/>
  </r>
  <r>
    <x v="67"/>
    <x v="60"/>
    <x v="2"/>
    <m/>
    <m/>
    <m/>
    <m/>
    <m/>
    <n v="12"/>
    <m/>
    <m/>
  </r>
  <r>
    <x v="67"/>
    <x v="66"/>
    <x v="5"/>
    <m/>
    <m/>
    <m/>
    <m/>
    <m/>
    <n v="17"/>
    <m/>
    <m/>
  </r>
  <r>
    <x v="67"/>
    <x v="66"/>
    <x v="6"/>
    <m/>
    <m/>
    <m/>
    <m/>
    <m/>
    <n v="2"/>
    <m/>
    <m/>
  </r>
  <r>
    <x v="67"/>
    <x v="69"/>
    <x v="6"/>
    <m/>
    <m/>
    <m/>
    <m/>
    <m/>
    <n v="6"/>
    <m/>
    <m/>
  </r>
  <r>
    <x v="67"/>
    <x v="43"/>
    <x v="6"/>
    <m/>
    <m/>
    <m/>
    <m/>
    <m/>
    <n v="1"/>
    <m/>
    <m/>
  </r>
  <r>
    <x v="67"/>
    <x v="69"/>
    <x v="3"/>
    <m/>
    <m/>
    <m/>
    <m/>
    <m/>
    <n v="9"/>
    <m/>
    <m/>
  </r>
  <r>
    <x v="67"/>
    <x v="43"/>
    <x v="3"/>
    <m/>
    <m/>
    <m/>
    <m/>
    <m/>
    <n v="2"/>
    <m/>
    <m/>
  </r>
  <r>
    <x v="67"/>
    <x v="50"/>
    <x v="3"/>
    <m/>
    <m/>
    <m/>
    <m/>
    <m/>
    <m/>
    <m/>
    <m/>
  </r>
  <r>
    <x v="67"/>
    <x v="46"/>
    <x v="4"/>
    <m/>
    <m/>
    <m/>
    <m/>
    <m/>
    <n v="0"/>
    <m/>
    <m/>
  </r>
  <r>
    <x v="67"/>
    <x v="50"/>
    <x v="4"/>
    <m/>
    <m/>
    <m/>
    <m/>
    <m/>
    <n v="14"/>
    <m/>
    <m/>
  </r>
  <r>
    <x v="67"/>
    <x v="69"/>
    <x v="4"/>
    <m/>
    <m/>
    <m/>
    <m/>
    <m/>
    <n v="13"/>
    <m/>
    <m/>
  </r>
  <r>
    <x v="67"/>
    <x v="43"/>
    <x v="4"/>
    <m/>
    <m/>
    <m/>
    <m/>
    <m/>
    <n v="5"/>
    <m/>
    <m/>
  </r>
  <r>
    <x v="67"/>
    <x v="58"/>
    <x v="9"/>
    <m/>
    <m/>
    <m/>
    <m/>
    <m/>
    <n v="15"/>
    <m/>
    <m/>
  </r>
  <r>
    <x v="67"/>
    <x v="10"/>
    <x v="9"/>
    <m/>
    <m/>
    <m/>
    <m/>
    <m/>
    <n v="5"/>
    <m/>
    <m/>
  </r>
  <r>
    <x v="67"/>
    <x v="65"/>
    <x v="1"/>
    <m/>
    <m/>
    <m/>
    <m/>
    <m/>
    <n v="7"/>
    <m/>
    <m/>
  </r>
  <r>
    <x v="67"/>
    <x v="44"/>
    <x v="1"/>
    <m/>
    <m/>
    <m/>
    <m/>
    <m/>
    <n v="6"/>
    <m/>
    <m/>
  </r>
  <r>
    <x v="67"/>
    <x v="14"/>
    <x v="11"/>
    <m/>
    <m/>
    <m/>
    <m/>
    <m/>
    <n v="11"/>
    <m/>
    <m/>
  </r>
  <r>
    <x v="67"/>
    <x v="37"/>
    <x v="11"/>
    <m/>
    <m/>
    <m/>
    <m/>
    <m/>
    <n v="13"/>
    <m/>
    <m/>
  </r>
  <r>
    <x v="67"/>
    <x v="46"/>
    <x v="8"/>
    <m/>
    <m/>
    <m/>
    <m/>
    <m/>
    <n v="8"/>
    <m/>
    <m/>
  </r>
  <r>
    <x v="67"/>
    <x v="50"/>
    <x v="8"/>
    <m/>
    <m/>
    <m/>
    <m/>
    <m/>
    <m/>
    <m/>
    <m/>
  </r>
  <r>
    <x v="67"/>
    <x v="69"/>
    <x v="8"/>
    <m/>
    <m/>
    <m/>
    <m/>
    <m/>
    <m/>
    <m/>
    <m/>
  </r>
  <r>
    <x v="67"/>
    <x v="22"/>
    <x v="7"/>
    <m/>
    <m/>
    <m/>
    <m/>
    <m/>
    <n v="6"/>
    <m/>
    <m/>
  </r>
  <r>
    <x v="67"/>
    <x v="71"/>
    <x v="7"/>
    <m/>
    <m/>
    <m/>
    <m/>
    <m/>
    <n v="6"/>
    <m/>
    <m/>
  </r>
  <r>
    <x v="67"/>
    <x v="61"/>
    <x v="12"/>
    <m/>
    <m/>
    <m/>
    <m/>
    <m/>
    <n v="9"/>
    <m/>
    <m/>
  </r>
  <r>
    <x v="67"/>
    <x v="74"/>
    <x v="12"/>
    <m/>
    <m/>
    <m/>
    <m/>
    <m/>
    <n v="3"/>
    <m/>
    <m/>
  </r>
  <r>
    <x v="67"/>
    <x v="67"/>
    <x v="13"/>
    <m/>
    <m/>
    <m/>
    <m/>
    <m/>
    <n v="10"/>
    <m/>
    <m/>
  </r>
  <r>
    <x v="67"/>
    <x v="19"/>
    <x v="13"/>
    <m/>
    <m/>
    <m/>
    <m/>
    <m/>
    <n v="5"/>
    <m/>
    <m/>
  </r>
  <r>
    <x v="67"/>
    <x v="53"/>
    <x v="14"/>
    <m/>
    <m/>
    <m/>
    <m/>
    <m/>
    <n v="9"/>
    <m/>
    <m/>
  </r>
  <r>
    <x v="67"/>
    <x v="72"/>
    <x v="14"/>
    <m/>
    <m/>
    <m/>
    <m/>
    <m/>
    <n v="7"/>
    <m/>
    <m/>
  </r>
  <r>
    <x v="67"/>
    <x v="62"/>
    <x v="16"/>
    <m/>
    <m/>
    <m/>
    <m/>
    <m/>
    <n v="9"/>
    <m/>
    <m/>
  </r>
  <r>
    <x v="67"/>
    <x v="63"/>
    <x v="17"/>
    <m/>
    <m/>
    <m/>
    <m/>
    <m/>
    <n v="7"/>
    <m/>
    <m/>
  </r>
  <r>
    <x v="67"/>
    <x v="33"/>
    <x v="18"/>
    <m/>
    <m/>
    <m/>
    <m/>
    <m/>
    <n v="0"/>
    <m/>
    <m/>
  </r>
  <r>
    <x v="67"/>
    <x v="77"/>
    <x v="18"/>
    <m/>
    <m/>
    <m/>
    <m/>
    <m/>
    <n v="1"/>
    <m/>
    <m/>
  </r>
  <r>
    <x v="67"/>
    <x v="56"/>
    <x v="20"/>
    <m/>
    <m/>
    <m/>
    <m/>
    <m/>
    <n v="9"/>
    <m/>
    <m/>
  </r>
  <r>
    <x v="67"/>
    <x v="38"/>
    <x v="21"/>
    <m/>
    <m/>
    <m/>
    <m/>
    <m/>
    <n v="10"/>
    <m/>
    <m/>
  </r>
  <r>
    <x v="67"/>
    <x v="49"/>
    <x v="26"/>
    <m/>
    <m/>
    <m/>
    <m/>
    <m/>
    <n v="7"/>
    <m/>
    <m/>
  </r>
  <r>
    <x v="67"/>
    <x v="73"/>
    <x v="26"/>
    <m/>
    <m/>
    <m/>
    <m/>
    <m/>
    <n v="0"/>
    <m/>
    <m/>
  </r>
  <r>
    <x v="67"/>
    <x v="15"/>
    <x v="3"/>
    <n v="331"/>
    <m/>
    <m/>
    <m/>
    <m/>
    <m/>
    <n v="162166"/>
    <m/>
  </r>
  <r>
    <x v="67"/>
    <x v="15"/>
    <x v="8"/>
    <n v="185"/>
    <m/>
    <m/>
    <m/>
    <m/>
    <m/>
    <n v="126264"/>
    <m/>
  </r>
  <r>
    <x v="67"/>
    <x v="15"/>
    <x v="4"/>
    <n v="429"/>
    <m/>
    <m/>
    <m/>
    <m/>
    <m/>
    <n v="469584"/>
    <m/>
  </r>
  <r>
    <x v="67"/>
    <x v="15"/>
    <x v="6"/>
    <n v="340"/>
    <m/>
    <m/>
    <m/>
    <m/>
    <m/>
    <n v="122250"/>
    <m/>
  </r>
  <r>
    <x v="67"/>
    <x v="15"/>
    <x v="11"/>
    <n v="272"/>
    <m/>
    <m/>
    <m/>
    <m/>
    <m/>
    <n v="426900"/>
    <m/>
  </r>
  <r>
    <x v="67"/>
    <x v="15"/>
    <x v="10"/>
    <n v="133"/>
    <m/>
    <m/>
    <m/>
    <m/>
    <m/>
    <n v="171643"/>
    <m/>
  </r>
  <r>
    <x v="67"/>
    <x v="15"/>
    <x v="0"/>
    <n v="382"/>
    <m/>
    <m/>
    <m/>
    <m/>
    <m/>
    <n v="232484"/>
    <m/>
  </r>
  <r>
    <x v="67"/>
    <x v="15"/>
    <x v="5"/>
    <n v="144"/>
    <m/>
    <m/>
    <m/>
    <m/>
    <m/>
    <n v="255590"/>
    <m/>
  </r>
  <r>
    <x v="67"/>
    <x v="15"/>
    <x v="9"/>
    <n v="282"/>
    <m/>
    <m/>
    <m/>
    <m/>
    <m/>
    <n v="298142"/>
    <m/>
  </r>
  <r>
    <x v="67"/>
    <x v="15"/>
    <x v="7"/>
    <n v="282"/>
    <m/>
    <m/>
    <m/>
    <m/>
    <m/>
    <n v="182489.72"/>
    <m/>
  </r>
  <r>
    <x v="67"/>
    <x v="15"/>
    <x v="2"/>
    <n v="478"/>
    <m/>
    <m/>
    <m/>
    <m/>
    <m/>
    <n v="414860"/>
    <m/>
  </r>
  <r>
    <x v="67"/>
    <x v="15"/>
    <x v="1"/>
    <n v="353"/>
    <m/>
    <m/>
    <m/>
    <m/>
    <m/>
    <n v="198980"/>
    <m/>
  </r>
  <r>
    <x v="67"/>
    <x v="15"/>
    <x v="12"/>
    <n v="195"/>
    <m/>
    <m/>
    <m/>
    <m/>
    <m/>
    <n v="194010"/>
    <m/>
  </r>
  <r>
    <x v="67"/>
    <x v="15"/>
    <x v="13"/>
    <n v="390"/>
    <m/>
    <m/>
    <m/>
    <m/>
    <m/>
    <n v="203950"/>
    <m/>
  </r>
  <r>
    <x v="67"/>
    <x v="15"/>
    <x v="14"/>
    <n v="288"/>
    <m/>
    <m/>
    <m/>
    <m/>
    <m/>
    <n v="245410"/>
    <m/>
  </r>
  <r>
    <x v="67"/>
    <x v="15"/>
    <x v="16"/>
    <n v="295"/>
    <m/>
    <m/>
    <m/>
    <m/>
    <m/>
    <n v="129400"/>
    <m/>
  </r>
  <r>
    <x v="67"/>
    <x v="15"/>
    <x v="17"/>
    <n v="69"/>
    <m/>
    <m/>
    <m/>
    <m/>
    <m/>
    <n v="95700"/>
    <m/>
  </r>
  <r>
    <x v="67"/>
    <x v="15"/>
    <x v="18"/>
    <n v="258"/>
    <m/>
    <m/>
    <m/>
    <m/>
    <m/>
    <n v="14500"/>
    <m/>
  </r>
  <r>
    <x v="67"/>
    <x v="15"/>
    <x v="20"/>
    <n v="169"/>
    <m/>
    <m/>
    <m/>
    <m/>
    <m/>
    <n v="143010"/>
    <m/>
  </r>
  <r>
    <x v="67"/>
    <x v="15"/>
    <x v="21"/>
    <n v="158"/>
    <m/>
    <m/>
    <m/>
    <m/>
    <m/>
    <n v="149070"/>
    <m/>
  </r>
  <r>
    <x v="67"/>
    <x v="15"/>
    <x v="26"/>
    <n v="209"/>
    <m/>
    <m/>
    <m/>
    <m/>
    <m/>
    <n v="106610"/>
    <m/>
  </r>
  <r>
    <x v="67"/>
    <x v="15"/>
    <x v="30"/>
    <n v="142"/>
    <m/>
    <m/>
    <m/>
    <m/>
    <m/>
    <n v="837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A13EE-DB69-4D62-AFE1-7B73B1BC7328}" name="Tabela dinâmica1" cacheId="0" applyNumberFormats="0" applyBorderFormats="0" applyFontFormats="0" applyPatternFormats="0" applyAlignmentFormats="0" applyWidthHeightFormats="1" dataCaption="Valores" updatedVersion="8" minRefreshableVersion="5" useAutoFormatting="1" itemPrintTitles="1" createdVersion="6" indent="0" outline="1" outlineData="1" multipleFieldFilters="0" rowHeaderCaption="'Unidade">
  <location ref="A7:L13" firstHeaderRow="0" firstDataRow="1" firstDataCol="1"/>
  <pivotFields count="21"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multipleItemSelectionAllowed="1" showAll="0" sortType="descending">
      <items count="80">
        <item x="57"/>
        <item x="53"/>
        <item x="47"/>
        <item x="45"/>
        <item sd="0" x="46"/>
        <item x="26"/>
        <item x="14"/>
        <item x="31"/>
        <item x="29"/>
        <item x="34"/>
        <item x="1"/>
        <item x="37"/>
        <item x="42"/>
        <item x="2"/>
        <item x="44"/>
        <item x="3"/>
        <item x="4"/>
        <item sd="0" x="51"/>
        <item x="19"/>
        <item m="1" x="78"/>
        <item x="16"/>
        <item x="5"/>
        <item x="52"/>
        <item x="48"/>
        <item x="56"/>
        <item x="6"/>
        <item x="24"/>
        <item x="50"/>
        <item x="41"/>
        <item sd="0" x="55"/>
        <item x="32"/>
        <item x="35"/>
        <item x="28"/>
        <item x="54"/>
        <item x="17"/>
        <item x="23"/>
        <item x="39"/>
        <item x="38"/>
        <item x="7"/>
        <item x="8"/>
        <item x="0"/>
        <item x="9"/>
        <item x="58"/>
        <item x="40"/>
        <item x="61"/>
        <item x="30"/>
        <item x="22"/>
        <item x="18"/>
        <item x="10"/>
        <item x="20"/>
        <item x="27"/>
        <item x="62"/>
        <item x="59"/>
        <item x="60"/>
        <item x="43"/>
        <item x="21"/>
        <item x="36"/>
        <item x="25"/>
        <item x="11"/>
        <item x="12"/>
        <item x="13"/>
        <item x="49"/>
        <item x="33"/>
        <item sd="0" x="15"/>
        <item x="63"/>
        <item x="64"/>
        <item x="65"/>
        <item sd="0" x="66"/>
        <item x="67"/>
        <item x="68"/>
        <item sd="0" x="69"/>
        <item x="70"/>
        <item x="71"/>
        <item x="72"/>
        <item x="73"/>
        <item x="74"/>
        <item x="75"/>
        <item x="76"/>
        <item x="77"/>
        <item t="default"/>
      </items>
      <autoSortScope>
        <pivotArea dataOnly="0" outline="0" fieldPosition="0">
          <references count="1">
            <reference field="4294967294" count="1" selected="0">
              <x v="7"/>
            </reference>
          </references>
        </pivotArea>
      </autoSortScope>
    </pivotField>
    <pivotField axis="axisRow" multipleItemSelectionAllowed="1" showAll="0">
      <items count="35">
        <item h="1" sd="0" x="8"/>
        <item h="1" sd="0" x="3"/>
        <item h="1" m="1" x="33"/>
        <item h="1" sd="0" x="24"/>
        <item h="1" sd="0" x="2"/>
        <item h="1" sd="0" x="9"/>
        <item sd="0" x="0"/>
        <item h="1" sd="0" x="21"/>
        <item h="1" sd="0" x="29"/>
        <item h="1" sd="0" x="7"/>
        <item h="1" sd="0" x="18"/>
        <item h="1" sd="0" x="15"/>
        <item h="1" sd="0" x="1"/>
        <item h="1" sd="0" x="6"/>
        <item h="1" sd="0" m="1" x="32"/>
        <item h="1" sd="0" x="4"/>
        <item h="1" sd="0" x="23"/>
        <item h="1" sd="0" x="19"/>
        <item sd="0" x="20"/>
        <item h="1" sd="0" x="28"/>
        <item h="1" sd="0" x="22"/>
        <item sd="0" x="30"/>
        <item h="1" sd="0" x="14"/>
        <item h="1" sd="0" x="12"/>
        <item sd="0" x="11"/>
        <item h="1" sd="0" x="16"/>
        <item h="1" sd="0" x="13"/>
        <item h="1" sd="0" x="26"/>
        <item h="1" sd="0" x="5"/>
        <item h="1" sd="0" x="27"/>
        <item sd="0" x="10"/>
        <item h="1" sd="0" x="17"/>
        <item h="1" sd="0" x="25"/>
        <item h="1" sd="0" m="1" x="31"/>
        <item t="default" sd="0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numFmtId="43" showAll="0"/>
    <pivotField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showAll="0">
      <items count="7">
        <item sd="0" x="1"/>
        <item sd="0" x="2"/>
        <item sd="0" x="3"/>
        <item sd="0" x="4"/>
        <item sd="0" x="0"/>
        <item x="5"/>
        <item t="default"/>
      </items>
    </pivotField>
    <pivotField showAll="0">
      <items count="9">
        <item sd="0" x="1"/>
        <item sd="0" x="2"/>
        <item sd="0" x="3"/>
        <item sd="0" x="4"/>
        <item sd="0" x="5"/>
        <item sd="0" x="0"/>
        <item x="6"/>
        <item x="7"/>
        <item t="default"/>
      </items>
    </pivotField>
  </pivotFields>
  <rowFields count="2">
    <field x="2"/>
    <field x="1"/>
  </rowFields>
  <rowItems count="6">
    <i>
      <x v="6"/>
    </i>
    <i>
      <x v="18"/>
    </i>
    <i>
      <x v="21"/>
    </i>
    <i>
      <x v="24"/>
    </i>
    <i>
      <x v="30"/>
    </i>
    <i t="grand">
      <x/>
    </i>
  </rowItems>
  <colFields count="1">
    <field x="-2"/>
  </colFields>
  <colItems count="1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</colItems>
  <dataFields count="11">
    <dataField name="'Leads" fld="3" baseField="0" baseItem="0"/>
    <dataField name="'Consultas" fld="4" baseField="2" baseItem="0"/>
    <dataField name="'Consultas Online" fld="5" baseField="0" baseItem="0"/>
    <dataField name="'Taxa Conversão Consultas x Leads" fld="14" baseField="2" baseItem="0" numFmtId="9"/>
    <dataField name="'Retornos" fld="6" baseField="0" baseItem="0"/>
    <dataField name="'Retornos Online" fld="7" baseField="2" baseItem="0"/>
    <dataField name="'% Retornos x Consultas" fld="17" baseField="2" baseItem="1" numFmtId="9"/>
    <dataField name="'Cirurgias" fld="8" baseField="0" baseItem="0"/>
    <dataField name="'Taxa Conversão Cirurgias x Consultas" fld="16" baseField="2" baseItem="0" numFmtId="9"/>
    <dataField name="'Valor dos Serviços" fld="9" baseField="0" baseItem="0" numFmtId="167"/>
    <dataField name="'Valor Médio dos Serviços" fld="15" baseField="2" baseItem="2" numFmtId="167"/>
  </dataFields>
  <formats count="44">
    <format dxfId="46">
      <pivotArea field="2" type="button" dataOnly="0" labelOnly="1" outline="0" axis="axisRow" fieldPosition="0"/>
    </format>
    <format dxfId="45">
      <pivotArea dataOnly="0" labelOnly="1" outline="0" fieldPosition="0">
        <references count="1">
          <reference field="4294967294" count="4">
            <x v="2"/>
            <x v="4"/>
            <x v="7"/>
            <x v="9"/>
          </reference>
        </references>
      </pivotArea>
    </format>
    <format dxfId="44">
      <pivotArea dataOnly="0" labelOnly="1" outline="0" fieldPosition="0">
        <references count="1">
          <reference field="4294967294" count="4">
            <x v="2"/>
            <x v="4"/>
            <x v="7"/>
            <x v="9"/>
          </reference>
        </references>
      </pivotArea>
    </format>
    <format dxfId="43">
      <pivotArea dataOnly="0" labelOnly="1" outline="0" fieldPosition="0">
        <references count="1">
          <reference field="4294967294" count="4">
            <x v="2"/>
            <x v="4"/>
            <x v="7"/>
            <x v="9"/>
          </reference>
        </references>
      </pivotArea>
    </format>
    <format dxfId="42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1">
      <pivotArea dataOnly="0" labelOnly="1" outline="0" fieldPosition="0">
        <references count="1">
          <reference field="4294967294" count="6">
            <x v="1"/>
            <x v="2"/>
            <x v="4"/>
            <x v="5"/>
            <x v="7"/>
            <x v="9"/>
          </reference>
        </references>
      </pivotArea>
    </format>
    <format dxfId="40">
      <pivotArea dataOnly="0" labelOnly="1" outline="0" fieldPosition="0">
        <references count="1">
          <reference field="4294967294" count="6">
            <x v="1"/>
            <x v="2"/>
            <x v="4"/>
            <x v="5"/>
            <x v="7"/>
            <x v="9"/>
          </reference>
        </references>
      </pivotArea>
    </format>
    <format dxfId="39">
      <pivotArea dataOnly="0" outline="0" fieldPosition="0">
        <references count="1">
          <reference field="4294967294" count="1">
            <x v="3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7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3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31">
      <pivotArea dataOnly="0" labelOnly="1" outline="0" fieldPosition="0">
        <references count="1">
          <reference field="4294967294" count="9">
            <x v="1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30">
      <pivotArea dataOnly="0" labelOnly="1" outline="0" fieldPosition="0">
        <references count="1">
          <reference field="4294967294" count="9">
            <x v="1"/>
            <x v="2"/>
            <x v="3"/>
            <x v="4"/>
            <x v="5"/>
            <x v="7"/>
            <x v="8"/>
            <x v="9"/>
            <x v="10"/>
          </reference>
        </references>
      </pivotArea>
    </format>
    <format dxfId="29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28">
      <pivotArea outline="0" fieldPosition="0">
        <references count="1">
          <reference field="4294967294" count="1">
            <x v="6"/>
          </reference>
        </references>
      </pivotArea>
    </format>
    <format dxfId="2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6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25">
      <pivotArea field="2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3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field="2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7">
      <pivotArea field="2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11">
            <x v="0"/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5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3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2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1">
      <pivotArea outline="0" collapsedLevelsAreSubtotals="1" fieldPosition="0">
        <references count="1">
          <reference field="4294967294" count="1" selected="0">
            <x v="8"/>
          </reference>
        </references>
      </pivotArea>
    </format>
    <format dxfId="10">
      <pivotArea dataOnly="0" grandRow="1" fieldPosition="0"/>
    </format>
    <format dxfId="9">
      <pivotArea dataOnly="0" grandRow="1" fieldPosition="0"/>
    </format>
    <format dxfId="8">
      <pivotArea field="2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7">
      <pivotArea field="2" grandRow="1" outline="0" collapsedLevelsAreSubtotals="1" axis="axisRow" fieldPosition="0">
        <references count="1">
          <reference field="4294967294" count="1" selected="0">
            <x v="8"/>
          </reference>
        </references>
      </pivotArea>
    </format>
    <format dxfId="6">
      <pivotArea outline="0" collapsedLevelsAreSubtotals="1" fieldPosition="0">
        <references count="1">
          <reference field="4294967294" count="2" selected="0">
            <x v="9"/>
            <x v="10"/>
          </reference>
        </references>
      </pivotArea>
    </format>
    <format dxfId="5">
      <pivotArea grandRow="1" outline="0" collapsedLevelsAreSubtotals="1" fieldPosition="0"/>
    </format>
    <format dxfId="4">
      <pivotArea outline="0" collapsedLevelsAreSubtotals="1" fieldPosition="0">
        <references count="1">
          <reference field="4294967294" count="8" selected="0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3">
      <pivotArea dataOnly="0" labelOnly="1" outline="0" fieldPosition="0">
        <references count="1">
          <reference field="4294967294" count="8">
            <x v="0"/>
            <x v="1"/>
            <x v="2"/>
            <x v="3"/>
            <x v="4"/>
            <x v="5"/>
            <x v="6"/>
            <x v="7"/>
          </reference>
        </references>
      </pivotArea>
    </format>
  </formats>
  <pivotTableStyleInfo name="PivotStyleLight16" showRowHeaders="1" showColHeaders="1" showRowStripes="0" showColStripes="0" showLastColumn="1"/>
  <filters count="1">
    <filter fld="0" type="dateBetween" evalOrder="-1" id="27164" name="Data">
      <autoFilter ref="A1">
        <filterColumn colId="0">
          <customFilters and="1">
            <customFilter operator="greaterThanOrEqual" val="46023"/>
            <customFilter operator="lessThanOrEqual" val="46112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7A4127-FB1B-4A61-A8ED-5ED1BEE051E3}" name="Tabela2" displayName="Tabela2" ref="A1:K3" totalsRowShown="0">
  <autoFilter ref="A1:K3" xr:uid="{401EAE50-E539-4620-BBD4-9326CF846B78}"/>
  <tableColumns count="11">
    <tableColumn id="1" xr3:uid="{875F5608-3BEF-4DAE-9C7E-5A3ECB3B11B5}" name="Data" dataDxfId="47"/>
    <tableColumn id="2" xr3:uid="{5AC0E8F2-3BF7-43D3-9D2B-DB069F2722B6}" name="Profissional"/>
    <tableColumn id="3" xr3:uid="{EB5167D4-C88B-4789-92CA-1640964204D1}" name="Unidade"/>
    <tableColumn id="4" xr3:uid="{C91665F6-E41E-4146-B04C-83A37B2F984E}" name="Leads"/>
    <tableColumn id="5" xr3:uid="{0B0D61E6-191F-40C6-BE94-BF507B490EC2}" name="Consultas"/>
    <tableColumn id="6" xr3:uid="{BC6D66B0-E18D-41DB-A132-4161D92291ED}" name="Consultas Online"/>
    <tableColumn id="7" xr3:uid="{16E32723-3B92-4767-96A1-CC5956B28569}" name="Retornos"/>
    <tableColumn id="8" xr3:uid="{BD608C65-118A-4B29-8519-336CC865D2A0}" name="Retornos Online"/>
    <tableColumn id="9" xr3:uid="{F1841192-1913-41D3-B47F-1DF9E68A39C6}" name="Cirurgias"/>
    <tableColumn id="10" xr3:uid="{2D45FF2A-91A4-46B3-B70B-15DAFDCD8703}" name="Cirurgias realizadas no CC"/>
    <tableColumn id="11" xr3:uid="{031255FB-5976-4F84-9192-8972629B4EC9}" name="Valor dos Serviç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72B5E3-1E01-4DE8-A614-4396F48E5535}" name="Tabela1" displayName="Tabela1" ref="A1:K3713" totalsRowShown="0" headerRowDxfId="2">
  <autoFilter ref="A1:K3713" xr:uid="{3CEDBD49-6462-44FC-9443-39B54081541F}"/>
  <tableColumns count="11">
    <tableColumn id="1" xr3:uid="{2CAEE9AA-B6C5-4BDF-98BF-A3E786F1CCFD}" name="Data" dataDxfId="1"/>
    <tableColumn id="11" xr3:uid="{3D7FEE8D-24E0-4721-888B-32ABAC587676}" name="Profissional"/>
    <tableColumn id="2" xr3:uid="{B7191E33-F81B-48F7-94A6-300AD6E543A0}" name="Unidade"/>
    <tableColumn id="7" xr3:uid="{B3D024FC-213F-46B5-A145-A3EA7777AE86}" name="Leads"/>
    <tableColumn id="3" xr3:uid="{6278F597-40CA-4E8B-AB4F-CEF560C4B5A5}" name="Consultas"/>
    <tableColumn id="4" xr3:uid="{7E665793-99B8-4522-B8A5-64C093E574B8}" name="Consultas Online"/>
    <tableColumn id="6" xr3:uid="{C146A61E-2FAD-46C8-B995-BB4E1F4848E0}" name="Retornos"/>
    <tableColumn id="5" xr3:uid="{2282CF23-1CCF-4C50-824E-73802D13813A}" name="Retornos Online"/>
    <tableColumn id="8" xr3:uid="{F605F8BA-2509-43FD-BBBA-8C4A3036D40C}" name="Cirurgias"/>
    <tableColumn id="14" xr3:uid="{8F58B76C-0AFF-4657-9175-367A093CFC03}" name="Valor dos Serviços" dataDxfId="0" dataCellStyle="Vírgula"/>
    <tableColumn id="9" xr3:uid="{4B12A9D3-E427-4075-99B5-0F493B2BD2E2}" name="Colu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/>
      <a:lstStyle>
        <a:defPPr algn="l">
          <a:defRPr sz="1100" b="0" i="0" u="none" strike="noStrike">
            <a:solidFill>
              <a:srgbClr val="000000"/>
            </a:solidFill>
            <a:latin typeface="Calibri"/>
            <a:cs typeface="Calibri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Data" xr10:uid="{DB83CC0A-DFA0-4753-9E23-39A9F632960D}" sourceName="Data">
  <pivotTables>
    <pivotTable tabId="2" name="Tabela dinâmica1"/>
  </pivotTables>
  <state minimalRefreshVersion="6" lastRefreshVersion="6" pivotCacheId="1800310498" filterType="dateBetween">
    <selection startDate="2026-01-01T00:00:00" endDate="2026-03-31T00:00:00"/>
    <bounds startDate="2021-01-01T00:00:00" endDate="2027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E22B49F6-0076-447E-AE0B-35C74F48A020}" cache="NativeTimeline_Data" caption="Data" level="2" selectionLevel="1" scrollPosition="2025-10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17621-1685-4345-A3D6-B982FE903DC9}">
  <sheetPr codeName="Planilha3"/>
  <dimension ref="A1:K3"/>
  <sheetViews>
    <sheetView workbookViewId="0">
      <selection sqref="A1:K3"/>
    </sheetView>
  </sheetViews>
  <sheetFormatPr defaultRowHeight="14.5" x14ac:dyDescent="0.35"/>
  <cols>
    <col min="2" max="2" width="13.54296875" customWidth="1"/>
    <col min="3" max="3" width="10.81640625" customWidth="1"/>
    <col min="5" max="5" width="11.81640625" customWidth="1"/>
    <col min="6" max="6" width="18.1796875" customWidth="1"/>
    <col min="7" max="7" width="11.1796875" customWidth="1"/>
    <col min="8" max="8" width="17.54296875" customWidth="1"/>
    <col min="9" max="9" width="10.81640625" customWidth="1"/>
    <col min="10" max="10" width="25.54296875" customWidth="1"/>
    <col min="11" max="11" width="19.1796875" customWidth="1"/>
  </cols>
  <sheetData>
    <row r="1" spans="1:11" x14ac:dyDescent="0.35">
      <c r="A1" t="s">
        <v>0</v>
      </c>
      <c r="B1" t="s">
        <v>7</v>
      </c>
      <c r="C1" t="s">
        <v>1</v>
      </c>
      <c r="D1" t="s">
        <v>44</v>
      </c>
      <c r="E1" t="s">
        <v>2</v>
      </c>
      <c r="F1" t="s">
        <v>3</v>
      </c>
      <c r="G1" t="s">
        <v>4</v>
      </c>
      <c r="H1" t="s">
        <v>35</v>
      </c>
      <c r="I1" t="s">
        <v>5</v>
      </c>
      <c r="J1" t="s">
        <v>6</v>
      </c>
      <c r="K1" t="s">
        <v>10</v>
      </c>
    </row>
    <row r="2" spans="1:11" x14ac:dyDescent="0.35">
      <c r="A2" s="2">
        <v>44316</v>
      </c>
      <c r="B2" t="s">
        <v>13</v>
      </c>
      <c r="C2" t="s">
        <v>25</v>
      </c>
      <c r="I2">
        <v>11</v>
      </c>
      <c r="J2">
        <v>1</v>
      </c>
    </row>
    <row r="3" spans="1:11" x14ac:dyDescent="0.35">
      <c r="A3" s="2">
        <v>44316</v>
      </c>
      <c r="C3" t="s">
        <v>25</v>
      </c>
      <c r="K3">
        <v>146850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DC25-CBD7-424C-B69C-0CC6F82951E8}">
  <sheetPr codeName="Planilha1">
    <tabColor theme="4"/>
  </sheetPr>
  <dimension ref="A1:U1791"/>
  <sheetViews>
    <sheetView showGridLines="0" tabSelected="1" zoomScale="70" zoomScaleNormal="70" workbookViewId="0">
      <pane ySplit="1" topLeftCell="A2" activePane="bottomLeft" state="frozen"/>
      <selection pane="bottomLeft" activeCell="I11" sqref="I11"/>
    </sheetView>
  </sheetViews>
  <sheetFormatPr defaultColWidth="8.81640625" defaultRowHeight="14.5" x14ac:dyDescent="0.35"/>
  <cols>
    <col min="1" max="1" width="14.7265625" bestFit="1" customWidth="1"/>
    <col min="2" max="2" width="6" style="15" customWidth="1"/>
    <col min="3" max="3" width="9.453125" style="15" customWidth="1"/>
    <col min="4" max="4" width="9.1796875" style="15" customWidth="1"/>
    <col min="5" max="5" width="14" style="15" customWidth="1"/>
    <col min="6" max="6" width="8.90625" style="15" customWidth="1"/>
    <col min="7" max="7" width="8.6328125" style="15" customWidth="1"/>
    <col min="8" max="8" width="8.453125" style="15" customWidth="1"/>
    <col min="9" max="9" width="8.54296875" style="110" customWidth="1"/>
    <col min="10" max="10" width="14.54296875" style="77" customWidth="1"/>
    <col min="11" max="11" width="12.7265625" style="77" bestFit="1" customWidth="1"/>
    <col min="12" max="12" width="15.54296875" style="77" bestFit="1" customWidth="1"/>
    <col min="13" max="13" width="12" style="3" bestFit="1" customWidth="1"/>
    <col min="14" max="14" width="24.7265625" style="5" bestFit="1" customWidth="1"/>
    <col min="15" max="15" width="23.90625" style="3" bestFit="1" customWidth="1"/>
    <col min="16" max="16" width="23.6328125" style="7" bestFit="1" customWidth="1"/>
    <col min="17" max="17" width="13.54296875" customWidth="1"/>
    <col min="18" max="18" width="12.36328125" style="7" customWidth="1"/>
    <col min="19" max="19" width="11.6328125" bestFit="1" customWidth="1"/>
    <col min="20" max="20" width="20.90625" customWidth="1"/>
    <col min="21" max="21" width="8.81640625" customWidth="1"/>
  </cols>
  <sheetData>
    <row r="1" spans="1:21" ht="27" customHeight="1" x14ac:dyDescent="0.35">
      <c r="J1" s="76"/>
      <c r="K1" s="76"/>
      <c r="L1" s="76"/>
      <c r="M1" s="18"/>
      <c r="N1" s="19"/>
      <c r="O1" s="18"/>
      <c r="P1" s="34"/>
      <c r="Q1" s="20"/>
      <c r="R1" s="11"/>
      <c r="S1" s="12"/>
      <c r="T1" s="12"/>
      <c r="U1" s="12"/>
    </row>
    <row r="2" spans="1:21" ht="15" customHeight="1" x14ac:dyDescent="0.35">
      <c r="J2" s="76"/>
      <c r="K2" s="76"/>
      <c r="L2" s="76"/>
      <c r="M2" s="18"/>
      <c r="N2" s="19"/>
      <c r="O2" s="18"/>
      <c r="P2" s="34"/>
      <c r="Q2" s="20"/>
      <c r="R2" s="11"/>
      <c r="S2" s="12"/>
      <c r="T2" s="12"/>
      <c r="U2" s="12"/>
    </row>
    <row r="3" spans="1:21" ht="15" customHeight="1" x14ac:dyDescent="0.35">
      <c r="J3" s="76"/>
      <c r="K3" s="76"/>
      <c r="L3" s="76"/>
      <c r="M3" s="18"/>
      <c r="N3" s="19"/>
      <c r="O3" s="18"/>
      <c r="P3" s="34"/>
      <c r="Q3" s="20"/>
      <c r="R3" s="11"/>
      <c r="S3" s="12"/>
      <c r="T3" s="12"/>
      <c r="U3" s="12"/>
    </row>
    <row r="4" spans="1:21" ht="15" customHeight="1" x14ac:dyDescent="0.35">
      <c r="J4" s="76"/>
      <c r="K4" s="76"/>
      <c r="L4" s="76"/>
      <c r="M4" s="66"/>
      <c r="N4" s="19"/>
      <c r="O4" s="18"/>
      <c r="P4" s="34"/>
      <c r="Q4" s="20"/>
    </row>
    <row r="5" spans="1:21" ht="15" customHeight="1" x14ac:dyDescent="0.35">
      <c r="J5" s="76"/>
      <c r="K5" s="76"/>
      <c r="L5" s="76"/>
      <c r="M5" s="18"/>
      <c r="N5" s="19"/>
      <c r="O5" s="18"/>
      <c r="P5" s="34"/>
      <c r="Q5" s="20"/>
    </row>
    <row r="6" spans="1:21" ht="32.15" customHeight="1" x14ac:dyDescent="0.35">
      <c r="J6" s="76"/>
      <c r="K6" s="76"/>
      <c r="L6" s="76"/>
      <c r="M6" s="18"/>
      <c r="O6" s="18"/>
    </row>
    <row r="7" spans="1:21" s="1" customFormat="1" ht="72.5" x14ac:dyDescent="0.35">
      <c r="A7" s="67" t="s">
        <v>30</v>
      </c>
      <c r="B7" s="68" t="s">
        <v>53</v>
      </c>
      <c r="C7" s="68" t="s">
        <v>29</v>
      </c>
      <c r="D7" s="67" t="s">
        <v>31</v>
      </c>
      <c r="E7" s="69" t="s">
        <v>46</v>
      </c>
      <c r="F7" s="67" t="s">
        <v>32</v>
      </c>
      <c r="G7" s="67" t="s">
        <v>45</v>
      </c>
      <c r="H7" s="69" t="s">
        <v>51</v>
      </c>
      <c r="I7" s="67" t="s">
        <v>33</v>
      </c>
      <c r="J7" s="69" t="s">
        <v>47</v>
      </c>
      <c r="K7" s="70" t="s">
        <v>34</v>
      </c>
      <c r="L7" s="70" t="s">
        <v>48</v>
      </c>
      <c r="M7"/>
      <c r="N7"/>
      <c r="O7"/>
      <c r="P7" s="7"/>
      <c r="Q7"/>
      <c r="R7" s="10"/>
    </row>
    <row r="8" spans="1:21" s="9" customFormat="1" x14ac:dyDescent="0.35">
      <c r="A8" s="56" t="s">
        <v>20</v>
      </c>
      <c r="B8" s="171">
        <v>1125</v>
      </c>
      <c r="C8" s="171">
        <v>95</v>
      </c>
      <c r="D8" s="171">
        <v>22</v>
      </c>
      <c r="E8" s="111">
        <v>0.104</v>
      </c>
      <c r="F8" s="171">
        <v>88</v>
      </c>
      <c r="G8" s="171">
        <v>12</v>
      </c>
      <c r="H8" s="111">
        <v>0.46082949308755761</v>
      </c>
      <c r="I8" s="171">
        <v>58</v>
      </c>
      <c r="J8" s="111">
        <v>0.49572649572649574</v>
      </c>
      <c r="K8" s="73">
        <v>866232</v>
      </c>
      <c r="L8" s="73">
        <v>14935.034482758621</v>
      </c>
      <c r="M8"/>
      <c r="N8"/>
      <c r="O8"/>
      <c r="P8" s="39"/>
      <c r="R8" s="39"/>
    </row>
    <row r="9" spans="1:21" s="9" customFormat="1" x14ac:dyDescent="0.35">
      <c r="A9" s="56" t="s">
        <v>81</v>
      </c>
      <c r="B9" s="171">
        <v>546</v>
      </c>
      <c r="C9" s="171">
        <v>39</v>
      </c>
      <c r="D9" s="171">
        <v>3</v>
      </c>
      <c r="E9" s="111">
        <v>7.6923076923076927E-2</v>
      </c>
      <c r="F9" s="171">
        <v>32</v>
      </c>
      <c r="G9" s="171">
        <v>0</v>
      </c>
      <c r="H9" s="111">
        <v>0.43243243243243246</v>
      </c>
      <c r="I9" s="171">
        <v>21</v>
      </c>
      <c r="J9" s="111">
        <v>0.5</v>
      </c>
      <c r="K9" s="73">
        <v>318260</v>
      </c>
      <c r="L9" s="73">
        <v>15155.238095238095</v>
      </c>
      <c r="M9"/>
      <c r="N9"/>
      <c r="O9"/>
      <c r="P9" s="39"/>
      <c r="R9" s="39"/>
    </row>
    <row r="10" spans="1:21" s="9" customFormat="1" x14ac:dyDescent="0.35">
      <c r="A10" s="56" t="s">
        <v>115</v>
      </c>
      <c r="B10" s="171">
        <v>421</v>
      </c>
      <c r="C10" s="171">
        <v>35</v>
      </c>
      <c r="D10" s="171">
        <v>6</v>
      </c>
      <c r="E10" s="111">
        <v>9.7387173396674589E-2</v>
      </c>
      <c r="F10" s="171">
        <v>24</v>
      </c>
      <c r="G10" s="171">
        <v>0</v>
      </c>
      <c r="H10" s="111">
        <v>0.36923076923076925</v>
      </c>
      <c r="I10" s="171">
        <v>17</v>
      </c>
      <c r="J10" s="111">
        <v>0.41463414634146339</v>
      </c>
      <c r="K10" s="73">
        <v>256000</v>
      </c>
      <c r="L10" s="73">
        <v>15058.823529411764</v>
      </c>
      <c r="M10"/>
      <c r="N10"/>
      <c r="O10"/>
      <c r="P10" s="39"/>
      <c r="R10" s="39"/>
    </row>
    <row r="11" spans="1:21" s="9" customFormat="1" x14ac:dyDescent="0.35">
      <c r="A11" s="56" t="s">
        <v>27</v>
      </c>
      <c r="B11" s="171">
        <v>1071</v>
      </c>
      <c r="C11" s="171">
        <v>74</v>
      </c>
      <c r="D11" s="171">
        <v>0</v>
      </c>
      <c r="E11" s="111">
        <v>6.909430438842204E-2</v>
      </c>
      <c r="F11" s="171">
        <v>79</v>
      </c>
      <c r="G11" s="171">
        <v>0</v>
      </c>
      <c r="H11" s="111">
        <v>0.5163398692810458</v>
      </c>
      <c r="I11" s="171">
        <v>68</v>
      </c>
      <c r="J11" s="111">
        <v>0.91891891891891897</v>
      </c>
      <c r="K11" s="73">
        <v>1139700</v>
      </c>
      <c r="L11" s="73">
        <v>16760.294117647059</v>
      </c>
      <c r="M11"/>
      <c r="N11"/>
      <c r="O11"/>
      <c r="P11" s="39"/>
      <c r="Q11" s="113"/>
      <c r="R11" s="39"/>
    </row>
    <row r="12" spans="1:21" s="9" customFormat="1" x14ac:dyDescent="0.35">
      <c r="A12" s="56" t="s">
        <v>26</v>
      </c>
      <c r="B12" s="171">
        <v>446</v>
      </c>
      <c r="C12" s="171">
        <v>45</v>
      </c>
      <c r="D12" s="171">
        <v>4</v>
      </c>
      <c r="E12" s="111">
        <v>0.10986547085201794</v>
      </c>
      <c r="F12" s="171">
        <v>45</v>
      </c>
      <c r="G12" s="171">
        <v>3</v>
      </c>
      <c r="H12" s="111">
        <v>0.49484536082474229</v>
      </c>
      <c r="I12" s="171">
        <v>32</v>
      </c>
      <c r="J12" s="111">
        <v>0.65306122448979587</v>
      </c>
      <c r="K12" s="73">
        <v>472593</v>
      </c>
      <c r="L12" s="73">
        <v>14768.53125</v>
      </c>
      <c r="M12"/>
      <c r="N12"/>
      <c r="O12" s="7"/>
      <c r="P12" s="39"/>
      <c r="Q12" s="114"/>
      <c r="R12" s="39"/>
    </row>
    <row r="13" spans="1:21" s="9" customFormat="1" x14ac:dyDescent="0.35">
      <c r="A13" s="78" t="s">
        <v>28</v>
      </c>
      <c r="B13" s="170">
        <v>3609</v>
      </c>
      <c r="C13" s="170">
        <v>288</v>
      </c>
      <c r="D13" s="170">
        <v>35</v>
      </c>
      <c r="E13" s="79">
        <v>8.9498476032141866E-2</v>
      </c>
      <c r="F13" s="170">
        <v>268</v>
      </c>
      <c r="G13" s="170">
        <v>15</v>
      </c>
      <c r="H13" s="79">
        <v>0.46699669966996699</v>
      </c>
      <c r="I13" s="170">
        <v>196</v>
      </c>
      <c r="J13" s="79">
        <v>0.60681114551083593</v>
      </c>
      <c r="K13" s="109">
        <v>3052785</v>
      </c>
      <c r="L13" s="109">
        <v>15575.433673469388</v>
      </c>
      <c r="M13"/>
      <c r="N13"/>
      <c r="O13" s="7"/>
      <c r="P13" s="39"/>
      <c r="R13" s="39"/>
    </row>
    <row r="14" spans="1:21" s="9" customForma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 s="39"/>
      <c r="R14" s="39"/>
    </row>
    <row r="15" spans="1:21" s="9" customFormat="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 s="39"/>
      <c r="R15" s="39"/>
    </row>
    <row r="16" spans="1:21" s="9" customFormat="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 s="39"/>
      <c r="R16" s="39"/>
    </row>
    <row r="17" spans="1:20" s="9" customFormat="1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 s="39"/>
      <c r="R17" s="39"/>
    </row>
    <row r="18" spans="1:20" s="9" customFormat="1" ht="14.5" customHeight="1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 s="157"/>
      <c r="Q18" s="158"/>
      <c r="R18" s="159"/>
      <c r="S18" s="160"/>
      <c r="T18" s="160"/>
    </row>
    <row r="19" spans="1:20" s="9" customFormat="1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 s="162"/>
      <c r="Q19" s="155"/>
      <c r="R19" s="39"/>
      <c r="S19" s="39"/>
      <c r="T19" s="156"/>
    </row>
    <row r="20" spans="1:20" s="9" customFormat="1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 s="39"/>
      <c r="Q20" s="161"/>
      <c r="R20" s="39"/>
      <c r="S20" s="39"/>
      <c r="T20" s="163"/>
    </row>
    <row r="21" spans="1:20" s="9" customFormat="1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 s="39"/>
      <c r="Q21" s="161"/>
      <c r="R21" s="39"/>
      <c r="S21" s="39"/>
      <c r="T21" s="164"/>
    </row>
    <row r="22" spans="1:20" s="9" customFormat="1" x14ac:dyDescent="0.3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 s="39"/>
      <c r="Q22" s="161"/>
      <c r="R22" s="39"/>
      <c r="S22" s="39"/>
      <c r="T22" s="164"/>
    </row>
    <row r="23" spans="1:20" s="9" customFormat="1" ht="15" customHeight="1" x14ac:dyDescent="0.3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 s="39"/>
      <c r="Q23" s="155"/>
      <c r="R23" s="39"/>
      <c r="S23" s="39"/>
      <c r="T23" s="39"/>
    </row>
    <row r="24" spans="1:20" s="9" customFormat="1" x14ac:dyDescent="0.3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 s="39"/>
      <c r="Q24" s="155"/>
      <c r="R24" s="39"/>
      <c r="S24" s="39"/>
      <c r="T24" s="39"/>
    </row>
    <row r="25" spans="1:20" s="9" customFormat="1" x14ac:dyDescent="0.3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 s="39"/>
      <c r="Q25" s="155"/>
      <c r="R25" s="39"/>
      <c r="S25" s="39"/>
      <c r="T25" s="39"/>
    </row>
    <row r="26" spans="1:20" s="9" customFormat="1" x14ac:dyDescent="0.3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 s="39"/>
      <c r="R26" s="39"/>
    </row>
    <row r="27" spans="1:20" s="9" customFormat="1" x14ac:dyDescent="0.3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39"/>
      <c r="R27" s="39"/>
    </row>
    <row r="28" spans="1:20" s="9" customFormat="1" x14ac:dyDescent="0.3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 s="39"/>
      <c r="R28" s="39"/>
    </row>
    <row r="29" spans="1:20" s="9" customFormat="1" x14ac:dyDescent="0.3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 s="39"/>
      <c r="R29" s="39"/>
    </row>
    <row r="30" spans="1:20" s="9" customFormat="1" x14ac:dyDescent="0.3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 s="39"/>
      <c r="R30" s="39"/>
    </row>
    <row r="31" spans="1:20" s="9" customFormat="1" x14ac:dyDescent="0.3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20" s="9" customFormat="1" x14ac:dyDescent="0.3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8" s="9" customFormat="1" x14ac:dyDescent="0.35">
      <c r="A33"/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1:18" s="9" customFormat="1" x14ac:dyDescent="0.35">
      <c r="A34"/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1:18" s="9" customFormat="1" x14ac:dyDescent="0.35">
      <c r="A35"/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1:18" s="9" customFormat="1" x14ac:dyDescent="0.35">
      <c r="A36"/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1:18" s="9" customFormat="1" x14ac:dyDescent="0.35">
      <c r="A37"/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8" s="9" customFormat="1" x14ac:dyDescent="0.35">
      <c r="A38"/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8" x14ac:dyDescent="0.35"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R39"/>
    </row>
    <row r="40" spans="1:18" x14ac:dyDescent="0.35"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R40"/>
    </row>
    <row r="41" spans="1:18" x14ac:dyDescent="0.35"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R41"/>
    </row>
    <row r="42" spans="1:18" x14ac:dyDescent="0.35"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R42"/>
    </row>
    <row r="43" spans="1:18" x14ac:dyDescent="0.35"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R43"/>
    </row>
    <row r="44" spans="1:18" x14ac:dyDescent="0.35"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R44"/>
    </row>
    <row r="45" spans="1:18" x14ac:dyDescent="0.35"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R45"/>
    </row>
    <row r="46" spans="1:18" ht="15" customHeight="1" x14ac:dyDescent="0.35"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R46"/>
    </row>
    <row r="47" spans="1:18" ht="15" customHeight="1" x14ac:dyDescent="0.35"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R47"/>
    </row>
    <row r="48" spans="1:18" x14ac:dyDescent="0.35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R48"/>
    </row>
    <row r="49" spans="2:18" x14ac:dyDescent="0.35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R49"/>
    </row>
    <row r="50" spans="2:18" x14ac:dyDescent="0.35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R50"/>
    </row>
    <row r="51" spans="2:18" ht="15" customHeight="1" x14ac:dyDescent="0.35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R51"/>
    </row>
    <row r="52" spans="2:18" ht="15" customHeight="1" x14ac:dyDescent="0.35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R52"/>
    </row>
    <row r="53" spans="2:18" x14ac:dyDescent="0.35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R53"/>
    </row>
    <row r="54" spans="2:18" ht="15" customHeight="1" x14ac:dyDescent="0.35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R54"/>
    </row>
    <row r="55" spans="2:18" ht="15" customHeight="1" x14ac:dyDescent="0.35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R55"/>
    </row>
    <row r="56" spans="2:18" ht="15" customHeight="1" x14ac:dyDescent="0.35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R56"/>
    </row>
    <row r="57" spans="2:18" ht="15" customHeight="1" x14ac:dyDescent="0.35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R57"/>
    </row>
    <row r="58" spans="2:18" ht="15" customHeight="1" x14ac:dyDescent="0.35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R58"/>
    </row>
    <row r="59" spans="2:18" ht="15" customHeight="1" x14ac:dyDescent="0.35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R59"/>
    </row>
    <row r="60" spans="2:18" ht="15" customHeight="1" x14ac:dyDescent="0.35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R60"/>
    </row>
    <row r="61" spans="2:18" ht="15" customHeight="1" x14ac:dyDescent="0.35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R61"/>
    </row>
    <row r="62" spans="2:18" ht="15" customHeight="1" x14ac:dyDescent="0.35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R62"/>
    </row>
    <row r="63" spans="2:18" ht="15" customHeight="1" x14ac:dyDescent="0.35"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2:18" ht="15" customHeight="1" x14ac:dyDescent="0.35"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2:15" ht="15" customHeight="1" x14ac:dyDescent="0.35"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2:15" x14ac:dyDescent="0.35"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2:15" ht="15" customHeight="1" x14ac:dyDescent="0.35"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2:15" ht="15" customHeight="1" x14ac:dyDescent="0.35"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2:15" ht="15" customHeight="1" x14ac:dyDescent="0.35"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2:15" ht="15" customHeight="1" x14ac:dyDescent="0.35"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2:15" ht="15" customHeight="1" x14ac:dyDescent="0.35"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2:15" x14ac:dyDescent="0.35"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2:15" x14ac:dyDescent="0.35"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2:15" x14ac:dyDescent="0.35"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2:15" x14ac:dyDescent="0.35"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2:15" x14ac:dyDescent="0.35"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2:15" x14ac:dyDescent="0.35"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2:15" x14ac:dyDescent="0.35"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2:15" x14ac:dyDescent="0.35"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2:15" x14ac:dyDescent="0.35"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2:15" x14ac:dyDescent="0.35"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2:15" x14ac:dyDescent="0.35"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2:15" x14ac:dyDescent="0.35"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2:15" x14ac:dyDescent="0.35"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2:15" x14ac:dyDescent="0.35"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2:15" x14ac:dyDescent="0.35"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2:15" x14ac:dyDescent="0.35"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2:15" x14ac:dyDescent="0.35"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2:15" x14ac:dyDescent="0.35"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2:15" x14ac:dyDescent="0.35"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2:15" x14ac:dyDescent="0.35"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2:15" x14ac:dyDescent="0.35"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2:15" x14ac:dyDescent="0.35"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2:15" x14ac:dyDescent="0.35"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2:15" x14ac:dyDescent="0.35"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2:15" x14ac:dyDescent="0.35"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2:15" x14ac:dyDescent="0.35"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2:15" x14ac:dyDescent="0.35"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2:15" x14ac:dyDescent="0.35"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2:15" x14ac:dyDescent="0.35"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2:15" x14ac:dyDescent="0.35"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2:15" x14ac:dyDescent="0.35"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2:15" x14ac:dyDescent="0.35"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2:15" x14ac:dyDescent="0.35"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2:15" x14ac:dyDescent="0.35"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2:15" x14ac:dyDescent="0.35"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2:15" x14ac:dyDescent="0.35"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2:15" x14ac:dyDescent="0.35"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2:15" x14ac:dyDescent="0.35"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2:15" x14ac:dyDescent="0.35"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2:15" x14ac:dyDescent="0.35"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2:15" x14ac:dyDescent="0.35"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2:15" x14ac:dyDescent="0.35"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2:15" x14ac:dyDescent="0.35"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2:15" x14ac:dyDescent="0.35"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2:15" x14ac:dyDescent="0.35"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2:15" x14ac:dyDescent="0.35"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2:15" x14ac:dyDescent="0.35"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2:15" x14ac:dyDescent="0.35"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2:15" x14ac:dyDescent="0.35"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2:15" x14ac:dyDescent="0.35"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2:15" x14ac:dyDescent="0.35"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2:15" x14ac:dyDescent="0.35"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2:15" x14ac:dyDescent="0.35"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2:15" x14ac:dyDescent="0.35"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2:15" x14ac:dyDescent="0.35"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2:15" x14ac:dyDescent="0.35"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2:15" x14ac:dyDescent="0.35"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2:15" x14ac:dyDescent="0.35"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2:15" x14ac:dyDescent="0.35"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2:15" x14ac:dyDescent="0.35"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2:15" x14ac:dyDescent="0.35"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2:15" x14ac:dyDescent="0.35"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2:15" x14ac:dyDescent="0.3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2:15" x14ac:dyDescent="0.3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2:15" x14ac:dyDescent="0.3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2:15" x14ac:dyDescent="0.3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2:15" x14ac:dyDescent="0.3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2:15" x14ac:dyDescent="0.3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2:15" x14ac:dyDescent="0.3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2:15" x14ac:dyDescent="0.3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2:15" x14ac:dyDescent="0.35">
      <c r="B142"/>
      <c r="C142"/>
      <c r="D142"/>
      <c r="E142"/>
      <c r="F142"/>
      <c r="G142"/>
      <c r="H142"/>
      <c r="I142"/>
      <c r="J142"/>
      <c r="K142"/>
      <c r="L142"/>
      <c r="M142"/>
      <c r="N142"/>
    </row>
    <row r="143" spans="2:15" x14ac:dyDescent="0.35">
      <c r="B143"/>
      <c r="C143"/>
      <c r="D143"/>
      <c r="E143"/>
      <c r="F143"/>
      <c r="G143"/>
      <c r="H143"/>
      <c r="I143"/>
      <c r="J143"/>
      <c r="K143"/>
      <c r="L143"/>
      <c r="M143"/>
      <c r="N143"/>
    </row>
    <row r="144" spans="2:15" x14ac:dyDescent="0.35">
      <c r="B144"/>
      <c r="C144"/>
      <c r="D144"/>
      <c r="E144"/>
      <c r="F144"/>
      <c r="G144"/>
      <c r="H144"/>
      <c r="I144"/>
      <c r="J144"/>
      <c r="K144"/>
      <c r="L144"/>
      <c r="M144"/>
      <c r="N144"/>
    </row>
    <row r="145" spans="2:14" x14ac:dyDescent="0.35">
      <c r="B145"/>
      <c r="C145"/>
      <c r="D145"/>
      <c r="E145"/>
      <c r="F145"/>
      <c r="G145"/>
      <c r="H145"/>
      <c r="I145"/>
      <c r="J145"/>
      <c r="K145"/>
      <c r="L145"/>
      <c r="M145"/>
      <c r="N145"/>
    </row>
    <row r="146" spans="2:14" x14ac:dyDescent="0.35">
      <c r="B146"/>
      <c r="C146"/>
      <c r="D146"/>
      <c r="E146"/>
      <c r="F146"/>
      <c r="G146"/>
      <c r="H146"/>
      <c r="I146"/>
      <c r="J146"/>
      <c r="K146"/>
      <c r="L146"/>
      <c r="M146"/>
      <c r="N146"/>
    </row>
    <row r="147" spans="2:14" x14ac:dyDescent="0.35">
      <c r="B147"/>
      <c r="C147"/>
      <c r="D147"/>
      <c r="E147"/>
      <c r="F147"/>
      <c r="G147"/>
      <c r="H147"/>
      <c r="I147"/>
      <c r="J147"/>
      <c r="K147"/>
      <c r="L147"/>
      <c r="M147"/>
      <c r="N147"/>
    </row>
    <row r="148" spans="2:14" x14ac:dyDescent="0.35">
      <c r="B148"/>
      <c r="C148"/>
      <c r="D148"/>
      <c r="E148"/>
      <c r="F148"/>
      <c r="G148"/>
      <c r="H148"/>
      <c r="I148"/>
      <c r="J148"/>
      <c r="K148"/>
      <c r="L148"/>
      <c r="M148"/>
      <c r="N148"/>
    </row>
    <row r="149" spans="2:14" x14ac:dyDescent="0.35">
      <c r="B149"/>
      <c r="C149"/>
      <c r="D149"/>
      <c r="E149"/>
      <c r="F149"/>
      <c r="G149"/>
      <c r="H149"/>
      <c r="I149"/>
      <c r="J149"/>
      <c r="K149"/>
      <c r="L149"/>
      <c r="M149"/>
      <c r="N149"/>
    </row>
    <row r="150" spans="2:14" x14ac:dyDescent="0.35">
      <c r="B150"/>
      <c r="C150"/>
      <c r="D150"/>
      <c r="E150"/>
      <c r="F150"/>
      <c r="G150"/>
      <c r="H150"/>
      <c r="I150"/>
      <c r="J150"/>
      <c r="K150"/>
      <c r="L150"/>
      <c r="M150"/>
      <c r="N150"/>
    </row>
    <row r="151" spans="2:14" x14ac:dyDescent="0.35">
      <c r="B151"/>
      <c r="C151"/>
      <c r="D151"/>
      <c r="E151"/>
      <c r="F151"/>
      <c r="G151"/>
      <c r="H151"/>
      <c r="I151"/>
      <c r="J151"/>
      <c r="K151"/>
      <c r="L151"/>
      <c r="M151"/>
      <c r="N151"/>
    </row>
    <row r="152" spans="2:14" x14ac:dyDescent="0.35">
      <c r="B152"/>
      <c r="C152"/>
      <c r="D152"/>
      <c r="E152"/>
      <c r="F152"/>
      <c r="G152"/>
      <c r="H152"/>
      <c r="I152"/>
      <c r="J152"/>
      <c r="K152"/>
      <c r="L152"/>
      <c r="M152"/>
      <c r="N152"/>
    </row>
    <row r="153" spans="2:14" x14ac:dyDescent="0.35">
      <c r="B153"/>
      <c r="C153"/>
      <c r="D153"/>
      <c r="E153"/>
      <c r="F153"/>
      <c r="G153"/>
      <c r="H153"/>
      <c r="I153"/>
      <c r="J153"/>
      <c r="K153"/>
      <c r="L153"/>
      <c r="M153"/>
      <c r="N153"/>
    </row>
    <row r="154" spans="2:14" x14ac:dyDescent="0.35">
      <c r="B154"/>
      <c r="C154"/>
      <c r="D154"/>
      <c r="E154"/>
      <c r="F154"/>
      <c r="G154"/>
      <c r="H154"/>
      <c r="I154"/>
      <c r="J154"/>
      <c r="K154"/>
      <c r="L154"/>
      <c r="M154"/>
      <c r="N154"/>
    </row>
    <row r="155" spans="2:14" x14ac:dyDescent="0.35">
      <c r="B155"/>
      <c r="C155"/>
      <c r="D155"/>
      <c r="E155"/>
      <c r="F155"/>
      <c r="G155"/>
      <c r="H155"/>
      <c r="I155"/>
      <c r="J155"/>
      <c r="K155"/>
      <c r="L155"/>
      <c r="M155"/>
      <c r="N155"/>
    </row>
    <row r="156" spans="2:14" x14ac:dyDescent="0.35">
      <c r="B156"/>
      <c r="C156"/>
      <c r="D156"/>
      <c r="E156"/>
      <c r="F156"/>
      <c r="G156"/>
      <c r="H156"/>
      <c r="I156"/>
      <c r="J156"/>
      <c r="K156"/>
      <c r="L156"/>
      <c r="M156"/>
      <c r="N156"/>
    </row>
    <row r="157" spans="2:14" x14ac:dyDescent="0.35"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2:14" x14ac:dyDescent="0.35"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2:14" x14ac:dyDescent="0.35"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2:14" x14ac:dyDescent="0.35"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2:14" x14ac:dyDescent="0.35">
      <c r="B161"/>
      <c r="C161"/>
      <c r="D161"/>
      <c r="E161"/>
      <c r="F161"/>
      <c r="G161"/>
      <c r="H161"/>
      <c r="I161"/>
      <c r="J161"/>
      <c r="K161"/>
      <c r="L161"/>
      <c r="M161"/>
      <c r="N161"/>
    </row>
    <row r="162" spans="2:14" x14ac:dyDescent="0.35">
      <c r="B162"/>
      <c r="C162"/>
      <c r="D162"/>
      <c r="E162"/>
      <c r="F162"/>
      <c r="G162"/>
      <c r="H162"/>
      <c r="I162"/>
      <c r="J162"/>
      <c r="K162"/>
      <c r="L162"/>
      <c r="M162"/>
      <c r="N162"/>
    </row>
    <row r="163" spans="2:14" x14ac:dyDescent="0.35">
      <c r="B163"/>
      <c r="C163"/>
      <c r="D163"/>
      <c r="E163"/>
      <c r="F163"/>
      <c r="G163"/>
      <c r="H163"/>
      <c r="I163"/>
      <c r="J163"/>
      <c r="K163"/>
      <c r="L163"/>
      <c r="M163"/>
      <c r="N163"/>
    </row>
    <row r="164" spans="2:14" x14ac:dyDescent="0.35">
      <c r="B164"/>
      <c r="C164"/>
      <c r="D164"/>
      <c r="E164"/>
      <c r="F164"/>
      <c r="G164"/>
      <c r="H164"/>
      <c r="I164"/>
      <c r="J164"/>
      <c r="K164"/>
      <c r="L164"/>
      <c r="M164"/>
      <c r="N164"/>
    </row>
    <row r="165" spans="2:14" x14ac:dyDescent="0.35">
      <c r="B165"/>
      <c r="C165"/>
      <c r="D165"/>
      <c r="E165"/>
      <c r="F165"/>
      <c r="G165"/>
      <c r="H165"/>
      <c r="I165"/>
      <c r="J165"/>
      <c r="K165"/>
      <c r="L165"/>
      <c r="M165"/>
      <c r="N165"/>
    </row>
    <row r="166" spans="2:14" x14ac:dyDescent="0.35">
      <c r="B166"/>
      <c r="C166"/>
      <c r="D166"/>
      <c r="E166"/>
      <c r="F166"/>
      <c r="G166"/>
      <c r="H166"/>
      <c r="I166"/>
      <c r="J166"/>
      <c r="K166"/>
      <c r="L166"/>
      <c r="M166"/>
      <c r="N166"/>
    </row>
    <row r="167" spans="2:14" x14ac:dyDescent="0.35">
      <c r="B167"/>
      <c r="C167"/>
      <c r="D167"/>
      <c r="E167"/>
      <c r="F167"/>
      <c r="G167"/>
      <c r="H167"/>
      <c r="I167"/>
      <c r="J167"/>
      <c r="K167"/>
      <c r="L167"/>
      <c r="M167"/>
      <c r="N167"/>
    </row>
    <row r="168" spans="2:14" x14ac:dyDescent="0.35">
      <c r="B168"/>
      <c r="C168"/>
      <c r="D168"/>
      <c r="E168"/>
      <c r="F168"/>
      <c r="G168"/>
      <c r="H168"/>
      <c r="I168"/>
      <c r="J168"/>
      <c r="K168"/>
      <c r="L168"/>
      <c r="M168"/>
      <c r="N168"/>
    </row>
    <row r="169" spans="2:14" x14ac:dyDescent="0.35">
      <c r="B169"/>
      <c r="C169"/>
      <c r="D169"/>
      <c r="E169"/>
      <c r="F169"/>
      <c r="G169"/>
      <c r="H169"/>
      <c r="I169"/>
      <c r="J169"/>
      <c r="K169"/>
      <c r="L169"/>
      <c r="M169"/>
      <c r="N169"/>
    </row>
    <row r="170" spans="2:14" x14ac:dyDescent="0.35">
      <c r="B170"/>
      <c r="C170"/>
      <c r="D170"/>
      <c r="E170"/>
      <c r="F170"/>
      <c r="G170"/>
      <c r="H170"/>
      <c r="I170"/>
      <c r="J170"/>
      <c r="K170"/>
      <c r="L170"/>
      <c r="M170"/>
      <c r="N170"/>
    </row>
    <row r="171" spans="2:14" x14ac:dyDescent="0.35">
      <c r="B171"/>
      <c r="C171"/>
      <c r="D171"/>
      <c r="E171"/>
      <c r="F171"/>
      <c r="G171"/>
      <c r="H171"/>
      <c r="I171"/>
      <c r="J171"/>
      <c r="K171"/>
      <c r="L171"/>
      <c r="M171"/>
      <c r="N171"/>
    </row>
    <row r="172" spans="2:14" x14ac:dyDescent="0.35">
      <c r="B172"/>
      <c r="C172"/>
      <c r="D172"/>
      <c r="E172"/>
      <c r="F172"/>
      <c r="G172"/>
      <c r="H172"/>
      <c r="I172"/>
      <c r="J172"/>
      <c r="K172"/>
      <c r="L172"/>
      <c r="M172"/>
      <c r="N172"/>
    </row>
    <row r="173" spans="2:14" x14ac:dyDescent="0.35">
      <c r="B173"/>
      <c r="C173"/>
      <c r="D173"/>
      <c r="E173"/>
      <c r="F173"/>
      <c r="G173"/>
      <c r="H173"/>
      <c r="I173"/>
      <c r="J173"/>
      <c r="K173"/>
      <c r="L173"/>
      <c r="M173"/>
      <c r="N173"/>
    </row>
    <row r="174" spans="2:14" x14ac:dyDescent="0.35">
      <c r="B174"/>
      <c r="C174"/>
      <c r="D174"/>
      <c r="E174"/>
      <c r="F174"/>
      <c r="G174"/>
      <c r="H174"/>
      <c r="I174"/>
      <c r="J174"/>
      <c r="K174"/>
      <c r="L174"/>
      <c r="M174"/>
      <c r="N174"/>
    </row>
    <row r="175" spans="2:14" x14ac:dyDescent="0.35">
      <c r="B175"/>
      <c r="C175"/>
      <c r="D175"/>
      <c r="E175"/>
      <c r="F175"/>
      <c r="G175"/>
      <c r="H175"/>
      <c r="I175"/>
      <c r="J175"/>
      <c r="K175"/>
      <c r="L175"/>
      <c r="M175"/>
      <c r="N175"/>
    </row>
    <row r="176" spans="2:14" x14ac:dyDescent="0.35">
      <c r="B176"/>
      <c r="C176"/>
      <c r="D176"/>
      <c r="E176"/>
      <c r="F176"/>
      <c r="G176"/>
      <c r="H176"/>
      <c r="I176"/>
      <c r="J176"/>
      <c r="K176"/>
      <c r="L176"/>
      <c r="M176"/>
      <c r="N176"/>
    </row>
    <row r="177" spans="2:14" x14ac:dyDescent="0.35">
      <c r="B177"/>
      <c r="C177"/>
      <c r="D177"/>
      <c r="E177"/>
      <c r="F177"/>
      <c r="G177"/>
      <c r="H177"/>
      <c r="I177"/>
      <c r="J177"/>
      <c r="K177"/>
      <c r="L177"/>
      <c r="M177"/>
      <c r="N177"/>
    </row>
    <row r="178" spans="2:14" x14ac:dyDescent="0.35">
      <c r="B178"/>
      <c r="C178"/>
      <c r="D178"/>
      <c r="E178"/>
      <c r="F178"/>
      <c r="G178"/>
      <c r="H178"/>
      <c r="I178"/>
      <c r="J178"/>
      <c r="K178"/>
      <c r="L178"/>
      <c r="M178"/>
      <c r="N178"/>
    </row>
    <row r="179" spans="2:14" x14ac:dyDescent="0.35">
      <c r="B179"/>
      <c r="C179"/>
      <c r="D179"/>
      <c r="E179"/>
      <c r="F179"/>
      <c r="G179"/>
      <c r="H179"/>
      <c r="I179"/>
      <c r="J179"/>
      <c r="K179"/>
      <c r="L179"/>
      <c r="M179"/>
      <c r="N179"/>
    </row>
    <row r="180" spans="2:14" x14ac:dyDescent="0.35">
      <c r="B180"/>
      <c r="C180"/>
      <c r="D180"/>
      <c r="E180"/>
      <c r="F180"/>
      <c r="G180"/>
      <c r="H180"/>
      <c r="I180"/>
      <c r="J180"/>
      <c r="K180"/>
      <c r="L180"/>
      <c r="M180"/>
      <c r="N180"/>
    </row>
    <row r="181" spans="2:14" x14ac:dyDescent="0.35">
      <c r="B181"/>
      <c r="C181"/>
      <c r="D181"/>
      <c r="E181"/>
      <c r="F181"/>
      <c r="G181"/>
      <c r="H181"/>
      <c r="I181"/>
      <c r="J181"/>
      <c r="K181"/>
      <c r="L181"/>
      <c r="M181"/>
      <c r="N181"/>
    </row>
    <row r="182" spans="2:14" x14ac:dyDescent="0.35">
      <c r="B182"/>
      <c r="C182"/>
      <c r="D182"/>
      <c r="E182"/>
      <c r="F182"/>
      <c r="G182"/>
      <c r="H182"/>
      <c r="I182"/>
      <c r="J182"/>
      <c r="K182"/>
      <c r="L182"/>
      <c r="M182"/>
      <c r="N182"/>
    </row>
    <row r="183" spans="2:14" x14ac:dyDescent="0.35">
      <c r="B183"/>
      <c r="C183"/>
      <c r="D183"/>
      <c r="E183"/>
      <c r="F183"/>
      <c r="G183"/>
      <c r="H183"/>
      <c r="I183"/>
      <c r="J183"/>
      <c r="K183"/>
      <c r="L183"/>
      <c r="M183"/>
      <c r="N183"/>
    </row>
    <row r="184" spans="2:14" x14ac:dyDescent="0.35">
      <c r="B184"/>
      <c r="C184"/>
      <c r="D184"/>
      <c r="E184"/>
      <c r="F184"/>
      <c r="G184"/>
      <c r="H184"/>
      <c r="I184"/>
      <c r="J184"/>
      <c r="K184"/>
      <c r="L184"/>
      <c r="M184"/>
      <c r="N184"/>
    </row>
    <row r="185" spans="2:14" x14ac:dyDescent="0.35">
      <c r="B185"/>
      <c r="C185"/>
      <c r="D185"/>
      <c r="E185"/>
      <c r="F185"/>
      <c r="G185"/>
      <c r="H185"/>
      <c r="I185"/>
      <c r="J185"/>
      <c r="K185"/>
      <c r="L185"/>
      <c r="M185"/>
      <c r="N185"/>
    </row>
    <row r="186" spans="2:14" x14ac:dyDescent="0.35">
      <c r="B186"/>
      <c r="C186"/>
      <c r="D186"/>
      <c r="E186"/>
      <c r="F186"/>
      <c r="G186"/>
      <c r="H186"/>
      <c r="I186"/>
      <c r="J186"/>
      <c r="K186"/>
      <c r="L186"/>
      <c r="M186"/>
      <c r="N186"/>
    </row>
    <row r="187" spans="2:14" x14ac:dyDescent="0.35">
      <c r="B187"/>
      <c r="C187"/>
      <c r="D187"/>
      <c r="E187"/>
      <c r="F187"/>
      <c r="G187"/>
      <c r="H187"/>
      <c r="I187"/>
      <c r="J187"/>
      <c r="K187"/>
      <c r="L187"/>
      <c r="M187"/>
      <c r="N187"/>
    </row>
    <row r="188" spans="2:14" x14ac:dyDescent="0.35">
      <c r="I188" s="15"/>
      <c r="J188" s="15"/>
      <c r="K188" s="15"/>
      <c r="L188"/>
      <c r="M188"/>
      <c r="N188"/>
    </row>
    <row r="189" spans="2:14" x14ac:dyDescent="0.35">
      <c r="I189" s="15"/>
      <c r="J189" s="15"/>
      <c r="K189" s="15"/>
      <c r="L189"/>
      <c r="M189"/>
      <c r="N189"/>
    </row>
    <row r="190" spans="2:14" x14ac:dyDescent="0.35">
      <c r="I190" s="15"/>
      <c r="J190" s="15"/>
      <c r="K190" s="15"/>
      <c r="L190"/>
      <c r="M190"/>
      <c r="N190"/>
    </row>
    <row r="191" spans="2:14" x14ac:dyDescent="0.35">
      <c r="I191" s="15"/>
      <c r="J191" s="15"/>
      <c r="K191" s="15"/>
      <c r="L191"/>
      <c r="M191"/>
      <c r="N191"/>
    </row>
    <row r="192" spans="2:14" x14ac:dyDescent="0.35">
      <c r="I192" s="15"/>
      <c r="J192" s="15"/>
      <c r="K192" s="15"/>
      <c r="L192"/>
      <c r="M192"/>
      <c r="N192"/>
    </row>
    <row r="193" spans="9:14" x14ac:dyDescent="0.35">
      <c r="I193" s="15"/>
      <c r="J193" s="15"/>
      <c r="K193" s="15"/>
      <c r="L193"/>
      <c r="M193"/>
      <c r="N193"/>
    </row>
    <row r="194" spans="9:14" x14ac:dyDescent="0.35">
      <c r="I194" s="15"/>
      <c r="J194" s="15"/>
      <c r="K194" s="15"/>
      <c r="L194"/>
      <c r="M194"/>
      <c r="N194"/>
    </row>
    <row r="195" spans="9:14" x14ac:dyDescent="0.35">
      <c r="I195" s="15"/>
      <c r="J195" s="15"/>
      <c r="K195" s="15"/>
      <c r="L195"/>
      <c r="M195"/>
      <c r="N195"/>
    </row>
    <row r="196" spans="9:14" x14ac:dyDescent="0.35">
      <c r="I196" s="15"/>
      <c r="J196" s="15"/>
      <c r="K196" s="15"/>
      <c r="L196"/>
      <c r="M196"/>
      <c r="N196"/>
    </row>
    <row r="197" spans="9:14" x14ac:dyDescent="0.35">
      <c r="I197" s="15"/>
      <c r="J197" s="15"/>
      <c r="K197" s="15"/>
      <c r="L197"/>
      <c r="M197"/>
      <c r="N197"/>
    </row>
    <row r="198" spans="9:14" x14ac:dyDescent="0.35">
      <c r="I198" s="15"/>
      <c r="J198" s="15"/>
      <c r="K198" s="15"/>
      <c r="L198"/>
      <c r="M198"/>
      <c r="N198"/>
    </row>
    <row r="199" spans="9:14" x14ac:dyDescent="0.35">
      <c r="I199" s="15"/>
      <c r="J199" s="15"/>
      <c r="K199" s="15"/>
      <c r="L199"/>
      <c r="M199"/>
      <c r="N199"/>
    </row>
    <row r="200" spans="9:14" x14ac:dyDescent="0.35">
      <c r="I200" s="15"/>
      <c r="J200" s="15"/>
      <c r="K200" s="15"/>
      <c r="L200"/>
      <c r="M200"/>
      <c r="N200"/>
    </row>
    <row r="201" spans="9:14" x14ac:dyDescent="0.35">
      <c r="I201" s="15"/>
      <c r="J201" s="15"/>
      <c r="K201" s="15"/>
      <c r="L201"/>
      <c r="M201"/>
      <c r="N201"/>
    </row>
    <row r="202" spans="9:14" x14ac:dyDescent="0.35">
      <c r="I202" s="15"/>
      <c r="J202" s="15"/>
      <c r="K202" s="15"/>
      <c r="L202"/>
      <c r="M202"/>
      <c r="N202"/>
    </row>
    <row r="203" spans="9:14" x14ac:dyDescent="0.35">
      <c r="I203" s="15"/>
      <c r="J203" s="15"/>
      <c r="K203" s="15"/>
      <c r="L203"/>
      <c r="M203"/>
      <c r="N203"/>
    </row>
    <row r="204" spans="9:14" x14ac:dyDescent="0.35">
      <c r="I204" s="15"/>
      <c r="J204" s="15"/>
      <c r="K204" s="15"/>
      <c r="L204"/>
      <c r="M204"/>
      <c r="N204"/>
    </row>
    <row r="205" spans="9:14" x14ac:dyDescent="0.35">
      <c r="I205" s="15"/>
      <c r="J205" s="15"/>
      <c r="K205" s="15"/>
      <c r="L205"/>
      <c r="M205"/>
      <c r="N205"/>
    </row>
    <row r="206" spans="9:14" x14ac:dyDescent="0.35">
      <c r="I206" s="15"/>
      <c r="J206" s="15"/>
      <c r="K206" s="15"/>
      <c r="L206"/>
      <c r="M206"/>
      <c r="N206"/>
    </row>
    <row r="207" spans="9:14" x14ac:dyDescent="0.35">
      <c r="I207" s="15"/>
      <c r="J207" s="15"/>
      <c r="K207" s="15"/>
      <c r="L207"/>
      <c r="M207"/>
      <c r="N207"/>
    </row>
    <row r="208" spans="9:14" x14ac:dyDescent="0.35">
      <c r="I208" s="15"/>
      <c r="J208" s="15"/>
      <c r="K208" s="15"/>
      <c r="L208"/>
      <c r="M208"/>
      <c r="N208"/>
    </row>
    <row r="209" spans="9:14" x14ac:dyDescent="0.35">
      <c r="I209" s="15"/>
      <c r="J209" s="15"/>
      <c r="K209" s="15"/>
      <c r="L209"/>
      <c r="M209"/>
      <c r="N209"/>
    </row>
    <row r="210" spans="9:14" x14ac:dyDescent="0.35">
      <c r="I210" s="15"/>
      <c r="J210" s="15"/>
      <c r="K210" s="15"/>
      <c r="L210"/>
      <c r="M210"/>
      <c r="N210"/>
    </row>
    <row r="211" spans="9:14" x14ac:dyDescent="0.35">
      <c r="I211" s="15"/>
      <c r="J211" s="15"/>
      <c r="K211" s="15"/>
      <c r="L211"/>
      <c r="M211"/>
      <c r="N211"/>
    </row>
    <row r="212" spans="9:14" x14ac:dyDescent="0.35">
      <c r="I212" s="15"/>
      <c r="J212" s="15"/>
      <c r="K212" s="15"/>
      <c r="L212"/>
      <c r="M212"/>
      <c r="N212"/>
    </row>
    <row r="213" spans="9:14" x14ac:dyDescent="0.35">
      <c r="I213" s="15"/>
      <c r="J213" s="15"/>
      <c r="K213" s="15"/>
      <c r="L213"/>
      <c r="M213"/>
      <c r="N213"/>
    </row>
    <row r="214" spans="9:14" x14ac:dyDescent="0.35">
      <c r="I214" s="15"/>
      <c r="J214" s="15"/>
      <c r="K214" s="15"/>
      <c r="L214"/>
      <c r="M214"/>
      <c r="N214"/>
    </row>
    <row r="215" spans="9:14" x14ac:dyDescent="0.35">
      <c r="I215" s="15"/>
      <c r="J215" s="15"/>
      <c r="K215" s="15"/>
      <c r="L215"/>
      <c r="M215"/>
      <c r="N215"/>
    </row>
    <row r="216" spans="9:14" x14ac:dyDescent="0.35">
      <c r="I216" s="15"/>
      <c r="J216" s="15"/>
      <c r="K216" s="15"/>
      <c r="L216"/>
      <c r="M216"/>
      <c r="N216"/>
    </row>
    <row r="217" spans="9:14" x14ac:dyDescent="0.35">
      <c r="I217" s="15"/>
      <c r="J217" s="15"/>
      <c r="K217" s="15"/>
      <c r="L217"/>
      <c r="M217"/>
      <c r="N217"/>
    </row>
    <row r="218" spans="9:14" x14ac:dyDescent="0.35">
      <c r="I218" s="15"/>
      <c r="J218" s="15"/>
      <c r="K218" s="15"/>
      <c r="L218"/>
      <c r="M218"/>
      <c r="N218"/>
    </row>
    <row r="219" spans="9:14" x14ac:dyDescent="0.35">
      <c r="I219" s="15"/>
      <c r="J219" s="15"/>
      <c r="K219" s="15"/>
      <c r="L219"/>
      <c r="M219"/>
      <c r="N219"/>
    </row>
    <row r="220" spans="9:14" x14ac:dyDescent="0.35">
      <c r="I220" s="15"/>
      <c r="J220" s="15"/>
      <c r="K220" s="15"/>
      <c r="L220"/>
      <c r="M220"/>
      <c r="N220"/>
    </row>
    <row r="221" spans="9:14" x14ac:dyDescent="0.35">
      <c r="I221" s="15"/>
      <c r="J221" s="15"/>
      <c r="K221" s="15"/>
      <c r="L221"/>
      <c r="M221"/>
      <c r="N221"/>
    </row>
    <row r="222" spans="9:14" x14ac:dyDescent="0.35">
      <c r="I222" s="15"/>
      <c r="J222" s="15"/>
      <c r="K222" s="15"/>
      <c r="L222"/>
      <c r="M222"/>
      <c r="N222"/>
    </row>
    <row r="223" spans="9:14" x14ac:dyDescent="0.35">
      <c r="I223" s="15"/>
      <c r="J223" s="15"/>
      <c r="K223" s="15"/>
      <c r="L223"/>
      <c r="M223"/>
      <c r="N223"/>
    </row>
    <row r="224" spans="9:14" x14ac:dyDescent="0.35">
      <c r="I224" s="15"/>
      <c r="J224" s="15"/>
      <c r="K224" s="15"/>
      <c r="L224"/>
      <c r="M224"/>
      <c r="N224"/>
    </row>
    <row r="225" spans="9:14" x14ac:dyDescent="0.35">
      <c r="I225" s="15"/>
      <c r="J225" s="15"/>
      <c r="K225" s="15"/>
      <c r="L225"/>
      <c r="M225"/>
      <c r="N225"/>
    </row>
    <row r="226" spans="9:14" x14ac:dyDescent="0.35">
      <c r="I226" s="15"/>
      <c r="J226" s="15"/>
      <c r="K226" s="15"/>
      <c r="L226"/>
      <c r="M226"/>
      <c r="N226"/>
    </row>
    <row r="227" spans="9:14" x14ac:dyDescent="0.35">
      <c r="I227" s="15"/>
      <c r="J227" s="15"/>
      <c r="K227" s="15"/>
      <c r="L227"/>
      <c r="M227"/>
      <c r="N227"/>
    </row>
    <row r="228" spans="9:14" x14ac:dyDescent="0.35">
      <c r="I228" s="15"/>
      <c r="J228" s="15"/>
      <c r="K228" s="15"/>
      <c r="L228"/>
      <c r="M228"/>
      <c r="N228"/>
    </row>
    <row r="229" spans="9:14" x14ac:dyDescent="0.35">
      <c r="I229" s="15"/>
      <c r="J229" s="15"/>
      <c r="K229" s="15"/>
      <c r="L229"/>
      <c r="M229"/>
      <c r="N229"/>
    </row>
    <row r="230" spans="9:14" x14ac:dyDescent="0.35">
      <c r="I230" s="15"/>
      <c r="J230" s="15"/>
      <c r="K230" s="15"/>
      <c r="L230"/>
      <c r="M230"/>
      <c r="N230"/>
    </row>
    <row r="231" spans="9:14" x14ac:dyDescent="0.35">
      <c r="I231" s="15"/>
      <c r="J231" s="15"/>
      <c r="K231" s="15"/>
      <c r="L231"/>
      <c r="M231"/>
      <c r="N231"/>
    </row>
    <row r="232" spans="9:14" x14ac:dyDescent="0.35">
      <c r="I232" s="15"/>
      <c r="J232" s="15"/>
      <c r="K232" s="15"/>
      <c r="L232"/>
      <c r="M232"/>
      <c r="N232"/>
    </row>
    <row r="233" spans="9:14" x14ac:dyDescent="0.35">
      <c r="I233" s="15"/>
      <c r="J233" s="15"/>
      <c r="K233" s="15"/>
      <c r="L233"/>
      <c r="M233"/>
      <c r="N233"/>
    </row>
    <row r="234" spans="9:14" x14ac:dyDescent="0.35">
      <c r="I234" s="15"/>
      <c r="J234" s="15"/>
      <c r="K234" s="15"/>
      <c r="L234"/>
      <c r="M234"/>
      <c r="N234"/>
    </row>
    <row r="235" spans="9:14" x14ac:dyDescent="0.35">
      <c r="I235" s="15"/>
      <c r="J235" s="15"/>
      <c r="K235" s="15"/>
      <c r="L235"/>
      <c r="M235"/>
      <c r="N235"/>
    </row>
    <row r="236" spans="9:14" x14ac:dyDescent="0.35">
      <c r="I236" s="15"/>
      <c r="J236" s="15"/>
      <c r="K236" s="15"/>
      <c r="L236"/>
      <c r="M236"/>
      <c r="N236"/>
    </row>
    <row r="237" spans="9:14" x14ac:dyDescent="0.35">
      <c r="I237" s="15"/>
      <c r="J237" s="15"/>
      <c r="K237" s="15"/>
      <c r="L237"/>
      <c r="M237"/>
      <c r="N237"/>
    </row>
    <row r="238" spans="9:14" x14ac:dyDescent="0.35">
      <c r="I238" s="15"/>
      <c r="J238" s="15"/>
      <c r="K238" s="15"/>
      <c r="L238"/>
      <c r="M238"/>
      <c r="N238"/>
    </row>
    <row r="239" spans="9:14" x14ac:dyDescent="0.35">
      <c r="I239" s="15"/>
      <c r="J239" s="15"/>
      <c r="K239" s="15"/>
      <c r="L239"/>
      <c r="M239"/>
      <c r="N239"/>
    </row>
    <row r="240" spans="9:14" x14ac:dyDescent="0.35">
      <c r="I240" s="15"/>
      <c r="J240" s="15"/>
      <c r="K240" s="15"/>
      <c r="L240"/>
      <c r="M240"/>
      <c r="N240"/>
    </row>
    <row r="241" spans="9:14" x14ac:dyDescent="0.35">
      <c r="I241" s="15"/>
      <c r="J241" s="15"/>
      <c r="K241" s="15"/>
      <c r="L241"/>
      <c r="M241"/>
      <c r="N241"/>
    </row>
    <row r="242" spans="9:14" x14ac:dyDescent="0.35">
      <c r="I242" s="15"/>
      <c r="J242" s="15"/>
      <c r="K242" s="15"/>
      <c r="L242"/>
      <c r="M242"/>
      <c r="N242"/>
    </row>
    <row r="243" spans="9:14" x14ac:dyDescent="0.35">
      <c r="I243" s="15"/>
      <c r="J243" s="15"/>
      <c r="K243" s="15"/>
      <c r="L243"/>
      <c r="M243"/>
      <c r="N243"/>
    </row>
    <row r="244" spans="9:14" x14ac:dyDescent="0.35">
      <c r="I244" s="15"/>
      <c r="J244" s="15"/>
      <c r="K244" s="15"/>
      <c r="L244"/>
      <c r="M244"/>
      <c r="N244"/>
    </row>
    <row r="245" spans="9:14" x14ac:dyDescent="0.35">
      <c r="I245" s="15"/>
      <c r="J245" s="15"/>
      <c r="K245" s="15"/>
      <c r="L245"/>
      <c r="M245"/>
      <c r="N245"/>
    </row>
    <row r="246" spans="9:14" x14ac:dyDescent="0.35">
      <c r="I246" s="15"/>
      <c r="J246" s="15"/>
      <c r="K246" s="15"/>
      <c r="L246"/>
      <c r="M246"/>
      <c r="N246"/>
    </row>
    <row r="247" spans="9:14" x14ac:dyDescent="0.35">
      <c r="I247" s="15"/>
      <c r="J247" s="15"/>
      <c r="K247" s="15"/>
      <c r="L247"/>
      <c r="M247"/>
      <c r="N247"/>
    </row>
    <row r="248" spans="9:14" x14ac:dyDescent="0.35">
      <c r="I248" s="15"/>
      <c r="J248" s="15"/>
      <c r="K248" s="15"/>
      <c r="L248"/>
      <c r="M248"/>
      <c r="N248"/>
    </row>
    <row r="249" spans="9:14" x14ac:dyDescent="0.35">
      <c r="I249" s="15"/>
      <c r="J249" s="15"/>
      <c r="K249" s="15"/>
      <c r="L249"/>
      <c r="M249"/>
      <c r="N249"/>
    </row>
    <row r="250" spans="9:14" x14ac:dyDescent="0.35">
      <c r="I250" s="15"/>
      <c r="J250" s="15"/>
      <c r="K250" s="15"/>
      <c r="L250"/>
      <c r="M250"/>
      <c r="N250"/>
    </row>
    <row r="251" spans="9:14" x14ac:dyDescent="0.35">
      <c r="I251" s="15"/>
      <c r="J251" s="15"/>
      <c r="K251" s="15"/>
      <c r="L251"/>
      <c r="M251"/>
      <c r="N251"/>
    </row>
    <row r="252" spans="9:14" x14ac:dyDescent="0.35">
      <c r="I252" s="15"/>
      <c r="J252" s="15"/>
      <c r="K252" s="15"/>
      <c r="L252"/>
      <c r="M252"/>
      <c r="N252"/>
    </row>
    <row r="253" spans="9:14" x14ac:dyDescent="0.35">
      <c r="I253" s="15"/>
      <c r="J253" s="15"/>
      <c r="K253" s="15"/>
      <c r="L253"/>
      <c r="M253"/>
      <c r="N253"/>
    </row>
    <row r="254" spans="9:14" x14ac:dyDescent="0.35">
      <c r="I254" s="15"/>
      <c r="J254" s="15"/>
      <c r="K254" s="15"/>
      <c r="L254"/>
      <c r="M254"/>
      <c r="N254"/>
    </row>
    <row r="255" spans="9:14" x14ac:dyDescent="0.35">
      <c r="I255" s="15"/>
      <c r="J255" s="15"/>
      <c r="K255" s="15"/>
      <c r="L255"/>
      <c r="M255"/>
      <c r="N255"/>
    </row>
    <row r="256" spans="9:14" x14ac:dyDescent="0.35">
      <c r="I256" s="15"/>
      <c r="J256" s="15"/>
      <c r="K256" s="15"/>
      <c r="L256"/>
      <c r="M256"/>
      <c r="N256"/>
    </row>
    <row r="257" spans="9:14" x14ac:dyDescent="0.35">
      <c r="I257" s="15"/>
      <c r="J257" s="15"/>
      <c r="K257" s="15"/>
      <c r="L257"/>
      <c r="M257"/>
      <c r="N257"/>
    </row>
    <row r="258" spans="9:14" x14ac:dyDescent="0.35">
      <c r="I258" s="15"/>
      <c r="J258" s="15"/>
      <c r="K258" s="15"/>
      <c r="L258"/>
      <c r="M258"/>
      <c r="N258"/>
    </row>
    <row r="259" spans="9:14" x14ac:dyDescent="0.35">
      <c r="I259" s="15"/>
      <c r="J259" s="15"/>
      <c r="K259" s="15"/>
      <c r="L259"/>
      <c r="M259"/>
      <c r="N259"/>
    </row>
    <row r="260" spans="9:14" x14ac:dyDescent="0.35">
      <c r="I260" s="15"/>
      <c r="J260" s="15"/>
      <c r="K260" s="15"/>
      <c r="L260"/>
      <c r="M260"/>
      <c r="N260"/>
    </row>
    <row r="261" spans="9:14" x14ac:dyDescent="0.35">
      <c r="I261" s="15"/>
      <c r="J261" s="15"/>
      <c r="K261" s="15"/>
      <c r="L261"/>
      <c r="M261"/>
      <c r="N261"/>
    </row>
    <row r="262" spans="9:14" x14ac:dyDescent="0.35">
      <c r="I262" s="15"/>
      <c r="J262" s="15"/>
      <c r="K262" s="15"/>
      <c r="L262"/>
      <c r="M262"/>
      <c r="N262"/>
    </row>
    <row r="263" spans="9:14" x14ac:dyDescent="0.35">
      <c r="I263" s="15"/>
      <c r="J263" s="15"/>
      <c r="K263" s="15"/>
      <c r="L263"/>
      <c r="M263"/>
      <c r="N263"/>
    </row>
    <row r="264" spans="9:14" x14ac:dyDescent="0.35">
      <c r="I264" s="15"/>
      <c r="J264" s="15"/>
      <c r="K264" s="15"/>
      <c r="L264"/>
      <c r="M264"/>
      <c r="N264"/>
    </row>
    <row r="265" spans="9:14" x14ac:dyDescent="0.35">
      <c r="I265" s="15"/>
      <c r="J265" s="15"/>
      <c r="K265" s="15"/>
      <c r="L265"/>
      <c r="M265"/>
      <c r="N265"/>
    </row>
    <row r="266" spans="9:14" x14ac:dyDescent="0.35">
      <c r="I266" s="15"/>
      <c r="J266" s="15"/>
      <c r="K266" s="15"/>
      <c r="L266"/>
      <c r="M266"/>
      <c r="N266"/>
    </row>
    <row r="267" spans="9:14" x14ac:dyDescent="0.35">
      <c r="I267" s="15"/>
      <c r="J267" s="15"/>
      <c r="K267" s="15"/>
      <c r="L267"/>
      <c r="M267"/>
      <c r="N267"/>
    </row>
    <row r="268" spans="9:14" x14ac:dyDescent="0.35">
      <c r="I268" s="15"/>
      <c r="J268" s="15"/>
      <c r="K268" s="15"/>
      <c r="L268"/>
      <c r="M268"/>
      <c r="N268"/>
    </row>
    <row r="269" spans="9:14" x14ac:dyDescent="0.35">
      <c r="I269" s="15"/>
      <c r="J269" s="15"/>
      <c r="K269" s="15"/>
      <c r="L269"/>
      <c r="M269"/>
      <c r="N269"/>
    </row>
    <row r="270" spans="9:14" x14ac:dyDescent="0.35">
      <c r="I270" s="15"/>
      <c r="J270" s="15"/>
      <c r="K270" s="15"/>
      <c r="L270"/>
      <c r="M270"/>
      <c r="N270"/>
    </row>
    <row r="271" spans="9:14" x14ac:dyDescent="0.35">
      <c r="I271" s="15"/>
      <c r="J271" s="15"/>
      <c r="K271" s="15"/>
      <c r="L271"/>
      <c r="M271"/>
      <c r="N271"/>
    </row>
    <row r="272" spans="9:14" x14ac:dyDescent="0.35">
      <c r="I272" s="15"/>
      <c r="J272" s="15"/>
      <c r="K272" s="15"/>
      <c r="L272"/>
      <c r="M272"/>
      <c r="N272"/>
    </row>
    <row r="273" spans="9:14" x14ac:dyDescent="0.35">
      <c r="I273" s="15"/>
      <c r="J273" s="15"/>
      <c r="K273" s="15"/>
      <c r="L273"/>
      <c r="M273"/>
      <c r="N273"/>
    </row>
    <row r="274" spans="9:14" x14ac:dyDescent="0.35">
      <c r="I274" s="15"/>
      <c r="J274" s="15"/>
      <c r="K274" s="15"/>
      <c r="L274"/>
      <c r="M274"/>
      <c r="N274"/>
    </row>
    <row r="275" spans="9:14" x14ac:dyDescent="0.35">
      <c r="I275" s="15"/>
      <c r="J275" s="15"/>
      <c r="K275" s="15"/>
      <c r="L275"/>
      <c r="M275"/>
      <c r="N275"/>
    </row>
    <row r="276" spans="9:14" x14ac:dyDescent="0.35">
      <c r="I276" s="15"/>
      <c r="J276" s="15"/>
      <c r="K276" s="15"/>
      <c r="L276"/>
      <c r="M276"/>
      <c r="N276"/>
    </row>
    <row r="277" spans="9:14" x14ac:dyDescent="0.35">
      <c r="I277" s="15"/>
      <c r="J277" s="15"/>
      <c r="K277" s="15"/>
      <c r="L277"/>
      <c r="M277"/>
      <c r="N277"/>
    </row>
    <row r="278" spans="9:14" x14ac:dyDescent="0.35">
      <c r="I278" s="15"/>
      <c r="J278" s="15"/>
      <c r="K278" s="15"/>
      <c r="L278"/>
      <c r="M278"/>
      <c r="N278"/>
    </row>
    <row r="279" spans="9:14" x14ac:dyDescent="0.35">
      <c r="I279" s="15"/>
      <c r="J279" s="15"/>
      <c r="K279" s="15"/>
      <c r="L279"/>
      <c r="M279"/>
      <c r="N279"/>
    </row>
    <row r="280" spans="9:14" x14ac:dyDescent="0.35">
      <c r="I280" s="15"/>
      <c r="J280" s="15"/>
      <c r="K280" s="15"/>
      <c r="L280"/>
      <c r="M280"/>
      <c r="N280"/>
    </row>
    <row r="281" spans="9:14" x14ac:dyDescent="0.35">
      <c r="I281" s="15"/>
      <c r="J281" s="15"/>
      <c r="K281" s="15"/>
      <c r="L281"/>
      <c r="M281"/>
      <c r="N281"/>
    </row>
    <row r="282" spans="9:14" x14ac:dyDescent="0.35">
      <c r="I282" s="15"/>
      <c r="J282" s="15"/>
      <c r="K282" s="15"/>
      <c r="L282"/>
      <c r="M282"/>
      <c r="N282"/>
    </row>
    <row r="283" spans="9:14" x14ac:dyDescent="0.35">
      <c r="I283" s="15"/>
      <c r="J283" s="15"/>
      <c r="K283" s="15"/>
      <c r="L283"/>
      <c r="M283"/>
      <c r="N283"/>
    </row>
    <row r="284" spans="9:14" x14ac:dyDescent="0.35">
      <c r="I284" s="15"/>
      <c r="J284" s="15"/>
      <c r="K284" s="15"/>
      <c r="L284"/>
      <c r="M284"/>
      <c r="N284"/>
    </row>
    <row r="285" spans="9:14" x14ac:dyDescent="0.35">
      <c r="I285" s="15"/>
      <c r="J285" s="15"/>
      <c r="K285" s="15"/>
      <c r="L285"/>
      <c r="M285"/>
      <c r="N285"/>
    </row>
    <row r="286" spans="9:14" x14ac:dyDescent="0.35">
      <c r="I286" s="15"/>
      <c r="J286" s="15"/>
      <c r="K286" s="15"/>
      <c r="L286"/>
      <c r="M286"/>
      <c r="N286"/>
    </row>
    <row r="287" spans="9:14" x14ac:dyDescent="0.35">
      <c r="I287" s="15"/>
      <c r="J287" s="15"/>
      <c r="K287" s="15"/>
      <c r="L287"/>
      <c r="M287"/>
      <c r="N287"/>
    </row>
    <row r="288" spans="9:14" x14ac:dyDescent="0.35">
      <c r="I288" s="15"/>
      <c r="J288" s="15"/>
      <c r="K288" s="15"/>
      <c r="L288"/>
      <c r="M288"/>
      <c r="N288"/>
    </row>
    <row r="289" spans="9:14" x14ac:dyDescent="0.35">
      <c r="I289" s="15"/>
      <c r="J289" s="15"/>
      <c r="K289" s="15"/>
      <c r="L289"/>
      <c r="M289"/>
      <c r="N289"/>
    </row>
    <row r="290" spans="9:14" x14ac:dyDescent="0.35">
      <c r="I290" s="15"/>
      <c r="J290" s="15"/>
      <c r="K290" s="15"/>
      <c r="L290"/>
      <c r="M290"/>
      <c r="N290"/>
    </row>
    <row r="291" spans="9:14" x14ac:dyDescent="0.35">
      <c r="I291" s="15"/>
      <c r="J291" s="15"/>
      <c r="K291" s="15"/>
      <c r="L291"/>
      <c r="M291"/>
      <c r="N291"/>
    </row>
    <row r="292" spans="9:14" x14ac:dyDescent="0.35">
      <c r="I292" s="15"/>
      <c r="J292" s="15"/>
      <c r="K292" s="15"/>
      <c r="L292"/>
      <c r="M292"/>
      <c r="N292"/>
    </row>
    <row r="293" spans="9:14" x14ac:dyDescent="0.35">
      <c r="I293" s="15"/>
      <c r="J293" s="15"/>
      <c r="K293" s="15"/>
      <c r="L293"/>
      <c r="M293"/>
      <c r="N293"/>
    </row>
    <row r="294" spans="9:14" x14ac:dyDescent="0.35">
      <c r="I294" s="15"/>
      <c r="J294" s="15"/>
      <c r="K294" s="15"/>
      <c r="L294"/>
      <c r="M294"/>
      <c r="N294"/>
    </row>
    <row r="295" spans="9:14" x14ac:dyDescent="0.35">
      <c r="I295" s="15"/>
      <c r="J295" s="15"/>
      <c r="K295" s="15"/>
      <c r="L295"/>
      <c r="M295"/>
      <c r="N295"/>
    </row>
    <row r="296" spans="9:14" x14ac:dyDescent="0.35">
      <c r="I296" s="15"/>
      <c r="J296" s="15"/>
      <c r="K296" s="15"/>
      <c r="L296"/>
      <c r="M296"/>
      <c r="N296"/>
    </row>
    <row r="297" spans="9:14" x14ac:dyDescent="0.35">
      <c r="I297" s="15"/>
      <c r="J297" s="15"/>
      <c r="K297" s="15"/>
      <c r="L297"/>
      <c r="M297"/>
      <c r="N297"/>
    </row>
    <row r="298" spans="9:14" x14ac:dyDescent="0.35">
      <c r="I298" s="15"/>
      <c r="J298" s="15"/>
      <c r="K298" s="15"/>
      <c r="L298"/>
      <c r="M298"/>
      <c r="N298"/>
    </row>
    <row r="299" spans="9:14" x14ac:dyDescent="0.35">
      <c r="I299" s="15"/>
      <c r="J299" s="15"/>
      <c r="K299" s="15"/>
      <c r="L299"/>
      <c r="M299"/>
      <c r="N299"/>
    </row>
    <row r="300" spans="9:14" x14ac:dyDescent="0.35">
      <c r="I300" s="15"/>
      <c r="J300" s="15"/>
      <c r="K300" s="15"/>
      <c r="L300"/>
      <c r="M300"/>
      <c r="N300"/>
    </row>
    <row r="301" spans="9:14" x14ac:dyDescent="0.35">
      <c r="I301" s="15"/>
      <c r="J301" s="15"/>
      <c r="K301" s="15"/>
      <c r="L301"/>
      <c r="M301"/>
      <c r="N301"/>
    </row>
    <row r="302" spans="9:14" x14ac:dyDescent="0.35">
      <c r="I302" s="15"/>
      <c r="J302" s="15"/>
      <c r="K302" s="15"/>
      <c r="L302"/>
      <c r="M302"/>
      <c r="N302"/>
    </row>
    <row r="303" spans="9:14" x14ac:dyDescent="0.35">
      <c r="I303" s="15"/>
      <c r="J303" s="15"/>
      <c r="K303" s="15"/>
      <c r="L303"/>
      <c r="M303"/>
      <c r="N303"/>
    </row>
    <row r="304" spans="9:14" x14ac:dyDescent="0.35">
      <c r="I304" s="15"/>
      <c r="J304" s="15"/>
      <c r="K304" s="15"/>
      <c r="L304"/>
      <c r="M304"/>
      <c r="N304"/>
    </row>
    <row r="305" spans="9:14" x14ac:dyDescent="0.35">
      <c r="I305" s="15"/>
      <c r="J305" s="15"/>
      <c r="K305" s="15"/>
      <c r="L305"/>
      <c r="M305"/>
      <c r="N305"/>
    </row>
    <row r="306" spans="9:14" x14ac:dyDescent="0.35">
      <c r="I306" s="15"/>
      <c r="J306" s="15"/>
      <c r="K306" s="15"/>
      <c r="L306"/>
      <c r="M306"/>
      <c r="N306"/>
    </row>
    <row r="307" spans="9:14" x14ac:dyDescent="0.35">
      <c r="I307" s="15"/>
      <c r="J307" s="15"/>
      <c r="K307" s="15"/>
      <c r="L307"/>
      <c r="M307"/>
      <c r="N307"/>
    </row>
    <row r="308" spans="9:14" x14ac:dyDescent="0.35">
      <c r="I308" s="15"/>
      <c r="J308" s="15"/>
      <c r="K308" s="15"/>
      <c r="L308"/>
      <c r="M308"/>
      <c r="N308"/>
    </row>
    <row r="309" spans="9:14" x14ac:dyDescent="0.35">
      <c r="I309" s="15"/>
      <c r="J309" s="15"/>
      <c r="K309" s="15"/>
      <c r="L309"/>
      <c r="M309"/>
      <c r="N309"/>
    </row>
    <row r="310" spans="9:14" x14ac:dyDescent="0.35">
      <c r="I310" s="15"/>
      <c r="J310" s="15"/>
      <c r="K310" s="15"/>
      <c r="L310"/>
      <c r="M310"/>
      <c r="N310"/>
    </row>
    <row r="311" spans="9:14" x14ac:dyDescent="0.35">
      <c r="I311" s="15"/>
      <c r="J311" s="15"/>
      <c r="K311" s="15"/>
      <c r="L311"/>
      <c r="M311"/>
      <c r="N311"/>
    </row>
    <row r="312" spans="9:14" x14ac:dyDescent="0.35">
      <c r="I312" s="15"/>
      <c r="J312" s="15"/>
      <c r="K312" s="15"/>
      <c r="L312"/>
      <c r="M312"/>
      <c r="N312"/>
    </row>
    <row r="313" spans="9:14" x14ac:dyDescent="0.35">
      <c r="I313" s="15"/>
      <c r="J313" s="15"/>
      <c r="K313" s="15"/>
      <c r="L313"/>
      <c r="M313"/>
      <c r="N313"/>
    </row>
    <row r="314" spans="9:14" x14ac:dyDescent="0.35">
      <c r="I314" s="15"/>
      <c r="J314" s="15"/>
      <c r="K314" s="15"/>
      <c r="L314"/>
      <c r="M314"/>
      <c r="N314"/>
    </row>
    <row r="315" spans="9:14" x14ac:dyDescent="0.35">
      <c r="I315" s="15"/>
      <c r="J315" s="15"/>
      <c r="K315" s="15"/>
      <c r="L315"/>
      <c r="M315"/>
      <c r="N315"/>
    </row>
    <row r="316" spans="9:14" x14ac:dyDescent="0.35">
      <c r="I316" s="15"/>
      <c r="J316" s="15"/>
      <c r="K316" s="15"/>
      <c r="L316"/>
      <c r="M316"/>
      <c r="N316"/>
    </row>
    <row r="317" spans="9:14" x14ac:dyDescent="0.35">
      <c r="I317" s="15"/>
      <c r="J317" s="15"/>
      <c r="K317" s="15"/>
      <c r="L317"/>
      <c r="M317"/>
      <c r="N317"/>
    </row>
    <row r="318" spans="9:14" x14ac:dyDescent="0.35">
      <c r="I318" s="15"/>
      <c r="J318" s="15"/>
      <c r="K318" s="15"/>
      <c r="L318"/>
      <c r="M318"/>
      <c r="N318"/>
    </row>
    <row r="319" spans="9:14" x14ac:dyDescent="0.35">
      <c r="I319" s="15"/>
      <c r="J319" s="15"/>
      <c r="K319" s="15"/>
      <c r="L319"/>
      <c r="M319"/>
      <c r="N319"/>
    </row>
    <row r="320" spans="9:14" x14ac:dyDescent="0.35">
      <c r="I320" s="15"/>
      <c r="J320" s="15"/>
      <c r="K320" s="15"/>
      <c r="L320"/>
      <c r="M320"/>
      <c r="N320"/>
    </row>
    <row r="321" spans="9:14" x14ac:dyDescent="0.35">
      <c r="I321" s="15"/>
      <c r="J321" s="15"/>
      <c r="K321" s="15"/>
      <c r="L321"/>
      <c r="M321"/>
      <c r="N321"/>
    </row>
    <row r="322" spans="9:14" x14ac:dyDescent="0.35">
      <c r="I322" s="15"/>
      <c r="J322" s="15"/>
      <c r="K322" s="15"/>
      <c r="L322"/>
      <c r="M322"/>
      <c r="N322"/>
    </row>
    <row r="323" spans="9:14" x14ac:dyDescent="0.35">
      <c r="I323" s="15"/>
      <c r="J323" s="15"/>
      <c r="K323" s="15"/>
      <c r="L323"/>
      <c r="M323"/>
      <c r="N323"/>
    </row>
    <row r="324" spans="9:14" x14ac:dyDescent="0.35">
      <c r="I324" s="15"/>
      <c r="J324" s="15"/>
      <c r="K324" s="15"/>
      <c r="L324"/>
      <c r="M324"/>
      <c r="N324"/>
    </row>
    <row r="325" spans="9:14" x14ac:dyDescent="0.35">
      <c r="I325" s="15"/>
      <c r="J325" s="15"/>
      <c r="K325" s="15"/>
      <c r="L325"/>
      <c r="M325"/>
      <c r="N325"/>
    </row>
    <row r="326" spans="9:14" x14ac:dyDescent="0.35">
      <c r="I326" s="15"/>
      <c r="J326" s="15"/>
      <c r="K326" s="15"/>
      <c r="L326"/>
      <c r="M326"/>
      <c r="N326"/>
    </row>
    <row r="327" spans="9:14" x14ac:dyDescent="0.35">
      <c r="I327" s="15"/>
      <c r="J327" s="15"/>
      <c r="K327" s="15"/>
      <c r="L327"/>
      <c r="M327"/>
      <c r="N327"/>
    </row>
    <row r="328" spans="9:14" x14ac:dyDescent="0.35">
      <c r="I328" s="15"/>
      <c r="J328" s="15"/>
      <c r="K328" s="15"/>
      <c r="L328"/>
      <c r="M328"/>
      <c r="N328"/>
    </row>
    <row r="329" spans="9:14" x14ac:dyDescent="0.35">
      <c r="I329" s="15"/>
      <c r="J329" s="15"/>
      <c r="K329" s="15"/>
      <c r="L329"/>
      <c r="M329"/>
      <c r="N329"/>
    </row>
    <row r="330" spans="9:14" x14ac:dyDescent="0.35">
      <c r="I330" s="15"/>
      <c r="J330" s="15"/>
      <c r="K330" s="15"/>
      <c r="L330"/>
      <c r="M330"/>
      <c r="N330"/>
    </row>
    <row r="331" spans="9:14" x14ac:dyDescent="0.35">
      <c r="I331" s="15"/>
      <c r="J331" s="15"/>
      <c r="K331" s="15"/>
      <c r="L331"/>
      <c r="M331"/>
      <c r="N331"/>
    </row>
    <row r="332" spans="9:14" x14ac:dyDescent="0.35">
      <c r="I332" s="15"/>
      <c r="J332" s="15"/>
      <c r="K332" s="15"/>
      <c r="L332"/>
      <c r="M332"/>
      <c r="N332"/>
    </row>
    <row r="333" spans="9:14" x14ac:dyDescent="0.35">
      <c r="I333" s="15"/>
      <c r="J333" s="15"/>
      <c r="K333" s="15"/>
      <c r="L333"/>
      <c r="M333"/>
      <c r="N333"/>
    </row>
    <row r="334" spans="9:14" x14ac:dyDescent="0.35">
      <c r="I334" s="15"/>
      <c r="J334" s="15"/>
      <c r="K334" s="15"/>
      <c r="L334"/>
      <c r="M334"/>
      <c r="N334"/>
    </row>
    <row r="335" spans="9:14" x14ac:dyDescent="0.35">
      <c r="I335" s="15"/>
      <c r="J335" s="15"/>
      <c r="K335" s="15"/>
      <c r="L335"/>
      <c r="M335"/>
      <c r="N335"/>
    </row>
    <row r="336" spans="9:14" x14ac:dyDescent="0.35">
      <c r="I336" s="15"/>
      <c r="J336" s="15"/>
      <c r="K336" s="15"/>
      <c r="L336"/>
      <c r="M336"/>
      <c r="N336"/>
    </row>
    <row r="337" spans="9:14" x14ac:dyDescent="0.35">
      <c r="I337" s="15"/>
      <c r="J337" s="15"/>
      <c r="K337" s="15"/>
      <c r="L337"/>
      <c r="M337"/>
      <c r="N337"/>
    </row>
    <row r="338" spans="9:14" x14ac:dyDescent="0.35">
      <c r="I338" s="15"/>
      <c r="J338" s="15"/>
      <c r="K338" s="15"/>
      <c r="L338"/>
      <c r="M338"/>
      <c r="N338"/>
    </row>
    <row r="339" spans="9:14" x14ac:dyDescent="0.35">
      <c r="I339" s="15"/>
      <c r="J339" s="15"/>
      <c r="K339" s="15"/>
      <c r="L339"/>
      <c r="M339"/>
      <c r="N339"/>
    </row>
    <row r="340" spans="9:14" x14ac:dyDescent="0.35">
      <c r="I340" s="15"/>
      <c r="J340" s="15"/>
      <c r="K340" s="15"/>
      <c r="L340"/>
      <c r="M340"/>
      <c r="N340"/>
    </row>
    <row r="341" spans="9:14" x14ac:dyDescent="0.35">
      <c r="I341" s="15"/>
      <c r="J341" s="15"/>
      <c r="K341" s="15"/>
      <c r="L341"/>
      <c r="M341"/>
      <c r="N341"/>
    </row>
    <row r="342" spans="9:14" x14ac:dyDescent="0.35">
      <c r="I342" s="15"/>
      <c r="J342" s="15"/>
      <c r="K342" s="15"/>
      <c r="L342"/>
      <c r="M342"/>
      <c r="N342"/>
    </row>
    <row r="343" spans="9:14" x14ac:dyDescent="0.35">
      <c r="I343" s="15"/>
      <c r="J343" s="15"/>
      <c r="K343" s="15"/>
      <c r="L343"/>
      <c r="M343"/>
      <c r="N343"/>
    </row>
    <row r="344" spans="9:14" x14ac:dyDescent="0.35">
      <c r="I344" s="15"/>
      <c r="J344" s="15"/>
      <c r="K344" s="15"/>
      <c r="L344"/>
      <c r="M344"/>
      <c r="N344"/>
    </row>
    <row r="345" spans="9:14" x14ac:dyDescent="0.35">
      <c r="I345" s="15"/>
      <c r="J345" s="15"/>
      <c r="K345" s="15"/>
      <c r="L345"/>
      <c r="M345"/>
      <c r="N345"/>
    </row>
    <row r="346" spans="9:14" x14ac:dyDescent="0.35">
      <c r="I346" s="15"/>
      <c r="J346" s="15"/>
      <c r="K346" s="15"/>
      <c r="L346"/>
      <c r="M346"/>
      <c r="N346"/>
    </row>
    <row r="347" spans="9:14" x14ac:dyDescent="0.35">
      <c r="I347" s="15"/>
      <c r="J347" s="15"/>
      <c r="K347" s="15"/>
      <c r="L347"/>
      <c r="M347"/>
      <c r="N347"/>
    </row>
    <row r="348" spans="9:14" x14ac:dyDescent="0.35">
      <c r="I348" s="15"/>
      <c r="J348" s="15"/>
      <c r="K348" s="15"/>
      <c r="L348"/>
      <c r="M348"/>
      <c r="N348"/>
    </row>
    <row r="349" spans="9:14" x14ac:dyDescent="0.35">
      <c r="I349" s="15"/>
      <c r="J349" s="15"/>
      <c r="K349" s="15"/>
      <c r="L349"/>
      <c r="M349"/>
      <c r="N349"/>
    </row>
    <row r="350" spans="9:14" x14ac:dyDescent="0.35">
      <c r="I350" s="15"/>
      <c r="J350" s="15"/>
      <c r="K350" s="15"/>
      <c r="L350"/>
      <c r="M350"/>
      <c r="N350"/>
    </row>
    <row r="351" spans="9:14" x14ac:dyDescent="0.35">
      <c r="I351" s="15"/>
      <c r="J351" s="15"/>
      <c r="K351" s="15"/>
      <c r="L351"/>
      <c r="M351"/>
      <c r="N351"/>
    </row>
    <row r="352" spans="9:14" x14ac:dyDescent="0.35">
      <c r="I352" s="15"/>
      <c r="J352" s="15"/>
      <c r="K352" s="15"/>
      <c r="L352"/>
      <c r="M352"/>
      <c r="N352"/>
    </row>
    <row r="353" spans="9:14" x14ac:dyDescent="0.35">
      <c r="I353" s="15"/>
      <c r="J353" s="15"/>
      <c r="K353" s="15"/>
      <c r="L353"/>
      <c r="M353"/>
      <c r="N353"/>
    </row>
    <row r="354" spans="9:14" x14ac:dyDescent="0.35">
      <c r="I354" s="15"/>
      <c r="J354" s="15"/>
      <c r="K354" s="15"/>
      <c r="L354"/>
      <c r="M354"/>
      <c r="N354"/>
    </row>
    <row r="355" spans="9:14" x14ac:dyDescent="0.35">
      <c r="I355" s="15"/>
      <c r="J355" s="15"/>
      <c r="K355" s="15"/>
      <c r="L355"/>
      <c r="M355"/>
      <c r="N355"/>
    </row>
    <row r="356" spans="9:14" x14ac:dyDescent="0.35">
      <c r="I356" s="15"/>
      <c r="J356" s="15"/>
      <c r="K356" s="15"/>
      <c r="L356"/>
      <c r="M356"/>
      <c r="N356"/>
    </row>
    <row r="357" spans="9:14" x14ac:dyDescent="0.35">
      <c r="I357" s="15"/>
      <c r="J357" s="15"/>
      <c r="K357" s="15"/>
      <c r="L357"/>
      <c r="M357"/>
      <c r="N357"/>
    </row>
    <row r="358" spans="9:14" x14ac:dyDescent="0.35">
      <c r="I358" s="15"/>
      <c r="J358" s="15"/>
      <c r="K358" s="15"/>
      <c r="L358"/>
      <c r="M358"/>
      <c r="N358"/>
    </row>
    <row r="359" spans="9:14" x14ac:dyDescent="0.35">
      <c r="I359" s="15"/>
      <c r="J359" s="15"/>
      <c r="K359" s="15"/>
      <c r="L359"/>
      <c r="M359"/>
      <c r="N359"/>
    </row>
    <row r="360" spans="9:14" x14ac:dyDescent="0.35">
      <c r="I360" s="15"/>
      <c r="J360" s="15"/>
      <c r="K360" s="15"/>
      <c r="L360"/>
      <c r="M360"/>
      <c r="N360"/>
    </row>
    <row r="361" spans="9:14" x14ac:dyDescent="0.35">
      <c r="I361" s="15"/>
      <c r="J361" s="15"/>
      <c r="K361" s="15"/>
      <c r="L361"/>
      <c r="M361"/>
      <c r="N361"/>
    </row>
    <row r="362" spans="9:14" x14ac:dyDescent="0.35">
      <c r="I362" s="15"/>
      <c r="J362" s="15"/>
      <c r="K362" s="15"/>
      <c r="L362"/>
      <c r="M362"/>
      <c r="N362"/>
    </row>
    <row r="363" spans="9:14" x14ac:dyDescent="0.35">
      <c r="I363" s="15"/>
      <c r="J363" s="15"/>
      <c r="K363" s="15"/>
      <c r="L363"/>
      <c r="M363"/>
      <c r="N363"/>
    </row>
    <row r="364" spans="9:14" x14ac:dyDescent="0.35">
      <c r="I364" s="15"/>
      <c r="J364" s="15"/>
      <c r="K364" s="15"/>
      <c r="L364"/>
      <c r="M364"/>
      <c r="N364"/>
    </row>
    <row r="365" spans="9:14" x14ac:dyDescent="0.35">
      <c r="I365" s="15"/>
      <c r="J365" s="15"/>
      <c r="K365" s="15"/>
      <c r="L365"/>
      <c r="M365"/>
      <c r="N365"/>
    </row>
    <row r="366" spans="9:14" x14ac:dyDescent="0.35">
      <c r="I366" s="15"/>
      <c r="J366" s="15"/>
      <c r="K366" s="15"/>
      <c r="L366"/>
      <c r="M366"/>
      <c r="N366"/>
    </row>
    <row r="367" spans="9:14" x14ac:dyDescent="0.35">
      <c r="I367" s="15"/>
      <c r="J367" s="15"/>
      <c r="K367" s="15"/>
      <c r="L367"/>
      <c r="M367"/>
      <c r="N367"/>
    </row>
    <row r="368" spans="9:14" x14ac:dyDescent="0.35">
      <c r="I368" s="15"/>
      <c r="J368" s="15"/>
      <c r="K368" s="15"/>
      <c r="L368"/>
      <c r="M368"/>
      <c r="N368"/>
    </row>
    <row r="369" spans="9:14" x14ac:dyDescent="0.35">
      <c r="I369" s="15"/>
      <c r="J369" s="15"/>
      <c r="K369" s="15"/>
      <c r="L369"/>
      <c r="M369"/>
      <c r="N369"/>
    </row>
    <row r="370" spans="9:14" x14ac:dyDescent="0.35">
      <c r="I370" s="15"/>
      <c r="J370" s="15"/>
      <c r="K370" s="15"/>
      <c r="L370"/>
      <c r="M370"/>
      <c r="N370"/>
    </row>
    <row r="371" spans="9:14" x14ac:dyDescent="0.35">
      <c r="I371" s="15"/>
      <c r="J371" s="15"/>
      <c r="K371" s="15"/>
      <c r="L371"/>
      <c r="M371"/>
      <c r="N371"/>
    </row>
    <row r="372" spans="9:14" x14ac:dyDescent="0.35">
      <c r="I372" s="15"/>
      <c r="J372" s="15"/>
      <c r="K372" s="15"/>
      <c r="L372"/>
      <c r="M372"/>
      <c r="N372"/>
    </row>
    <row r="373" spans="9:14" x14ac:dyDescent="0.35">
      <c r="I373" s="15"/>
      <c r="J373" s="15"/>
      <c r="K373" s="15"/>
      <c r="L373"/>
      <c r="M373"/>
      <c r="N373"/>
    </row>
    <row r="374" spans="9:14" x14ac:dyDescent="0.35">
      <c r="I374" s="15"/>
      <c r="J374" s="15"/>
      <c r="K374" s="15"/>
      <c r="L374"/>
      <c r="M374"/>
      <c r="N374"/>
    </row>
    <row r="375" spans="9:14" x14ac:dyDescent="0.35">
      <c r="I375" s="15"/>
      <c r="J375" s="15"/>
      <c r="K375" s="15"/>
      <c r="L375"/>
      <c r="M375"/>
      <c r="N375"/>
    </row>
    <row r="376" spans="9:14" x14ac:dyDescent="0.35">
      <c r="I376" s="15"/>
      <c r="J376" s="15"/>
      <c r="K376" s="15"/>
      <c r="L376"/>
      <c r="M376"/>
      <c r="N376"/>
    </row>
    <row r="377" spans="9:14" x14ac:dyDescent="0.35">
      <c r="I377" s="15"/>
      <c r="J377" s="15"/>
      <c r="K377" s="15"/>
      <c r="L377"/>
      <c r="M377"/>
      <c r="N377"/>
    </row>
    <row r="378" spans="9:14" x14ac:dyDescent="0.35">
      <c r="I378" s="15"/>
      <c r="J378" s="15"/>
      <c r="K378" s="15"/>
      <c r="L378"/>
      <c r="M378"/>
      <c r="N378"/>
    </row>
    <row r="379" spans="9:14" x14ac:dyDescent="0.35">
      <c r="I379" s="15"/>
      <c r="J379" s="15"/>
      <c r="K379" s="15"/>
      <c r="L379"/>
      <c r="M379"/>
      <c r="N379"/>
    </row>
    <row r="380" spans="9:14" x14ac:dyDescent="0.35">
      <c r="I380" s="15"/>
      <c r="J380" s="15"/>
      <c r="K380" s="15"/>
      <c r="L380"/>
      <c r="M380"/>
      <c r="N380"/>
    </row>
    <row r="381" spans="9:14" x14ac:dyDescent="0.35">
      <c r="I381" s="15"/>
      <c r="J381" s="15"/>
      <c r="K381" s="15"/>
      <c r="L381"/>
      <c r="M381"/>
      <c r="N381"/>
    </row>
    <row r="382" spans="9:14" x14ac:dyDescent="0.35">
      <c r="I382" s="15"/>
      <c r="J382" s="15"/>
      <c r="K382" s="15"/>
      <c r="L382"/>
      <c r="M382"/>
      <c r="N382"/>
    </row>
    <row r="383" spans="9:14" x14ac:dyDescent="0.35">
      <c r="I383" s="15"/>
      <c r="J383" s="15"/>
      <c r="K383" s="15"/>
      <c r="L383"/>
      <c r="M383"/>
      <c r="N383"/>
    </row>
    <row r="384" spans="9:14" x14ac:dyDescent="0.35">
      <c r="I384" s="15"/>
      <c r="J384" s="15"/>
      <c r="K384" s="15"/>
      <c r="L384"/>
      <c r="M384"/>
      <c r="N384"/>
    </row>
    <row r="385" spans="9:14" x14ac:dyDescent="0.35">
      <c r="I385" s="15"/>
      <c r="J385" s="15"/>
      <c r="K385" s="15"/>
      <c r="L385"/>
      <c r="M385"/>
      <c r="N385"/>
    </row>
    <row r="386" spans="9:14" x14ac:dyDescent="0.35">
      <c r="I386" s="15"/>
      <c r="J386" s="15"/>
      <c r="K386" s="15"/>
      <c r="L386"/>
      <c r="M386"/>
      <c r="N386"/>
    </row>
    <row r="387" spans="9:14" x14ac:dyDescent="0.35">
      <c r="I387" s="15"/>
      <c r="J387" s="15"/>
      <c r="K387" s="15"/>
      <c r="L387"/>
      <c r="M387"/>
      <c r="N387"/>
    </row>
    <row r="388" spans="9:14" x14ac:dyDescent="0.35">
      <c r="I388" s="15"/>
      <c r="J388" s="15"/>
      <c r="K388" s="15"/>
      <c r="L388"/>
      <c r="M388"/>
      <c r="N388"/>
    </row>
    <row r="389" spans="9:14" x14ac:dyDescent="0.35">
      <c r="I389" s="15"/>
      <c r="J389" s="15"/>
      <c r="K389" s="15"/>
      <c r="L389"/>
      <c r="M389"/>
      <c r="N389"/>
    </row>
    <row r="390" spans="9:14" x14ac:dyDescent="0.35">
      <c r="I390" s="15"/>
      <c r="J390" s="15"/>
      <c r="K390" s="15"/>
      <c r="L390"/>
      <c r="M390"/>
      <c r="N390"/>
    </row>
    <row r="391" spans="9:14" x14ac:dyDescent="0.35">
      <c r="I391" s="15"/>
      <c r="J391" s="15"/>
      <c r="K391" s="15"/>
      <c r="L391"/>
      <c r="M391"/>
      <c r="N391"/>
    </row>
    <row r="392" spans="9:14" x14ac:dyDescent="0.35">
      <c r="I392" s="15"/>
      <c r="J392" s="15"/>
      <c r="K392" s="15"/>
      <c r="L392"/>
      <c r="M392"/>
      <c r="N392"/>
    </row>
    <row r="393" spans="9:14" x14ac:dyDescent="0.35">
      <c r="I393" s="15"/>
      <c r="J393" s="15"/>
      <c r="K393" s="15"/>
      <c r="L393"/>
      <c r="M393"/>
      <c r="N393"/>
    </row>
    <row r="394" spans="9:14" x14ac:dyDescent="0.35">
      <c r="I394" s="15"/>
      <c r="J394" s="15"/>
      <c r="K394" s="15"/>
      <c r="L394"/>
      <c r="M394"/>
      <c r="N394"/>
    </row>
    <row r="395" spans="9:14" x14ac:dyDescent="0.35">
      <c r="I395" s="15"/>
      <c r="J395" s="15"/>
      <c r="K395" s="15"/>
      <c r="L395"/>
      <c r="M395"/>
      <c r="N395"/>
    </row>
    <row r="396" spans="9:14" x14ac:dyDescent="0.35">
      <c r="I396" s="15"/>
      <c r="J396" s="15"/>
      <c r="K396" s="15"/>
      <c r="L396"/>
      <c r="M396"/>
      <c r="N396"/>
    </row>
    <row r="397" spans="9:14" x14ac:dyDescent="0.35">
      <c r="I397" s="15"/>
      <c r="J397" s="15"/>
      <c r="K397" s="15"/>
      <c r="L397"/>
      <c r="M397"/>
      <c r="N397"/>
    </row>
    <row r="398" spans="9:14" x14ac:dyDescent="0.35">
      <c r="I398" s="15"/>
      <c r="J398" s="15"/>
      <c r="K398" s="15"/>
      <c r="L398"/>
      <c r="M398"/>
      <c r="N398"/>
    </row>
    <row r="399" spans="9:14" x14ac:dyDescent="0.35">
      <c r="I399" s="15"/>
      <c r="J399" s="15"/>
      <c r="K399" s="15"/>
      <c r="L399"/>
      <c r="M399"/>
      <c r="N399"/>
    </row>
    <row r="400" spans="9:14" x14ac:dyDescent="0.35">
      <c r="I400" s="15"/>
      <c r="J400" s="15"/>
      <c r="K400" s="15"/>
      <c r="L400"/>
      <c r="M400"/>
      <c r="N400"/>
    </row>
    <row r="401" spans="9:14" x14ac:dyDescent="0.35">
      <c r="I401" s="15"/>
      <c r="J401" s="15"/>
      <c r="K401" s="15"/>
      <c r="L401"/>
      <c r="M401"/>
      <c r="N401"/>
    </row>
    <row r="402" spans="9:14" x14ac:dyDescent="0.35">
      <c r="I402" s="15"/>
      <c r="J402" s="15"/>
      <c r="K402" s="15"/>
      <c r="L402"/>
      <c r="M402"/>
      <c r="N402"/>
    </row>
    <row r="403" spans="9:14" x14ac:dyDescent="0.35">
      <c r="I403" s="15"/>
      <c r="J403" s="15"/>
      <c r="K403" s="15"/>
      <c r="L403"/>
      <c r="M403"/>
      <c r="N403"/>
    </row>
    <row r="404" spans="9:14" x14ac:dyDescent="0.35">
      <c r="I404" s="15"/>
      <c r="J404" s="15"/>
      <c r="K404" s="15"/>
      <c r="L404"/>
      <c r="M404"/>
      <c r="N404"/>
    </row>
    <row r="405" spans="9:14" x14ac:dyDescent="0.35">
      <c r="I405" s="15"/>
      <c r="J405" s="15"/>
      <c r="K405" s="15"/>
      <c r="L405"/>
      <c r="M405"/>
      <c r="N405"/>
    </row>
    <row r="406" spans="9:14" x14ac:dyDescent="0.35">
      <c r="I406" s="15"/>
      <c r="J406" s="15"/>
      <c r="K406" s="15"/>
      <c r="L406"/>
      <c r="M406"/>
      <c r="N406"/>
    </row>
    <row r="407" spans="9:14" x14ac:dyDescent="0.35">
      <c r="I407" s="15"/>
      <c r="J407" s="15"/>
      <c r="K407" s="15"/>
      <c r="L407"/>
      <c r="M407"/>
      <c r="N407"/>
    </row>
    <row r="408" spans="9:14" x14ac:dyDescent="0.35">
      <c r="I408" s="15"/>
      <c r="J408" s="15"/>
      <c r="K408" s="15"/>
      <c r="L408"/>
      <c r="M408"/>
      <c r="N408"/>
    </row>
    <row r="409" spans="9:14" x14ac:dyDescent="0.35">
      <c r="I409" s="15"/>
      <c r="J409" s="15"/>
      <c r="K409" s="15"/>
      <c r="L409"/>
      <c r="M409"/>
      <c r="N409"/>
    </row>
    <row r="410" spans="9:14" x14ac:dyDescent="0.35">
      <c r="I410" s="15"/>
      <c r="J410" s="15"/>
      <c r="K410" s="15"/>
      <c r="L410"/>
      <c r="M410"/>
      <c r="N410"/>
    </row>
    <row r="411" spans="9:14" x14ac:dyDescent="0.35">
      <c r="I411" s="15"/>
      <c r="J411" s="15"/>
      <c r="K411" s="15"/>
      <c r="L411"/>
      <c r="M411"/>
      <c r="N411"/>
    </row>
    <row r="412" spans="9:14" x14ac:dyDescent="0.35">
      <c r="I412" s="15"/>
      <c r="J412" s="15"/>
      <c r="K412" s="15"/>
      <c r="L412"/>
      <c r="M412"/>
      <c r="N412"/>
    </row>
    <row r="413" spans="9:14" x14ac:dyDescent="0.35">
      <c r="I413" s="15"/>
      <c r="J413" s="15"/>
      <c r="K413" s="15"/>
      <c r="L413"/>
      <c r="M413"/>
      <c r="N413"/>
    </row>
    <row r="414" spans="9:14" x14ac:dyDescent="0.35">
      <c r="I414" s="15"/>
      <c r="J414" s="15"/>
      <c r="K414" s="15"/>
      <c r="L414"/>
      <c r="M414"/>
      <c r="N414"/>
    </row>
    <row r="415" spans="9:14" x14ac:dyDescent="0.35">
      <c r="I415" s="15"/>
      <c r="J415" s="15"/>
      <c r="K415" s="15"/>
      <c r="L415"/>
      <c r="M415"/>
      <c r="N415"/>
    </row>
    <row r="416" spans="9:14" x14ac:dyDescent="0.35">
      <c r="I416" s="15"/>
      <c r="J416" s="15"/>
      <c r="K416" s="15"/>
      <c r="L416"/>
      <c r="M416"/>
      <c r="N416"/>
    </row>
    <row r="417" spans="9:14" x14ac:dyDescent="0.35">
      <c r="I417" s="15"/>
      <c r="J417" s="15"/>
      <c r="K417" s="15"/>
      <c r="L417"/>
      <c r="M417"/>
      <c r="N417"/>
    </row>
    <row r="418" spans="9:14" x14ac:dyDescent="0.35">
      <c r="I418" s="15"/>
      <c r="J418" s="15"/>
      <c r="K418" s="15"/>
      <c r="L418"/>
      <c r="M418"/>
      <c r="N418"/>
    </row>
    <row r="419" spans="9:14" x14ac:dyDescent="0.35">
      <c r="I419" s="15"/>
      <c r="J419" s="15"/>
      <c r="K419" s="15"/>
      <c r="L419"/>
      <c r="M419"/>
      <c r="N419"/>
    </row>
    <row r="420" spans="9:14" x14ac:dyDescent="0.35">
      <c r="I420" s="15"/>
      <c r="J420" s="15"/>
      <c r="K420" s="15"/>
      <c r="L420"/>
      <c r="M420"/>
      <c r="N420"/>
    </row>
    <row r="421" spans="9:14" x14ac:dyDescent="0.35">
      <c r="I421" s="15"/>
      <c r="J421" s="15"/>
      <c r="K421" s="15"/>
      <c r="L421"/>
      <c r="M421"/>
      <c r="N421"/>
    </row>
    <row r="422" spans="9:14" x14ac:dyDescent="0.35">
      <c r="I422" s="15"/>
      <c r="J422" s="15"/>
      <c r="K422" s="15"/>
      <c r="L422"/>
      <c r="M422"/>
      <c r="N422"/>
    </row>
    <row r="423" spans="9:14" x14ac:dyDescent="0.35">
      <c r="I423" s="15"/>
      <c r="J423" s="15"/>
      <c r="K423" s="15"/>
      <c r="L423"/>
      <c r="M423"/>
      <c r="N423"/>
    </row>
    <row r="424" spans="9:14" x14ac:dyDescent="0.35">
      <c r="I424" s="15"/>
      <c r="J424" s="15"/>
      <c r="K424" s="15"/>
      <c r="L424"/>
      <c r="M424"/>
      <c r="N424"/>
    </row>
    <row r="425" spans="9:14" x14ac:dyDescent="0.35">
      <c r="I425" s="15"/>
      <c r="J425" s="15"/>
      <c r="K425" s="15"/>
      <c r="L425"/>
      <c r="M425"/>
      <c r="N425"/>
    </row>
    <row r="426" spans="9:14" x14ac:dyDescent="0.35">
      <c r="I426" s="15"/>
      <c r="J426" s="15"/>
      <c r="K426" s="15"/>
      <c r="L426"/>
      <c r="M426"/>
      <c r="N426"/>
    </row>
    <row r="427" spans="9:14" x14ac:dyDescent="0.35">
      <c r="I427" s="15"/>
      <c r="J427" s="15"/>
      <c r="K427" s="15"/>
      <c r="L427"/>
      <c r="M427"/>
      <c r="N427"/>
    </row>
    <row r="428" spans="9:14" x14ac:dyDescent="0.35">
      <c r="I428" s="15"/>
      <c r="J428" s="15"/>
      <c r="K428" s="15"/>
      <c r="L428"/>
      <c r="M428"/>
      <c r="N428"/>
    </row>
    <row r="429" spans="9:14" x14ac:dyDescent="0.35">
      <c r="I429" s="15"/>
      <c r="J429" s="15"/>
      <c r="K429" s="15"/>
      <c r="L429"/>
      <c r="M429"/>
      <c r="N429"/>
    </row>
    <row r="430" spans="9:14" x14ac:dyDescent="0.35">
      <c r="I430" s="15"/>
      <c r="J430" s="15"/>
      <c r="K430" s="15"/>
      <c r="L430"/>
      <c r="M430"/>
      <c r="N430"/>
    </row>
    <row r="431" spans="9:14" x14ac:dyDescent="0.35">
      <c r="I431" s="15"/>
      <c r="J431" s="15"/>
      <c r="K431" s="15"/>
      <c r="L431"/>
      <c r="M431"/>
      <c r="N431"/>
    </row>
    <row r="432" spans="9:14" x14ac:dyDescent="0.35">
      <c r="I432" s="15"/>
      <c r="J432" s="15"/>
      <c r="K432" s="15"/>
      <c r="L432"/>
      <c r="M432"/>
      <c r="N432"/>
    </row>
    <row r="433" spans="9:14" x14ac:dyDescent="0.35">
      <c r="I433" s="15"/>
      <c r="J433" s="15"/>
      <c r="K433" s="15"/>
      <c r="L433"/>
      <c r="M433"/>
      <c r="N433"/>
    </row>
    <row r="434" spans="9:14" x14ac:dyDescent="0.35">
      <c r="I434" s="15"/>
      <c r="J434" s="15"/>
      <c r="K434" s="15"/>
      <c r="L434"/>
      <c r="M434"/>
      <c r="N434"/>
    </row>
    <row r="435" spans="9:14" x14ac:dyDescent="0.35">
      <c r="I435" s="15"/>
      <c r="J435" s="15"/>
      <c r="K435" s="15"/>
      <c r="L435"/>
      <c r="M435"/>
      <c r="N435"/>
    </row>
    <row r="436" spans="9:14" x14ac:dyDescent="0.35">
      <c r="I436" s="15"/>
      <c r="J436" s="15"/>
      <c r="K436" s="15"/>
      <c r="L436"/>
      <c r="M436"/>
      <c r="N436"/>
    </row>
    <row r="437" spans="9:14" x14ac:dyDescent="0.35">
      <c r="I437" s="15"/>
      <c r="J437" s="15"/>
      <c r="K437" s="15"/>
      <c r="L437"/>
      <c r="M437"/>
      <c r="N437"/>
    </row>
    <row r="438" spans="9:14" x14ac:dyDescent="0.35">
      <c r="I438" s="15"/>
      <c r="J438" s="15"/>
      <c r="K438" s="15"/>
      <c r="L438"/>
      <c r="M438"/>
      <c r="N438"/>
    </row>
    <row r="439" spans="9:14" x14ac:dyDescent="0.35">
      <c r="I439" s="15"/>
      <c r="J439" s="15"/>
      <c r="K439" s="15"/>
      <c r="L439"/>
      <c r="M439"/>
      <c r="N439"/>
    </row>
    <row r="440" spans="9:14" x14ac:dyDescent="0.35">
      <c r="I440" s="15"/>
      <c r="J440" s="15"/>
      <c r="K440" s="15"/>
      <c r="L440"/>
      <c r="M440"/>
      <c r="N440"/>
    </row>
    <row r="441" spans="9:14" x14ac:dyDescent="0.35">
      <c r="I441" s="15"/>
      <c r="J441" s="15"/>
      <c r="K441" s="15"/>
      <c r="L441"/>
      <c r="M441"/>
      <c r="N441"/>
    </row>
    <row r="442" spans="9:14" x14ac:dyDescent="0.35">
      <c r="I442" s="15"/>
      <c r="J442" s="15"/>
      <c r="K442" s="15"/>
      <c r="L442"/>
      <c r="M442"/>
      <c r="N442"/>
    </row>
    <row r="443" spans="9:14" x14ac:dyDescent="0.35">
      <c r="I443" s="15"/>
      <c r="J443" s="15"/>
      <c r="K443" s="15"/>
      <c r="L443"/>
      <c r="M443"/>
      <c r="N443"/>
    </row>
    <row r="444" spans="9:14" x14ac:dyDescent="0.35">
      <c r="I444" s="15"/>
      <c r="J444" s="15"/>
      <c r="K444" s="15"/>
      <c r="L444"/>
      <c r="M444"/>
      <c r="N444"/>
    </row>
    <row r="445" spans="9:14" x14ac:dyDescent="0.35">
      <c r="I445" s="15"/>
      <c r="J445" s="15"/>
      <c r="K445" s="15"/>
      <c r="L445"/>
      <c r="M445"/>
      <c r="N445"/>
    </row>
    <row r="446" spans="9:14" x14ac:dyDescent="0.35">
      <c r="I446" s="15"/>
      <c r="J446" s="15"/>
      <c r="K446" s="15"/>
      <c r="L446"/>
      <c r="M446"/>
      <c r="N446"/>
    </row>
    <row r="447" spans="9:14" x14ac:dyDescent="0.35">
      <c r="I447" s="15"/>
      <c r="J447" s="15"/>
      <c r="K447" s="15"/>
      <c r="L447"/>
      <c r="M447"/>
      <c r="N447"/>
    </row>
    <row r="448" spans="9:14" x14ac:dyDescent="0.35">
      <c r="I448" s="15"/>
      <c r="J448" s="15"/>
      <c r="K448" s="15"/>
      <c r="L448"/>
      <c r="M448"/>
      <c r="N448"/>
    </row>
    <row r="449" spans="9:14" x14ac:dyDescent="0.35">
      <c r="I449" s="15"/>
      <c r="J449" s="15"/>
      <c r="K449" s="15"/>
      <c r="L449"/>
      <c r="M449"/>
      <c r="N449"/>
    </row>
    <row r="450" spans="9:14" x14ac:dyDescent="0.35">
      <c r="I450" s="15"/>
      <c r="J450" s="15"/>
      <c r="K450" s="15"/>
      <c r="L450"/>
      <c r="M450"/>
      <c r="N450"/>
    </row>
    <row r="451" spans="9:14" x14ac:dyDescent="0.35">
      <c r="I451" s="15"/>
      <c r="J451" s="15"/>
      <c r="K451" s="15"/>
      <c r="L451"/>
      <c r="M451"/>
      <c r="N451"/>
    </row>
    <row r="452" spans="9:14" x14ac:dyDescent="0.35">
      <c r="I452" s="15"/>
      <c r="J452" s="15"/>
      <c r="K452" s="15"/>
      <c r="L452"/>
      <c r="M452"/>
      <c r="N452"/>
    </row>
    <row r="453" spans="9:14" x14ac:dyDescent="0.35">
      <c r="I453" s="15"/>
      <c r="J453" s="15"/>
      <c r="K453" s="15"/>
      <c r="L453"/>
      <c r="M453"/>
      <c r="N453"/>
    </row>
    <row r="454" spans="9:14" x14ac:dyDescent="0.35">
      <c r="I454" s="15"/>
      <c r="J454" s="15"/>
      <c r="K454" s="15"/>
      <c r="L454"/>
      <c r="M454"/>
      <c r="N454"/>
    </row>
    <row r="455" spans="9:14" x14ac:dyDescent="0.35">
      <c r="I455" s="15"/>
      <c r="J455" s="15"/>
      <c r="K455" s="15"/>
      <c r="L455"/>
      <c r="M455"/>
      <c r="N455"/>
    </row>
    <row r="456" spans="9:14" x14ac:dyDescent="0.35">
      <c r="I456" s="15"/>
      <c r="J456" s="15"/>
      <c r="K456" s="15"/>
      <c r="L456"/>
      <c r="M456"/>
      <c r="N456"/>
    </row>
    <row r="457" spans="9:14" x14ac:dyDescent="0.35">
      <c r="I457" s="15"/>
      <c r="J457" s="15"/>
      <c r="K457" s="15"/>
      <c r="L457"/>
      <c r="M457"/>
      <c r="N457"/>
    </row>
    <row r="458" spans="9:14" x14ac:dyDescent="0.35">
      <c r="I458" s="15"/>
      <c r="J458" s="15"/>
      <c r="K458" s="15"/>
      <c r="L458"/>
      <c r="M458"/>
      <c r="N458"/>
    </row>
    <row r="459" spans="9:14" x14ac:dyDescent="0.35">
      <c r="I459" s="15"/>
      <c r="J459" s="15"/>
      <c r="K459" s="15"/>
      <c r="L459"/>
      <c r="M459"/>
      <c r="N459"/>
    </row>
    <row r="460" spans="9:14" x14ac:dyDescent="0.35">
      <c r="I460" s="15"/>
      <c r="J460" s="15"/>
      <c r="K460" s="15"/>
      <c r="L460"/>
      <c r="M460"/>
      <c r="N460"/>
    </row>
    <row r="461" spans="9:14" x14ac:dyDescent="0.35">
      <c r="I461" s="15"/>
      <c r="J461" s="15"/>
      <c r="K461" s="15"/>
      <c r="L461"/>
      <c r="M461"/>
      <c r="N461"/>
    </row>
    <row r="462" spans="9:14" x14ac:dyDescent="0.35">
      <c r="I462" s="15"/>
      <c r="J462" s="15"/>
      <c r="K462" s="15"/>
      <c r="L462"/>
      <c r="M462"/>
      <c r="N462"/>
    </row>
    <row r="463" spans="9:14" x14ac:dyDescent="0.35">
      <c r="I463" s="15"/>
      <c r="J463" s="15"/>
      <c r="K463" s="15"/>
      <c r="L463"/>
      <c r="M463"/>
      <c r="N463"/>
    </row>
    <row r="464" spans="9:14" x14ac:dyDescent="0.35">
      <c r="I464" s="15"/>
      <c r="J464" s="15"/>
      <c r="K464" s="15"/>
      <c r="L464"/>
      <c r="M464"/>
      <c r="N464"/>
    </row>
    <row r="465" spans="9:14" x14ac:dyDescent="0.35">
      <c r="I465" s="15"/>
      <c r="J465" s="15"/>
      <c r="K465" s="15"/>
      <c r="L465"/>
      <c r="M465"/>
      <c r="N465"/>
    </row>
    <row r="466" spans="9:14" x14ac:dyDescent="0.35">
      <c r="I466" s="15"/>
      <c r="J466" s="15"/>
      <c r="K466" s="15"/>
      <c r="L466"/>
      <c r="M466"/>
      <c r="N466"/>
    </row>
    <row r="467" spans="9:14" x14ac:dyDescent="0.35">
      <c r="I467" s="15"/>
      <c r="J467" s="15"/>
      <c r="K467" s="15"/>
      <c r="L467"/>
      <c r="M467"/>
      <c r="N467"/>
    </row>
    <row r="468" spans="9:14" x14ac:dyDescent="0.35">
      <c r="I468" s="15"/>
      <c r="J468" s="15"/>
      <c r="K468" s="15"/>
      <c r="L468"/>
      <c r="M468"/>
      <c r="N468"/>
    </row>
    <row r="469" spans="9:14" x14ac:dyDescent="0.35">
      <c r="I469" s="15"/>
      <c r="J469" s="15"/>
      <c r="K469" s="15"/>
      <c r="L469"/>
      <c r="M469"/>
      <c r="N469"/>
    </row>
    <row r="470" spans="9:14" x14ac:dyDescent="0.35">
      <c r="I470" s="15"/>
      <c r="J470" s="15"/>
      <c r="K470" s="15"/>
      <c r="L470"/>
      <c r="M470"/>
      <c r="N470"/>
    </row>
    <row r="471" spans="9:14" x14ac:dyDescent="0.35">
      <c r="I471" s="15"/>
      <c r="J471" s="15"/>
      <c r="K471" s="15"/>
      <c r="L471"/>
      <c r="M471"/>
      <c r="N471"/>
    </row>
    <row r="472" spans="9:14" x14ac:dyDescent="0.35">
      <c r="I472" s="15"/>
      <c r="J472" s="15"/>
      <c r="K472" s="15"/>
      <c r="L472"/>
      <c r="M472"/>
      <c r="N472"/>
    </row>
    <row r="473" spans="9:14" x14ac:dyDescent="0.35">
      <c r="I473" s="15"/>
      <c r="J473" s="15"/>
      <c r="K473" s="15"/>
      <c r="L473"/>
      <c r="M473"/>
      <c r="N473"/>
    </row>
    <row r="474" spans="9:14" x14ac:dyDescent="0.35">
      <c r="I474" s="15"/>
      <c r="J474" s="15"/>
      <c r="K474" s="15"/>
      <c r="L474"/>
      <c r="M474"/>
      <c r="N474"/>
    </row>
    <row r="475" spans="9:14" x14ac:dyDescent="0.35">
      <c r="I475" s="15"/>
      <c r="J475" s="15"/>
      <c r="K475" s="15"/>
      <c r="L475"/>
      <c r="M475"/>
      <c r="N475"/>
    </row>
    <row r="476" spans="9:14" x14ac:dyDescent="0.35">
      <c r="I476" s="15"/>
      <c r="J476" s="15"/>
      <c r="K476" s="15"/>
      <c r="L476"/>
      <c r="M476"/>
      <c r="N476"/>
    </row>
    <row r="477" spans="9:14" x14ac:dyDescent="0.35">
      <c r="I477" s="15"/>
      <c r="J477" s="15"/>
      <c r="K477" s="15"/>
      <c r="L477"/>
      <c r="M477"/>
      <c r="N477"/>
    </row>
    <row r="478" spans="9:14" x14ac:dyDescent="0.35">
      <c r="I478" s="15"/>
      <c r="J478" s="15"/>
      <c r="K478" s="15"/>
      <c r="L478"/>
      <c r="M478"/>
      <c r="N478"/>
    </row>
    <row r="479" spans="9:14" x14ac:dyDescent="0.35">
      <c r="I479" s="15"/>
      <c r="J479" s="15"/>
      <c r="K479" s="15"/>
      <c r="L479"/>
      <c r="M479"/>
      <c r="N479"/>
    </row>
    <row r="480" spans="9:14" x14ac:dyDescent="0.35">
      <c r="I480" s="15"/>
      <c r="J480" s="15"/>
      <c r="K480" s="15"/>
      <c r="L480"/>
      <c r="M480"/>
      <c r="N480"/>
    </row>
    <row r="481" spans="9:14" x14ac:dyDescent="0.35">
      <c r="I481" s="15"/>
      <c r="J481" s="15"/>
      <c r="K481" s="15"/>
      <c r="L481"/>
      <c r="M481"/>
      <c r="N481"/>
    </row>
    <row r="482" spans="9:14" x14ac:dyDescent="0.35">
      <c r="I482" s="15"/>
      <c r="J482" s="15"/>
      <c r="K482" s="15"/>
      <c r="L482"/>
      <c r="M482"/>
      <c r="N482"/>
    </row>
    <row r="483" spans="9:14" x14ac:dyDescent="0.35">
      <c r="I483" s="15"/>
      <c r="J483" s="15"/>
      <c r="K483" s="15"/>
      <c r="L483"/>
      <c r="M483"/>
      <c r="N483"/>
    </row>
    <row r="484" spans="9:14" x14ac:dyDescent="0.35">
      <c r="I484" s="15"/>
      <c r="J484" s="15"/>
      <c r="K484" s="15"/>
      <c r="L484"/>
      <c r="M484"/>
      <c r="N484"/>
    </row>
    <row r="485" spans="9:14" x14ac:dyDescent="0.35">
      <c r="I485" s="15"/>
      <c r="J485" s="15"/>
      <c r="K485" s="15"/>
      <c r="L485"/>
      <c r="M485"/>
      <c r="N485"/>
    </row>
    <row r="486" spans="9:14" x14ac:dyDescent="0.35">
      <c r="I486" s="15"/>
      <c r="J486" s="15"/>
      <c r="K486" s="15"/>
      <c r="L486"/>
      <c r="M486"/>
      <c r="N486"/>
    </row>
    <row r="487" spans="9:14" x14ac:dyDescent="0.35">
      <c r="I487" s="15"/>
      <c r="J487" s="15"/>
      <c r="K487" s="15"/>
      <c r="L487"/>
      <c r="M487"/>
      <c r="N487"/>
    </row>
    <row r="488" spans="9:14" x14ac:dyDescent="0.35">
      <c r="I488" s="15"/>
      <c r="J488" s="15"/>
      <c r="K488" s="15"/>
      <c r="L488"/>
      <c r="M488"/>
      <c r="N488"/>
    </row>
    <row r="489" spans="9:14" x14ac:dyDescent="0.35">
      <c r="I489" s="15"/>
      <c r="J489" s="15"/>
      <c r="K489" s="15"/>
      <c r="L489"/>
      <c r="M489"/>
      <c r="N489"/>
    </row>
    <row r="490" spans="9:14" x14ac:dyDescent="0.35">
      <c r="I490" s="15"/>
      <c r="J490" s="15"/>
      <c r="K490" s="15"/>
      <c r="L490"/>
      <c r="M490"/>
      <c r="N490"/>
    </row>
    <row r="491" spans="9:14" x14ac:dyDescent="0.35">
      <c r="I491" s="15"/>
      <c r="J491" s="15"/>
      <c r="K491" s="15"/>
      <c r="L491"/>
      <c r="M491"/>
      <c r="N491"/>
    </row>
    <row r="492" spans="9:14" x14ac:dyDescent="0.35">
      <c r="I492" s="15"/>
      <c r="J492" s="15"/>
      <c r="K492" s="15"/>
      <c r="L492"/>
      <c r="M492"/>
      <c r="N492"/>
    </row>
    <row r="493" spans="9:14" x14ac:dyDescent="0.35">
      <c r="I493" s="15"/>
      <c r="J493" s="15"/>
      <c r="K493" s="15"/>
      <c r="L493"/>
      <c r="M493"/>
      <c r="N493"/>
    </row>
    <row r="494" spans="9:14" x14ac:dyDescent="0.35">
      <c r="I494" s="15"/>
      <c r="J494" s="15"/>
      <c r="K494" s="15"/>
      <c r="L494"/>
      <c r="M494"/>
      <c r="N494"/>
    </row>
    <row r="495" spans="9:14" x14ac:dyDescent="0.35">
      <c r="I495" s="15"/>
      <c r="J495" s="15"/>
      <c r="K495" s="15"/>
      <c r="L495"/>
      <c r="M495"/>
      <c r="N495"/>
    </row>
    <row r="496" spans="9:14" x14ac:dyDescent="0.35">
      <c r="I496" s="15"/>
      <c r="J496" s="15"/>
      <c r="K496" s="15"/>
      <c r="L496"/>
      <c r="M496"/>
      <c r="N496"/>
    </row>
    <row r="497" spans="9:14" x14ac:dyDescent="0.35">
      <c r="I497" s="15"/>
      <c r="J497" s="15"/>
      <c r="K497" s="15"/>
      <c r="L497"/>
      <c r="M497"/>
      <c r="N497"/>
    </row>
    <row r="498" spans="9:14" x14ac:dyDescent="0.35">
      <c r="I498" s="15"/>
      <c r="J498" s="15"/>
      <c r="K498" s="15"/>
      <c r="L498"/>
      <c r="M498"/>
      <c r="N498"/>
    </row>
    <row r="499" spans="9:14" x14ac:dyDescent="0.35">
      <c r="I499" s="15"/>
      <c r="J499" s="15"/>
      <c r="K499" s="15"/>
      <c r="L499"/>
      <c r="M499"/>
      <c r="N499"/>
    </row>
    <row r="500" spans="9:14" x14ac:dyDescent="0.35">
      <c r="I500" s="15"/>
      <c r="J500" s="15"/>
      <c r="K500" s="15"/>
      <c r="L500"/>
      <c r="M500"/>
      <c r="N500"/>
    </row>
    <row r="501" spans="9:14" x14ac:dyDescent="0.35">
      <c r="I501" s="15"/>
      <c r="J501" s="15"/>
      <c r="K501" s="15"/>
      <c r="L501"/>
      <c r="M501"/>
      <c r="N501"/>
    </row>
    <row r="502" spans="9:14" x14ac:dyDescent="0.35">
      <c r="I502" s="15"/>
      <c r="J502" s="15"/>
      <c r="K502" s="15"/>
      <c r="L502"/>
      <c r="M502"/>
      <c r="N502"/>
    </row>
    <row r="503" spans="9:14" x14ac:dyDescent="0.35">
      <c r="I503" s="15"/>
      <c r="J503" s="15"/>
      <c r="K503" s="15"/>
      <c r="L503"/>
      <c r="M503"/>
      <c r="N503"/>
    </row>
    <row r="504" spans="9:14" x14ac:dyDescent="0.35">
      <c r="I504" s="15"/>
      <c r="J504" s="15"/>
      <c r="K504" s="15"/>
      <c r="L504"/>
      <c r="M504"/>
      <c r="N504"/>
    </row>
    <row r="505" spans="9:14" x14ac:dyDescent="0.35">
      <c r="I505" s="15"/>
      <c r="J505" s="15"/>
      <c r="K505" s="15"/>
      <c r="L505"/>
      <c r="M505"/>
      <c r="N505"/>
    </row>
    <row r="506" spans="9:14" x14ac:dyDescent="0.35">
      <c r="I506" s="15"/>
      <c r="J506" s="15"/>
      <c r="K506" s="15"/>
      <c r="L506"/>
      <c r="M506"/>
      <c r="N506"/>
    </row>
    <row r="507" spans="9:14" x14ac:dyDescent="0.35">
      <c r="I507" s="15"/>
      <c r="J507" s="15"/>
      <c r="K507" s="15"/>
      <c r="L507"/>
      <c r="M507"/>
      <c r="N507"/>
    </row>
    <row r="508" spans="9:14" x14ac:dyDescent="0.35">
      <c r="I508" s="15"/>
      <c r="J508" s="15"/>
      <c r="K508" s="15"/>
      <c r="L508"/>
      <c r="M508"/>
      <c r="N508"/>
    </row>
    <row r="509" spans="9:14" x14ac:dyDescent="0.35">
      <c r="I509" s="15"/>
      <c r="J509" s="15"/>
      <c r="K509" s="15"/>
      <c r="L509"/>
      <c r="M509"/>
      <c r="N509"/>
    </row>
    <row r="510" spans="9:14" x14ac:dyDescent="0.35">
      <c r="I510" s="15"/>
      <c r="J510" s="15"/>
      <c r="K510" s="15"/>
      <c r="L510"/>
      <c r="M510"/>
      <c r="N510"/>
    </row>
    <row r="511" spans="9:14" x14ac:dyDescent="0.35">
      <c r="I511" s="15"/>
      <c r="J511" s="15"/>
      <c r="K511" s="15"/>
      <c r="L511"/>
      <c r="M511"/>
      <c r="N511"/>
    </row>
    <row r="512" spans="9:14" x14ac:dyDescent="0.35">
      <c r="I512" s="15"/>
      <c r="J512" s="15"/>
      <c r="K512" s="15"/>
      <c r="L512"/>
      <c r="M512"/>
      <c r="N512"/>
    </row>
    <row r="513" spans="9:14" x14ac:dyDescent="0.35">
      <c r="I513" s="15"/>
      <c r="J513" s="15"/>
      <c r="K513" s="15"/>
      <c r="L513"/>
      <c r="M513"/>
      <c r="N513"/>
    </row>
    <row r="514" spans="9:14" x14ac:dyDescent="0.35">
      <c r="I514" s="15"/>
      <c r="J514" s="15"/>
      <c r="K514" s="15"/>
      <c r="L514"/>
      <c r="M514"/>
      <c r="N514"/>
    </row>
    <row r="515" spans="9:14" x14ac:dyDescent="0.35">
      <c r="I515" s="15"/>
      <c r="J515" s="15"/>
      <c r="K515" s="15"/>
      <c r="L515"/>
      <c r="M515"/>
      <c r="N515"/>
    </row>
    <row r="516" spans="9:14" x14ac:dyDescent="0.35">
      <c r="I516" s="15"/>
      <c r="J516" s="15"/>
      <c r="K516" s="15"/>
      <c r="L516"/>
      <c r="M516"/>
      <c r="N516"/>
    </row>
    <row r="517" spans="9:14" x14ac:dyDescent="0.35">
      <c r="I517" s="15"/>
      <c r="J517" s="15"/>
      <c r="K517" s="15"/>
      <c r="L517"/>
      <c r="M517"/>
      <c r="N517"/>
    </row>
    <row r="518" spans="9:14" x14ac:dyDescent="0.35">
      <c r="I518" s="15"/>
      <c r="J518" s="15"/>
      <c r="K518" s="15"/>
      <c r="L518"/>
      <c r="M518"/>
      <c r="N518"/>
    </row>
    <row r="519" spans="9:14" x14ac:dyDescent="0.35">
      <c r="I519" s="15"/>
      <c r="J519" s="15"/>
      <c r="K519" s="15"/>
      <c r="L519"/>
      <c r="M519"/>
      <c r="N519"/>
    </row>
    <row r="520" spans="9:14" x14ac:dyDescent="0.35">
      <c r="I520" s="15"/>
      <c r="J520" s="15"/>
      <c r="K520" s="15"/>
      <c r="L520"/>
      <c r="M520"/>
      <c r="N520"/>
    </row>
    <row r="521" spans="9:14" x14ac:dyDescent="0.35">
      <c r="I521" s="15"/>
      <c r="J521" s="15"/>
      <c r="K521" s="15"/>
      <c r="L521"/>
      <c r="M521"/>
      <c r="N521"/>
    </row>
    <row r="522" spans="9:14" x14ac:dyDescent="0.35">
      <c r="I522" s="15"/>
      <c r="J522" s="15"/>
      <c r="K522" s="15"/>
      <c r="L522"/>
      <c r="M522"/>
      <c r="N522"/>
    </row>
    <row r="523" spans="9:14" x14ac:dyDescent="0.35">
      <c r="I523" s="15"/>
      <c r="J523" s="15"/>
      <c r="K523" s="15"/>
      <c r="L523"/>
      <c r="M523"/>
      <c r="N523"/>
    </row>
    <row r="524" spans="9:14" x14ac:dyDescent="0.35">
      <c r="I524" s="15"/>
      <c r="J524" s="15"/>
      <c r="K524" s="15"/>
      <c r="L524"/>
      <c r="M524"/>
      <c r="N524"/>
    </row>
    <row r="525" spans="9:14" x14ac:dyDescent="0.35">
      <c r="I525" s="15"/>
      <c r="J525" s="15"/>
      <c r="K525" s="15"/>
      <c r="L525"/>
      <c r="M525"/>
      <c r="N525"/>
    </row>
    <row r="526" spans="9:14" x14ac:dyDescent="0.35">
      <c r="I526" s="15"/>
      <c r="J526" s="15"/>
      <c r="K526" s="15"/>
      <c r="L526"/>
      <c r="M526"/>
      <c r="N526"/>
    </row>
    <row r="527" spans="9:14" x14ac:dyDescent="0.35">
      <c r="I527" s="15"/>
      <c r="J527" s="15"/>
      <c r="K527" s="15"/>
      <c r="L527"/>
      <c r="M527"/>
      <c r="N527"/>
    </row>
    <row r="528" spans="9:14" x14ac:dyDescent="0.35">
      <c r="I528" s="15"/>
      <c r="J528" s="15"/>
      <c r="K528" s="15"/>
      <c r="L528"/>
      <c r="M528"/>
      <c r="N528"/>
    </row>
    <row r="529" spans="9:14" x14ac:dyDescent="0.35">
      <c r="I529" s="15"/>
      <c r="J529" s="15"/>
      <c r="K529" s="15"/>
      <c r="L529"/>
      <c r="M529"/>
      <c r="N529"/>
    </row>
    <row r="530" spans="9:14" x14ac:dyDescent="0.35">
      <c r="I530" s="15"/>
      <c r="J530" s="15"/>
      <c r="K530" s="15"/>
      <c r="L530"/>
      <c r="M530"/>
      <c r="N530"/>
    </row>
    <row r="531" spans="9:14" x14ac:dyDescent="0.35">
      <c r="I531" s="15"/>
      <c r="J531" s="15"/>
      <c r="K531" s="15"/>
      <c r="L531"/>
      <c r="M531"/>
      <c r="N531"/>
    </row>
    <row r="532" spans="9:14" x14ac:dyDescent="0.35">
      <c r="I532" s="15"/>
      <c r="J532" s="15"/>
      <c r="K532" s="15"/>
      <c r="L532"/>
      <c r="M532"/>
      <c r="N532"/>
    </row>
    <row r="533" spans="9:14" x14ac:dyDescent="0.35">
      <c r="I533" s="15"/>
      <c r="J533" s="15"/>
      <c r="K533" s="15"/>
      <c r="L533"/>
      <c r="M533"/>
      <c r="N533"/>
    </row>
    <row r="534" spans="9:14" x14ac:dyDescent="0.35">
      <c r="I534" s="15"/>
      <c r="J534" s="15"/>
      <c r="K534" s="15"/>
      <c r="L534"/>
      <c r="M534"/>
      <c r="N534"/>
    </row>
    <row r="535" spans="9:14" x14ac:dyDescent="0.35">
      <c r="I535" s="15"/>
      <c r="J535" s="15"/>
      <c r="K535" s="15"/>
      <c r="L535"/>
      <c r="M535"/>
      <c r="N535"/>
    </row>
    <row r="536" spans="9:14" x14ac:dyDescent="0.35">
      <c r="I536" s="15"/>
      <c r="J536" s="15"/>
      <c r="K536" s="15"/>
      <c r="L536"/>
      <c r="M536"/>
      <c r="N536"/>
    </row>
    <row r="537" spans="9:14" x14ac:dyDescent="0.35">
      <c r="I537" s="15"/>
      <c r="J537" s="15"/>
      <c r="K537" s="15"/>
      <c r="L537"/>
      <c r="M537"/>
      <c r="N537"/>
    </row>
    <row r="538" spans="9:14" x14ac:dyDescent="0.35">
      <c r="I538" s="15"/>
      <c r="J538" s="15"/>
      <c r="K538" s="15"/>
      <c r="L538"/>
      <c r="M538"/>
      <c r="N538"/>
    </row>
    <row r="539" spans="9:14" x14ac:dyDescent="0.35">
      <c r="I539" s="15"/>
      <c r="J539" s="15"/>
      <c r="K539" s="15"/>
      <c r="L539"/>
      <c r="M539"/>
      <c r="N539"/>
    </row>
    <row r="540" spans="9:14" x14ac:dyDescent="0.35">
      <c r="I540" s="15"/>
      <c r="J540" s="15"/>
      <c r="K540" s="15"/>
      <c r="L540"/>
      <c r="M540"/>
      <c r="N540"/>
    </row>
    <row r="541" spans="9:14" x14ac:dyDescent="0.35">
      <c r="I541" s="15"/>
      <c r="J541" s="15"/>
      <c r="K541" s="15"/>
      <c r="L541"/>
      <c r="M541"/>
      <c r="N541"/>
    </row>
    <row r="542" spans="9:14" x14ac:dyDescent="0.35">
      <c r="I542" s="15"/>
      <c r="J542" s="15"/>
      <c r="K542" s="15"/>
      <c r="L542"/>
      <c r="M542"/>
      <c r="N542"/>
    </row>
    <row r="543" spans="9:14" x14ac:dyDescent="0.35">
      <c r="I543" s="15"/>
      <c r="J543" s="15"/>
      <c r="K543" s="15"/>
      <c r="L543"/>
      <c r="M543"/>
      <c r="N543"/>
    </row>
    <row r="544" spans="9:14" x14ac:dyDescent="0.35">
      <c r="I544" s="15"/>
      <c r="J544" s="15"/>
      <c r="K544" s="15"/>
      <c r="L544"/>
      <c r="M544"/>
      <c r="N544"/>
    </row>
    <row r="545" spans="9:14" x14ac:dyDescent="0.35">
      <c r="I545" s="15"/>
      <c r="J545" s="15"/>
      <c r="K545" s="15"/>
      <c r="L545"/>
      <c r="M545"/>
      <c r="N545"/>
    </row>
    <row r="546" spans="9:14" x14ac:dyDescent="0.35">
      <c r="I546" s="15"/>
      <c r="J546" s="15"/>
      <c r="K546" s="15"/>
      <c r="L546"/>
      <c r="M546"/>
      <c r="N546"/>
    </row>
    <row r="547" spans="9:14" x14ac:dyDescent="0.35">
      <c r="I547" s="15"/>
      <c r="J547" s="15"/>
      <c r="K547" s="15"/>
      <c r="L547"/>
      <c r="M547"/>
      <c r="N547"/>
    </row>
    <row r="548" spans="9:14" x14ac:dyDescent="0.35">
      <c r="I548" s="15"/>
      <c r="J548" s="15"/>
      <c r="K548" s="15"/>
      <c r="L548"/>
      <c r="M548"/>
      <c r="N548"/>
    </row>
    <row r="549" spans="9:14" x14ac:dyDescent="0.35">
      <c r="I549" s="15"/>
      <c r="J549" s="15"/>
      <c r="K549" s="15"/>
      <c r="L549"/>
      <c r="M549"/>
      <c r="N549"/>
    </row>
    <row r="550" spans="9:14" x14ac:dyDescent="0.35">
      <c r="I550" s="15"/>
      <c r="J550" s="15"/>
      <c r="K550" s="15"/>
      <c r="L550"/>
      <c r="M550"/>
      <c r="N550"/>
    </row>
    <row r="551" spans="9:14" x14ac:dyDescent="0.35">
      <c r="I551" s="15"/>
      <c r="J551" s="15"/>
      <c r="K551" s="15"/>
      <c r="L551"/>
      <c r="M551"/>
      <c r="N551"/>
    </row>
    <row r="552" spans="9:14" x14ac:dyDescent="0.35">
      <c r="I552" s="15"/>
      <c r="J552" s="15"/>
      <c r="K552" s="15"/>
      <c r="L552"/>
      <c r="M552"/>
      <c r="N552"/>
    </row>
    <row r="553" spans="9:14" x14ac:dyDescent="0.35">
      <c r="I553" s="15"/>
      <c r="J553" s="15"/>
      <c r="K553" s="15"/>
      <c r="L553"/>
      <c r="M553"/>
      <c r="N553"/>
    </row>
    <row r="554" spans="9:14" x14ac:dyDescent="0.35">
      <c r="I554" s="15"/>
      <c r="J554" s="15"/>
      <c r="K554" s="15"/>
      <c r="L554"/>
      <c r="M554"/>
      <c r="N554"/>
    </row>
    <row r="555" spans="9:14" x14ac:dyDescent="0.35">
      <c r="I555" s="15"/>
      <c r="J555" s="15"/>
      <c r="K555" s="15"/>
      <c r="L555"/>
      <c r="M555"/>
      <c r="N555"/>
    </row>
    <row r="556" spans="9:14" x14ac:dyDescent="0.35">
      <c r="I556" s="15"/>
      <c r="J556" s="15"/>
      <c r="K556" s="15"/>
      <c r="L556"/>
      <c r="M556"/>
      <c r="N556"/>
    </row>
    <row r="557" spans="9:14" x14ac:dyDescent="0.35">
      <c r="I557" s="15"/>
      <c r="J557" s="15"/>
      <c r="K557" s="15"/>
      <c r="L557"/>
      <c r="M557"/>
      <c r="N557"/>
    </row>
    <row r="558" spans="9:14" x14ac:dyDescent="0.35">
      <c r="I558" s="15"/>
      <c r="J558" s="15"/>
      <c r="K558" s="15"/>
      <c r="L558"/>
      <c r="M558"/>
      <c r="N558"/>
    </row>
    <row r="559" spans="9:14" x14ac:dyDescent="0.35">
      <c r="I559" s="15"/>
      <c r="J559" s="15"/>
      <c r="K559" s="15"/>
      <c r="L559"/>
      <c r="M559"/>
      <c r="N559"/>
    </row>
    <row r="560" spans="9:14" x14ac:dyDescent="0.35">
      <c r="I560" s="15"/>
      <c r="J560" s="15"/>
      <c r="K560" s="15"/>
      <c r="L560"/>
      <c r="M560"/>
      <c r="N560"/>
    </row>
    <row r="561" spans="9:14" x14ac:dyDescent="0.35">
      <c r="I561" s="15"/>
      <c r="J561" s="15"/>
      <c r="K561" s="15"/>
      <c r="L561"/>
      <c r="M561"/>
      <c r="N561"/>
    </row>
    <row r="562" spans="9:14" x14ac:dyDescent="0.35">
      <c r="I562" s="15"/>
      <c r="J562" s="15"/>
      <c r="K562" s="15"/>
      <c r="L562"/>
      <c r="M562"/>
      <c r="N562"/>
    </row>
    <row r="563" spans="9:14" x14ac:dyDescent="0.35">
      <c r="I563" s="15"/>
      <c r="J563" s="15"/>
      <c r="K563" s="15"/>
      <c r="L563"/>
      <c r="M563"/>
      <c r="N563"/>
    </row>
    <row r="564" spans="9:14" x14ac:dyDescent="0.35">
      <c r="I564" s="15"/>
      <c r="J564" s="15"/>
      <c r="K564" s="15"/>
      <c r="L564"/>
      <c r="M564"/>
      <c r="N564"/>
    </row>
    <row r="565" spans="9:14" x14ac:dyDescent="0.35">
      <c r="I565" s="15"/>
      <c r="J565" s="15"/>
      <c r="K565" s="15"/>
      <c r="L565"/>
      <c r="M565"/>
      <c r="N565"/>
    </row>
    <row r="566" spans="9:14" x14ac:dyDescent="0.35">
      <c r="I566" s="15"/>
      <c r="J566" s="15"/>
      <c r="K566" s="15"/>
      <c r="L566"/>
      <c r="M566"/>
      <c r="N566"/>
    </row>
    <row r="567" spans="9:14" x14ac:dyDescent="0.35">
      <c r="I567" s="15"/>
      <c r="J567" s="15"/>
      <c r="K567" s="15"/>
      <c r="L567"/>
      <c r="M567"/>
      <c r="N567"/>
    </row>
    <row r="568" spans="9:14" x14ac:dyDescent="0.35">
      <c r="I568" s="15"/>
      <c r="J568" s="15"/>
      <c r="K568" s="15"/>
      <c r="L568"/>
      <c r="M568"/>
      <c r="N568"/>
    </row>
    <row r="569" spans="9:14" x14ac:dyDescent="0.35">
      <c r="I569" s="15"/>
      <c r="J569" s="15"/>
      <c r="K569" s="15"/>
      <c r="L569"/>
      <c r="M569"/>
      <c r="N569"/>
    </row>
    <row r="570" spans="9:14" x14ac:dyDescent="0.35">
      <c r="I570" s="15"/>
      <c r="J570" s="15"/>
      <c r="K570" s="15"/>
      <c r="L570"/>
      <c r="M570"/>
      <c r="N570"/>
    </row>
    <row r="571" spans="9:14" x14ac:dyDescent="0.35">
      <c r="I571" s="15"/>
      <c r="J571" s="15"/>
      <c r="K571" s="15"/>
      <c r="L571"/>
      <c r="M571"/>
      <c r="N571"/>
    </row>
    <row r="572" spans="9:14" x14ac:dyDescent="0.35">
      <c r="I572" s="15"/>
      <c r="J572" s="15"/>
      <c r="K572" s="15"/>
      <c r="L572"/>
      <c r="M572"/>
      <c r="N572"/>
    </row>
    <row r="573" spans="9:14" x14ac:dyDescent="0.35">
      <c r="I573" s="15"/>
      <c r="J573" s="15"/>
      <c r="K573" s="15"/>
      <c r="L573"/>
      <c r="M573"/>
      <c r="N573"/>
    </row>
    <row r="574" spans="9:14" x14ac:dyDescent="0.35">
      <c r="I574" s="15"/>
      <c r="J574" s="15"/>
      <c r="K574" s="15"/>
      <c r="L574"/>
      <c r="M574"/>
      <c r="N574"/>
    </row>
    <row r="575" spans="9:14" x14ac:dyDescent="0.35">
      <c r="I575" s="15"/>
      <c r="J575" s="15"/>
      <c r="K575" s="15"/>
      <c r="L575"/>
      <c r="M575"/>
      <c r="N575"/>
    </row>
    <row r="576" spans="9:14" x14ac:dyDescent="0.35">
      <c r="I576" s="15"/>
      <c r="J576" s="15"/>
      <c r="K576" s="15"/>
      <c r="L576"/>
      <c r="M576"/>
      <c r="N576"/>
    </row>
    <row r="577" spans="9:14" x14ac:dyDescent="0.35">
      <c r="I577" s="15"/>
      <c r="J577" s="15"/>
      <c r="K577" s="15"/>
      <c r="L577"/>
      <c r="M577"/>
      <c r="N577"/>
    </row>
    <row r="578" spans="9:14" x14ac:dyDescent="0.35">
      <c r="I578" s="15"/>
      <c r="J578" s="15"/>
      <c r="K578" s="15"/>
      <c r="L578"/>
      <c r="M578"/>
      <c r="N578"/>
    </row>
    <row r="579" spans="9:14" x14ac:dyDescent="0.35">
      <c r="I579" s="15"/>
      <c r="J579" s="15"/>
      <c r="K579" s="15"/>
      <c r="L579"/>
      <c r="M579"/>
      <c r="N579"/>
    </row>
    <row r="580" spans="9:14" x14ac:dyDescent="0.35">
      <c r="I580" s="15"/>
      <c r="J580" s="15"/>
      <c r="K580" s="15"/>
      <c r="L580"/>
      <c r="M580"/>
      <c r="N580"/>
    </row>
    <row r="581" spans="9:14" x14ac:dyDescent="0.35">
      <c r="I581" s="15"/>
      <c r="J581" s="15"/>
      <c r="K581" s="15"/>
      <c r="L581"/>
      <c r="M581"/>
      <c r="N581"/>
    </row>
    <row r="582" spans="9:14" x14ac:dyDescent="0.35">
      <c r="I582" s="15"/>
      <c r="J582" s="15"/>
      <c r="K582" s="15"/>
      <c r="L582"/>
      <c r="M582"/>
      <c r="N582"/>
    </row>
    <row r="583" spans="9:14" x14ac:dyDescent="0.35">
      <c r="I583" s="15"/>
      <c r="J583" s="15"/>
      <c r="K583" s="15"/>
      <c r="L583"/>
      <c r="M583"/>
      <c r="N583"/>
    </row>
    <row r="584" spans="9:14" x14ac:dyDescent="0.35">
      <c r="I584" s="15"/>
      <c r="J584" s="15"/>
      <c r="K584" s="15"/>
      <c r="L584"/>
      <c r="M584"/>
      <c r="N584"/>
    </row>
    <row r="585" spans="9:14" x14ac:dyDescent="0.35">
      <c r="I585" s="15"/>
      <c r="J585" s="15"/>
      <c r="K585" s="15"/>
      <c r="L585"/>
      <c r="M585"/>
      <c r="N585"/>
    </row>
    <row r="586" spans="9:14" x14ac:dyDescent="0.35">
      <c r="I586" s="15"/>
      <c r="J586" s="15"/>
      <c r="K586" s="15"/>
      <c r="L586"/>
      <c r="M586"/>
      <c r="N586"/>
    </row>
    <row r="587" spans="9:14" x14ac:dyDescent="0.35">
      <c r="I587" s="15"/>
      <c r="J587" s="15"/>
      <c r="K587" s="15"/>
      <c r="L587"/>
      <c r="M587"/>
      <c r="N587"/>
    </row>
    <row r="588" spans="9:14" x14ac:dyDescent="0.35">
      <c r="I588" s="15"/>
      <c r="J588" s="15"/>
      <c r="K588" s="15"/>
      <c r="L588"/>
      <c r="M588"/>
      <c r="N588"/>
    </row>
    <row r="589" spans="9:14" x14ac:dyDescent="0.35">
      <c r="I589" s="15"/>
      <c r="J589" s="15"/>
      <c r="K589" s="15"/>
      <c r="L589"/>
      <c r="M589"/>
      <c r="N589"/>
    </row>
    <row r="590" spans="9:14" x14ac:dyDescent="0.35">
      <c r="I590" s="15"/>
      <c r="J590" s="15"/>
      <c r="K590" s="15"/>
      <c r="L590"/>
      <c r="M590"/>
      <c r="N590"/>
    </row>
    <row r="591" spans="9:14" x14ac:dyDescent="0.35">
      <c r="I591" s="15"/>
      <c r="J591" s="15"/>
      <c r="K591" s="15"/>
      <c r="L591"/>
      <c r="M591"/>
      <c r="N591"/>
    </row>
    <row r="592" spans="9:14" x14ac:dyDescent="0.35">
      <c r="I592" s="15"/>
      <c r="J592" s="15"/>
      <c r="K592" s="15"/>
      <c r="L592"/>
      <c r="M592"/>
      <c r="N592"/>
    </row>
    <row r="593" spans="9:14" x14ac:dyDescent="0.35">
      <c r="I593" s="15"/>
      <c r="J593" s="15"/>
      <c r="K593" s="15"/>
      <c r="L593"/>
      <c r="M593"/>
      <c r="N593"/>
    </row>
    <row r="594" spans="9:14" x14ac:dyDescent="0.35">
      <c r="I594" s="15"/>
      <c r="J594" s="15"/>
      <c r="K594" s="15"/>
      <c r="L594"/>
      <c r="M594"/>
      <c r="N594"/>
    </row>
    <row r="595" spans="9:14" x14ac:dyDescent="0.35">
      <c r="I595" s="15"/>
      <c r="J595" s="15"/>
      <c r="K595" s="15"/>
      <c r="L595"/>
      <c r="M595"/>
      <c r="N595"/>
    </row>
    <row r="596" spans="9:14" x14ac:dyDescent="0.35">
      <c r="I596" s="15"/>
      <c r="J596" s="15"/>
      <c r="K596" s="15"/>
      <c r="L596"/>
      <c r="M596"/>
      <c r="N596"/>
    </row>
    <row r="597" spans="9:14" x14ac:dyDescent="0.35">
      <c r="I597" s="15"/>
      <c r="J597" s="15"/>
      <c r="K597" s="15"/>
      <c r="L597"/>
      <c r="M597"/>
      <c r="N597"/>
    </row>
    <row r="598" spans="9:14" x14ac:dyDescent="0.35">
      <c r="I598" s="15"/>
      <c r="J598" s="15"/>
      <c r="K598" s="15"/>
      <c r="L598"/>
      <c r="M598"/>
      <c r="N598"/>
    </row>
    <row r="599" spans="9:14" x14ac:dyDescent="0.35">
      <c r="I599" s="15"/>
      <c r="J599" s="15"/>
      <c r="K599" s="15"/>
      <c r="L599"/>
      <c r="M599"/>
      <c r="N599"/>
    </row>
    <row r="600" spans="9:14" x14ac:dyDescent="0.35">
      <c r="I600" s="15"/>
      <c r="J600" s="15"/>
      <c r="K600" s="15"/>
      <c r="L600"/>
      <c r="M600"/>
      <c r="N600"/>
    </row>
    <row r="601" spans="9:14" x14ac:dyDescent="0.35">
      <c r="I601" s="15"/>
      <c r="J601" s="15"/>
      <c r="K601" s="15"/>
      <c r="L601"/>
      <c r="M601"/>
      <c r="N601"/>
    </row>
    <row r="602" spans="9:14" x14ac:dyDescent="0.35">
      <c r="I602" s="15"/>
      <c r="J602" s="15"/>
      <c r="K602" s="15"/>
      <c r="L602"/>
      <c r="M602"/>
      <c r="N602"/>
    </row>
    <row r="603" spans="9:14" x14ac:dyDescent="0.35">
      <c r="I603" s="15"/>
      <c r="J603" s="15"/>
      <c r="K603" s="15"/>
      <c r="L603"/>
      <c r="M603"/>
      <c r="N603"/>
    </row>
    <row r="604" spans="9:14" x14ac:dyDescent="0.35">
      <c r="I604" s="15"/>
      <c r="J604" s="15"/>
      <c r="K604" s="15"/>
      <c r="L604"/>
      <c r="M604"/>
      <c r="N604"/>
    </row>
    <row r="605" spans="9:14" x14ac:dyDescent="0.35">
      <c r="I605" s="15"/>
      <c r="J605" s="15"/>
      <c r="K605" s="15"/>
      <c r="L605"/>
      <c r="M605"/>
      <c r="N605"/>
    </row>
    <row r="606" spans="9:14" x14ac:dyDescent="0.35">
      <c r="I606" s="15"/>
      <c r="J606" s="15"/>
      <c r="K606" s="15"/>
      <c r="L606"/>
      <c r="M606"/>
      <c r="N606"/>
    </row>
    <row r="607" spans="9:14" x14ac:dyDescent="0.35">
      <c r="I607" s="15"/>
      <c r="J607" s="15"/>
      <c r="K607" s="15"/>
      <c r="L607"/>
      <c r="M607"/>
      <c r="N607"/>
    </row>
    <row r="608" spans="9:14" x14ac:dyDescent="0.35">
      <c r="I608" s="15"/>
      <c r="J608" s="15"/>
      <c r="K608" s="15"/>
      <c r="L608"/>
      <c r="M608"/>
      <c r="N608"/>
    </row>
    <row r="609" spans="9:14" x14ac:dyDescent="0.35">
      <c r="I609" s="15"/>
      <c r="J609" s="15"/>
      <c r="K609" s="15"/>
      <c r="L609"/>
      <c r="M609"/>
      <c r="N609"/>
    </row>
    <row r="610" spans="9:14" x14ac:dyDescent="0.35">
      <c r="I610" s="15"/>
      <c r="J610" s="15"/>
      <c r="K610" s="15"/>
      <c r="L610"/>
      <c r="M610"/>
      <c r="N610"/>
    </row>
    <row r="611" spans="9:14" x14ac:dyDescent="0.35">
      <c r="I611" s="15"/>
      <c r="J611" s="15"/>
      <c r="K611" s="15"/>
      <c r="L611"/>
      <c r="M611"/>
      <c r="N611"/>
    </row>
    <row r="612" spans="9:14" x14ac:dyDescent="0.35">
      <c r="I612" s="15"/>
      <c r="J612" s="15"/>
      <c r="K612" s="15"/>
      <c r="L612"/>
      <c r="M612"/>
      <c r="N612"/>
    </row>
    <row r="613" spans="9:14" x14ac:dyDescent="0.35">
      <c r="I613" s="15"/>
      <c r="J613" s="15"/>
      <c r="K613" s="15"/>
      <c r="L613"/>
      <c r="M613"/>
      <c r="N613"/>
    </row>
    <row r="614" spans="9:14" x14ac:dyDescent="0.35">
      <c r="I614" s="15"/>
      <c r="J614" s="15"/>
      <c r="K614" s="15"/>
      <c r="L614"/>
      <c r="M614"/>
      <c r="N614"/>
    </row>
    <row r="615" spans="9:14" x14ac:dyDescent="0.35">
      <c r="I615" s="15"/>
      <c r="J615" s="15"/>
      <c r="K615" s="15"/>
      <c r="L615"/>
      <c r="M615"/>
      <c r="N615"/>
    </row>
    <row r="616" spans="9:14" x14ac:dyDescent="0.35">
      <c r="I616" s="15"/>
      <c r="J616" s="15"/>
      <c r="K616" s="15"/>
      <c r="L616"/>
      <c r="M616"/>
      <c r="N616"/>
    </row>
    <row r="617" spans="9:14" x14ac:dyDescent="0.35">
      <c r="I617" s="15"/>
      <c r="J617" s="15"/>
      <c r="K617" s="15"/>
      <c r="L617"/>
      <c r="M617"/>
      <c r="N617"/>
    </row>
    <row r="618" spans="9:14" x14ac:dyDescent="0.35">
      <c r="I618" s="15"/>
      <c r="J618" s="15"/>
      <c r="K618" s="15"/>
      <c r="L618"/>
      <c r="M618"/>
      <c r="N618"/>
    </row>
    <row r="619" spans="9:14" x14ac:dyDescent="0.35">
      <c r="I619" s="15"/>
      <c r="J619" s="15"/>
      <c r="K619" s="15"/>
      <c r="L619"/>
      <c r="M619"/>
      <c r="N619"/>
    </row>
    <row r="620" spans="9:14" x14ac:dyDescent="0.35">
      <c r="I620" s="15"/>
      <c r="J620" s="15"/>
      <c r="K620" s="15"/>
      <c r="L620"/>
      <c r="M620"/>
      <c r="N620"/>
    </row>
    <row r="621" spans="9:14" x14ac:dyDescent="0.35">
      <c r="I621" s="15"/>
      <c r="J621" s="15"/>
      <c r="K621" s="15"/>
      <c r="L621"/>
      <c r="M621"/>
      <c r="N621"/>
    </row>
    <row r="622" spans="9:14" x14ac:dyDescent="0.35">
      <c r="I622" s="15"/>
      <c r="J622" s="15"/>
      <c r="K622" s="15"/>
      <c r="L622"/>
      <c r="M622"/>
      <c r="N622"/>
    </row>
    <row r="623" spans="9:14" x14ac:dyDescent="0.35">
      <c r="I623" s="15"/>
      <c r="J623" s="15"/>
      <c r="K623" s="15"/>
      <c r="L623"/>
      <c r="M623"/>
      <c r="N623"/>
    </row>
    <row r="624" spans="9:14" x14ac:dyDescent="0.35">
      <c r="I624" s="15"/>
      <c r="J624" s="15"/>
      <c r="K624" s="15"/>
      <c r="L624"/>
      <c r="M624"/>
      <c r="N624"/>
    </row>
    <row r="625" spans="9:14" x14ac:dyDescent="0.35">
      <c r="I625" s="15"/>
      <c r="J625" s="15"/>
      <c r="K625" s="15"/>
      <c r="L625"/>
      <c r="M625"/>
      <c r="N625"/>
    </row>
    <row r="626" spans="9:14" x14ac:dyDescent="0.35">
      <c r="I626" s="15"/>
      <c r="J626" s="15"/>
      <c r="K626" s="15"/>
      <c r="L626"/>
      <c r="M626"/>
      <c r="N626"/>
    </row>
    <row r="627" spans="9:14" x14ac:dyDescent="0.35">
      <c r="I627" s="15"/>
      <c r="J627" s="15"/>
      <c r="K627" s="15"/>
      <c r="L627"/>
      <c r="M627"/>
      <c r="N627"/>
    </row>
    <row r="628" spans="9:14" x14ac:dyDescent="0.35">
      <c r="I628" s="15"/>
      <c r="J628" s="15"/>
      <c r="K628" s="15"/>
      <c r="L628"/>
      <c r="M628"/>
      <c r="N628"/>
    </row>
    <row r="629" spans="9:14" x14ac:dyDescent="0.35">
      <c r="I629" s="15"/>
      <c r="J629" s="15"/>
      <c r="K629" s="15"/>
      <c r="L629"/>
      <c r="M629"/>
      <c r="N629"/>
    </row>
    <row r="630" spans="9:14" x14ac:dyDescent="0.35">
      <c r="I630" s="15"/>
      <c r="J630" s="15"/>
      <c r="K630" s="15"/>
      <c r="L630"/>
      <c r="M630"/>
      <c r="N630"/>
    </row>
    <row r="631" spans="9:14" x14ac:dyDescent="0.35">
      <c r="I631" s="15"/>
      <c r="J631" s="15"/>
      <c r="K631" s="15"/>
      <c r="L631"/>
      <c r="M631"/>
      <c r="N631"/>
    </row>
    <row r="632" spans="9:14" x14ac:dyDescent="0.35">
      <c r="I632" s="15"/>
      <c r="J632" s="15"/>
      <c r="K632" s="15"/>
      <c r="L632"/>
      <c r="M632"/>
      <c r="N632"/>
    </row>
    <row r="633" spans="9:14" x14ac:dyDescent="0.35">
      <c r="I633" s="15"/>
      <c r="J633" s="15"/>
      <c r="K633" s="15"/>
      <c r="L633"/>
      <c r="M633"/>
      <c r="N633"/>
    </row>
    <row r="634" spans="9:14" x14ac:dyDescent="0.35">
      <c r="I634" s="15"/>
      <c r="J634" s="15"/>
      <c r="K634" s="15"/>
      <c r="L634"/>
      <c r="M634"/>
      <c r="N634"/>
    </row>
    <row r="635" spans="9:14" x14ac:dyDescent="0.35">
      <c r="I635" s="15"/>
      <c r="J635" s="15"/>
      <c r="K635" s="15"/>
      <c r="L635"/>
      <c r="M635"/>
      <c r="N635"/>
    </row>
    <row r="636" spans="9:14" x14ac:dyDescent="0.35">
      <c r="I636" s="15"/>
      <c r="J636" s="15"/>
      <c r="K636" s="15"/>
      <c r="L636"/>
      <c r="M636"/>
      <c r="N636"/>
    </row>
    <row r="637" spans="9:14" x14ac:dyDescent="0.35">
      <c r="I637" s="15"/>
      <c r="J637" s="15"/>
      <c r="K637" s="15"/>
      <c r="L637"/>
      <c r="M637"/>
      <c r="N637"/>
    </row>
    <row r="638" spans="9:14" x14ac:dyDescent="0.35">
      <c r="I638" s="15"/>
      <c r="J638" s="15"/>
      <c r="K638" s="15"/>
      <c r="L638"/>
      <c r="M638"/>
      <c r="N638"/>
    </row>
    <row r="639" spans="9:14" x14ac:dyDescent="0.35">
      <c r="I639" s="15"/>
      <c r="J639" s="15"/>
      <c r="K639" s="15"/>
      <c r="L639"/>
      <c r="M639"/>
      <c r="N639"/>
    </row>
    <row r="640" spans="9:14" x14ac:dyDescent="0.35">
      <c r="I640" s="15"/>
      <c r="J640" s="15"/>
      <c r="K640" s="15"/>
      <c r="L640"/>
      <c r="M640"/>
      <c r="N640"/>
    </row>
    <row r="641" spans="9:14" x14ac:dyDescent="0.35">
      <c r="I641" s="15"/>
      <c r="J641" s="15"/>
      <c r="K641" s="15"/>
      <c r="L641"/>
      <c r="M641"/>
      <c r="N641"/>
    </row>
    <row r="642" spans="9:14" x14ac:dyDescent="0.35">
      <c r="I642" s="15"/>
      <c r="J642" s="15"/>
      <c r="K642" s="15"/>
      <c r="L642"/>
      <c r="M642"/>
      <c r="N642"/>
    </row>
    <row r="643" spans="9:14" x14ac:dyDescent="0.35">
      <c r="I643" s="15"/>
      <c r="J643" s="15"/>
      <c r="K643" s="15"/>
      <c r="L643"/>
      <c r="M643"/>
      <c r="N643"/>
    </row>
    <row r="644" spans="9:14" x14ac:dyDescent="0.35">
      <c r="I644" s="15"/>
      <c r="J644" s="15"/>
      <c r="K644" s="15"/>
      <c r="L644"/>
      <c r="M644"/>
      <c r="N644"/>
    </row>
    <row r="645" spans="9:14" x14ac:dyDescent="0.35">
      <c r="I645" s="15"/>
      <c r="J645" s="15"/>
      <c r="K645" s="15"/>
      <c r="L645"/>
      <c r="M645"/>
      <c r="N645"/>
    </row>
    <row r="646" spans="9:14" x14ac:dyDescent="0.35">
      <c r="I646" s="15"/>
      <c r="J646" s="15"/>
      <c r="K646" s="15"/>
      <c r="L646"/>
      <c r="M646"/>
      <c r="N646"/>
    </row>
    <row r="647" spans="9:14" x14ac:dyDescent="0.35">
      <c r="I647" s="15"/>
      <c r="J647" s="15"/>
      <c r="K647" s="15"/>
      <c r="L647"/>
      <c r="M647"/>
      <c r="N647"/>
    </row>
    <row r="648" spans="9:14" x14ac:dyDescent="0.35">
      <c r="I648" s="15"/>
      <c r="J648" s="15"/>
      <c r="K648" s="15"/>
      <c r="L648"/>
      <c r="M648"/>
      <c r="N648"/>
    </row>
    <row r="649" spans="9:14" x14ac:dyDescent="0.35">
      <c r="I649" s="15"/>
      <c r="J649" s="15"/>
      <c r="K649" s="15"/>
      <c r="L649"/>
      <c r="M649"/>
      <c r="N649"/>
    </row>
    <row r="650" spans="9:14" x14ac:dyDescent="0.35">
      <c r="I650" s="15"/>
      <c r="J650" s="15"/>
      <c r="K650" s="15"/>
      <c r="L650"/>
      <c r="M650"/>
      <c r="N650"/>
    </row>
    <row r="651" spans="9:14" x14ac:dyDescent="0.35">
      <c r="I651" s="15"/>
      <c r="J651" s="15"/>
      <c r="K651" s="15"/>
      <c r="L651"/>
      <c r="M651"/>
      <c r="N651"/>
    </row>
    <row r="652" spans="9:14" x14ac:dyDescent="0.35">
      <c r="I652" s="15"/>
      <c r="J652" s="15"/>
      <c r="K652" s="15"/>
      <c r="L652"/>
      <c r="M652"/>
      <c r="N652"/>
    </row>
    <row r="653" spans="9:14" x14ac:dyDescent="0.35">
      <c r="I653" s="15"/>
      <c r="J653" s="15"/>
      <c r="K653" s="15"/>
      <c r="L653"/>
      <c r="M653"/>
      <c r="N653"/>
    </row>
    <row r="654" spans="9:14" x14ac:dyDescent="0.35">
      <c r="I654" s="15"/>
      <c r="J654" s="15"/>
      <c r="K654" s="15"/>
      <c r="L654"/>
      <c r="M654"/>
      <c r="N654"/>
    </row>
    <row r="655" spans="9:14" x14ac:dyDescent="0.35">
      <c r="I655" s="15"/>
      <c r="J655" s="15"/>
      <c r="K655" s="15"/>
      <c r="L655"/>
      <c r="M655"/>
      <c r="N655"/>
    </row>
    <row r="656" spans="9:14" x14ac:dyDescent="0.35">
      <c r="I656" s="15"/>
      <c r="J656" s="15"/>
      <c r="K656" s="15"/>
      <c r="L656"/>
      <c r="M656"/>
      <c r="N656"/>
    </row>
    <row r="657" spans="9:14" x14ac:dyDescent="0.35">
      <c r="I657" s="15"/>
      <c r="J657" s="15"/>
      <c r="K657" s="15"/>
      <c r="L657"/>
      <c r="M657"/>
      <c r="N657"/>
    </row>
    <row r="658" spans="9:14" x14ac:dyDescent="0.35">
      <c r="I658" s="15"/>
      <c r="J658" s="15"/>
      <c r="K658" s="15"/>
      <c r="L658"/>
      <c r="M658"/>
      <c r="N658"/>
    </row>
    <row r="659" spans="9:14" x14ac:dyDescent="0.35">
      <c r="I659" s="15"/>
      <c r="J659" s="15"/>
      <c r="K659" s="15"/>
      <c r="L659"/>
      <c r="M659"/>
      <c r="N659"/>
    </row>
    <row r="660" spans="9:14" x14ac:dyDescent="0.35">
      <c r="I660" s="15"/>
      <c r="J660" s="15"/>
      <c r="K660" s="15"/>
      <c r="L660"/>
      <c r="M660"/>
      <c r="N660"/>
    </row>
    <row r="661" spans="9:14" x14ac:dyDescent="0.35">
      <c r="I661" s="15"/>
      <c r="J661" s="15"/>
      <c r="K661" s="15"/>
      <c r="L661"/>
      <c r="M661"/>
      <c r="N661"/>
    </row>
    <row r="662" spans="9:14" x14ac:dyDescent="0.35">
      <c r="I662" s="15"/>
      <c r="J662" s="15"/>
      <c r="K662" s="15"/>
      <c r="L662"/>
      <c r="M662"/>
      <c r="N662"/>
    </row>
    <row r="663" spans="9:14" x14ac:dyDescent="0.35">
      <c r="I663" s="15"/>
      <c r="J663" s="15"/>
      <c r="K663" s="15"/>
      <c r="L663"/>
      <c r="M663"/>
      <c r="N663"/>
    </row>
    <row r="664" spans="9:14" x14ac:dyDescent="0.35">
      <c r="I664" s="15"/>
      <c r="J664" s="15"/>
      <c r="K664" s="15"/>
      <c r="L664"/>
      <c r="M664"/>
      <c r="N664"/>
    </row>
    <row r="665" spans="9:14" x14ac:dyDescent="0.35">
      <c r="I665" s="15"/>
      <c r="J665" s="15"/>
      <c r="K665" s="15"/>
      <c r="L665"/>
      <c r="M665"/>
      <c r="N665"/>
    </row>
    <row r="666" spans="9:14" x14ac:dyDescent="0.35">
      <c r="I666" s="15"/>
      <c r="J666" s="15"/>
      <c r="K666" s="15"/>
      <c r="L666"/>
      <c r="M666"/>
      <c r="N666"/>
    </row>
    <row r="667" spans="9:14" x14ac:dyDescent="0.35">
      <c r="I667" s="15"/>
      <c r="J667" s="15"/>
      <c r="K667" s="15"/>
      <c r="L667"/>
      <c r="M667"/>
      <c r="N667"/>
    </row>
    <row r="668" spans="9:14" x14ac:dyDescent="0.35">
      <c r="I668" s="15"/>
      <c r="J668" s="15"/>
      <c r="K668" s="15"/>
      <c r="L668"/>
      <c r="M668"/>
      <c r="N668"/>
    </row>
    <row r="669" spans="9:14" x14ac:dyDescent="0.35">
      <c r="I669" s="15"/>
      <c r="J669" s="15"/>
      <c r="K669" s="15"/>
      <c r="L669"/>
      <c r="M669"/>
      <c r="N669"/>
    </row>
    <row r="670" spans="9:14" x14ac:dyDescent="0.35">
      <c r="I670" s="15"/>
      <c r="J670" s="15"/>
      <c r="K670" s="15"/>
      <c r="L670"/>
      <c r="M670"/>
      <c r="N670"/>
    </row>
    <row r="671" spans="9:14" x14ac:dyDescent="0.35">
      <c r="I671" s="15"/>
      <c r="J671" s="15"/>
      <c r="K671" s="15"/>
      <c r="L671"/>
      <c r="M671"/>
      <c r="N671"/>
    </row>
    <row r="672" spans="9:14" x14ac:dyDescent="0.35">
      <c r="I672" s="15"/>
      <c r="J672" s="15"/>
      <c r="K672" s="15"/>
      <c r="L672"/>
      <c r="M672"/>
      <c r="N672"/>
    </row>
    <row r="673" spans="9:14" x14ac:dyDescent="0.35">
      <c r="I673" s="15"/>
      <c r="J673" s="15"/>
      <c r="K673" s="15"/>
      <c r="L673"/>
      <c r="M673"/>
      <c r="N673"/>
    </row>
    <row r="674" spans="9:14" x14ac:dyDescent="0.35">
      <c r="I674" s="15"/>
      <c r="J674" s="15"/>
      <c r="K674" s="15"/>
      <c r="L674"/>
      <c r="M674"/>
      <c r="N674"/>
    </row>
    <row r="675" spans="9:14" x14ac:dyDescent="0.35">
      <c r="I675" s="15"/>
      <c r="J675" s="15"/>
      <c r="K675" s="15"/>
      <c r="L675"/>
      <c r="M675"/>
      <c r="N675"/>
    </row>
    <row r="676" spans="9:14" x14ac:dyDescent="0.35">
      <c r="I676" s="15"/>
      <c r="J676" s="15"/>
      <c r="K676" s="15"/>
      <c r="L676"/>
      <c r="M676"/>
      <c r="N676"/>
    </row>
    <row r="677" spans="9:14" x14ac:dyDescent="0.35">
      <c r="I677" s="15"/>
      <c r="J677" s="15"/>
      <c r="K677" s="15"/>
      <c r="L677"/>
      <c r="M677"/>
      <c r="N677"/>
    </row>
    <row r="678" spans="9:14" x14ac:dyDescent="0.35">
      <c r="I678" s="15"/>
      <c r="J678" s="15"/>
      <c r="K678" s="15"/>
      <c r="L678"/>
      <c r="M678"/>
      <c r="N678"/>
    </row>
    <row r="679" spans="9:14" x14ac:dyDescent="0.35">
      <c r="I679" s="15"/>
      <c r="J679" s="15"/>
      <c r="K679" s="15"/>
      <c r="L679"/>
      <c r="M679"/>
      <c r="N679"/>
    </row>
    <row r="680" spans="9:14" x14ac:dyDescent="0.35">
      <c r="I680" s="15"/>
      <c r="J680" s="15"/>
      <c r="K680" s="15"/>
      <c r="L680"/>
      <c r="M680"/>
      <c r="N680"/>
    </row>
    <row r="681" spans="9:14" x14ac:dyDescent="0.35">
      <c r="I681" s="15"/>
      <c r="J681" s="15"/>
      <c r="K681" s="15"/>
      <c r="L681"/>
      <c r="M681"/>
      <c r="N681"/>
    </row>
    <row r="682" spans="9:14" x14ac:dyDescent="0.35">
      <c r="I682" s="15"/>
      <c r="J682" s="15"/>
      <c r="K682" s="15"/>
      <c r="L682"/>
      <c r="M682"/>
      <c r="N682"/>
    </row>
    <row r="683" spans="9:14" x14ac:dyDescent="0.35">
      <c r="I683" s="15"/>
      <c r="J683" s="15"/>
      <c r="K683" s="15"/>
      <c r="L683"/>
      <c r="M683"/>
      <c r="N683"/>
    </row>
    <row r="684" spans="9:14" x14ac:dyDescent="0.35">
      <c r="I684" s="15"/>
      <c r="J684" s="15"/>
      <c r="K684" s="15"/>
      <c r="L684"/>
      <c r="M684"/>
      <c r="N684"/>
    </row>
    <row r="685" spans="9:14" x14ac:dyDescent="0.35">
      <c r="I685" s="15"/>
      <c r="J685" s="15"/>
      <c r="K685" s="15"/>
      <c r="L685"/>
      <c r="M685"/>
      <c r="N685"/>
    </row>
    <row r="686" spans="9:14" x14ac:dyDescent="0.35">
      <c r="I686" s="15"/>
      <c r="J686" s="15"/>
      <c r="K686" s="15"/>
      <c r="L686"/>
      <c r="M686"/>
      <c r="N686"/>
    </row>
    <row r="687" spans="9:14" x14ac:dyDescent="0.35">
      <c r="I687" s="15"/>
      <c r="J687" s="15"/>
      <c r="K687" s="15"/>
      <c r="L687"/>
      <c r="M687"/>
      <c r="N687"/>
    </row>
    <row r="688" spans="9:14" x14ac:dyDescent="0.35">
      <c r="I688" s="15"/>
      <c r="J688" s="15"/>
      <c r="K688" s="15"/>
      <c r="L688"/>
      <c r="M688"/>
      <c r="N688"/>
    </row>
    <row r="689" spans="9:14" x14ac:dyDescent="0.35">
      <c r="I689" s="15"/>
      <c r="J689" s="15"/>
      <c r="K689" s="15"/>
      <c r="L689"/>
      <c r="M689"/>
      <c r="N689"/>
    </row>
    <row r="690" spans="9:14" x14ac:dyDescent="0.35">
      <c r="I690" s="15"/>
      <c r="J690" s="15"/>
      <c r="K690" s="15"/>
      <c r="L690"/>
      <c r="M690"/>
      <c r="N690"/>
    </row>
    <row r="691" spans="9:14" x14ac:dyDescent="0.35">
      <c r="I691" s="15"/>
      <c r="J691" s="15"/>
      <c r="K691" s="15"/>
      <c r="L691"/>
      <c r="M691"/>
      <c r="N691"/>
    </row>
    <row r="692" spans="9:14" x14ac:dyDescent="0.35">
      <c r="I692" s="15"/>
      <c r="J692" s="15"/>
      <c r="K692" s="15"/>
      <c r="L692"/>
      <c r="M692"/>
      <c r="N692"/>
    </row>
    <row r="693" spans="9:14" x14ac:dyDescent="0.35">
      <c r="I693" s="15"/>
      <c r="J693" s="15"/>
      <c r="K693" s="15"/>
      <c r="L693"/>
      <c r="M693"/>
      <c r="N693"/>
    </row>
    <row r="694" spans="9:14" x14ac:dyDescent="0.35">
      <c r="I694" s="15"/>
      <c r="J694" s="15"/>
      <c r="K694" s="15"/>
      <c r="L694"/>
      <c r="M694"/>
      <c r="N694"/>
    </row>
    <row r="695" spans="9:14" x14ac:dyDescent="0.35">
      <c r="I695" s="15"/>
      <c r="J695" s="15"/>
      <c r="K695" s="15"/>
      <c r="L695"/>
      <c r="M695"/>
      <c r="N695"/>
    </row>
    <row r="696" spans="9:14" x14ac:dyDescent="0.35">
      <c r="I696" s="15"/>
      <c r="J696" s="15"/>
      <c r="K696" s="15"/>
      <c r="L696"/>
      <c r="M696"/>
      <c r="N696"/>
    </row>
    <row r="697" spans="9:14" x14ac:dyDescent="0.35">
      <c r="I697" s="15"/>
      <c r="J697" s="15"/>
      <c r="K697" s="15"/>
      <c r="L697"/>
      <c r="M697"/>
      <c r="N697"/>
    </row>
    <row r="698" spans="9:14" x14ac:dyDescent="0.35">
      <c r="I698" s="15"/>
      <c r="J698" s="15"/>
      <c r="K698" s="15"/>
      <c r="L698"/>
      <c r="M698"/>
      <c r="N698"/>
    </row>
    <row r="699" spans="9:14" x14ac:dyDescent="0.35">
      <c r="I699" s="15"/>
      <c r="J699" s="15"/>
      <c r="K699" s="15"/>
      <c r="L699"/>
      <c r="M699"/>
      <c r="N699"/>
    </row>
    <row r="700" spans="9:14" x14ac:dyDescent="0.35">
      <c r="I700" s="15"/>
      <c r="J700" s="15"/>
      <c r="K700" s="15"/>
      <c r="L700"/>
      <c r="M700"/>
      <c r="N700"/>
    </row>
    <row r="701" spans="9:14" x14ac:dyDescent="0.35">
      <c r="I701" s="15"/>
      <c r="J701" s="15"/>
      <c r="K701" s="15"/>
      <c r="L701"/>
      <c r="M701"/>
      <c r="N701"/>
    </row>
    <row r="702" spans="9:14" x14ac:dyDescent="0.35">
      <c r="I702" s="15"/>
      <c r="J702" s="15"/>
      <c r="K702" s="15"/>
      <c r="L702"/>
      <c r="M702"/>
      <c r="N702"/>
    </row>
    <row r="703" spans="9:14" x14ac:dyDescent="0.35">
      <c r="I703" s="15"/>
      <c r="J703" s="15"/>
      <c r="K703" s="15"/>
      <c r="L703"/>
      <c r="M703"/>
      <c r="N703"/>
    </row>
    <row r="704" spans="9:14" x14ac:dyDescent="0.35">
      <c r="I704" s="15"/>
      <c r="J704" s="15"/>
      <c r="K704" s="15"/>
      <c r="L704"/>
      <c r="M704"/>
      <c r="N704"/>
    </row>
    <row r="705" spans="9:14" x14ac:dyDescent="0.35">
      <c r="I705" s="15"/>
      <c r="J705" s="15"/>
      <c r="K705" s="15"/>
      <c r="L705"/>
      <c r="M705"/>
      <c r="N705"/>
    </row>
    <row r="706" spans="9:14" x14ac:dyDescent="0.35">
      <c r="I706" s="15"/>
      <c r="J706" s="15"/>
      <c r="K706" s="15"/>
      <c r="L706"/>
      <c r="M706"/>
      <c r="N706"/>
    </row>
    <row r="707" spans="9:14" x14ac:dyDescent="0.35">
      <c r="I707" s="15"/>
      <c r="J707" s="15"/>
      <c r="K707" s="15"/>
      <c r="L707"/>
      <c r="M707"/>
      <c r="N707"/>
    </row>
    <row r="708" spans="9:14" x14ac:dyDescent="0.35">
      <c r="I708" s="15"/>
      <c r="J708" s="15"/>
      <c r="K708" s="15"/>
      <c r="L708"/>
      <c r="M708"/>
      <c r="N708"/>
    </row>
    <row r="709" spans="9:14" x14ac:dyDescent="0.35">
      <c r="I709" s="15"/>
      <c r="J709" s="15"/>
      <c r="K709" s="15"/>
      <c r="L709"/>
      <c r="M709"/>
      <c r="N709"/>
    </row>
    <row r="710" spans="9:14" x14ac:dyDescent="0.35">
      <c r="I710" s="15"/>
      <c r="J710" s="15"/>
      <c r="K710" s="15"/>
      <c r="L710"/>
      <c r="M710"/>
      <c r="N710"/>
    </row>
    <row r="711" spans="9:14" x14ac:dyDescent="0.35">
      <c r="I711" s="15"/>
      <c r="J711" s="15"/>
      <c r="K711" s="15"/>
      <c r="L711"/>
      <c r="M711"/>
      <c r="N711"/>
    </row>
    <row r="712" spans="9:14" x14ac:dyDescent="0.35">
      <c r="I712" s="15"/>
      <c r="J712" s="15"/>
      <c r="K712" s="15"/>
      <c r="L712"/>
      <c r="M712"/>
      <c r="N712"/>
    </row>
    <row r="713" spans="9:14" x14ac:dyDescent="0.35">
      <c r="I713" s="15"/>
      <c r="J713" s="15"/>
      <c r="K713" s="15"/>
      <c r="L713"/>
      <c r="M713"/>
      <c r="N713"/>
    </row>
    <row r="714" spans="9:14" x14ac:dyDescent="0.35">
      <c r="I714" s="15"/>
      <c r="J714" s="15"/>
      <c r="K714" s="15"/>
      <c r="L714"/>
      <c r="M714"/>
      <c r="N714"/>
    </row>
    <row r="715" spans="9:14" x14ac:dyDescent="0.35">
      <c r="I715" s="15"/>
      <c r="J715" s="15"/>
      <c r="K715" s="15"/>
      <c r="L715"/>
      <c r="M715"/>
      <c r="N715"/>
    </row>
    <row r="716" spans="9:14" x14ac:dyDescent="0.35">
      <c r="I716" s="15"/>
      <c r="J716" s="15"/>
      <c r="K716" s="15"/>
      <c r="L716"/>
      <c r="M716"/>
      <c r="N716"/>
    </row>
    <row r="717" spans="9:14" x14ac:dyDescent="0.35">
      <c r="I717" s="15"/>
      <c r="J717" s="15"/>
      <c r="K717" s="15"/>
      <c r="L717"/>
      <c r="M717"/>
      <c r="N717"/>
    </row>
    <row r="718" spans="9:14" x14ac:dyDescent="0.35">
      <c r="I718" s="15"/>
      <c r="J718" s="15"/>
      <c r="K718" s="15"/>
      <c r="L718"/>
      <c r="M718"/>
      <c r="N718"/>
    </row>
    <row r="719" spans="9:14" x14ac:dyDescent="0.35">
      <c r="I719" s="15"/>
      <c r="J719" s="15"/>
      <c r="K719" s="15"/>
      <c r="L719"/>
      <c r="M719"/>
      <c r="N719"/>
    </row>
    <row r="720" spans="9:14" x14ac:dyDescent="0.35">
      <c r="I720" s="15"/>
      <c r="J720" s="15"/>
      <c r="K720" s="15"/>
      <c r="L720"/>
      <c r="M720"/>
      <c r="N720"/>
    </row>
    <row r="721" spans="9:14" x14ac:dyDescent="0.35">
      <c r="I721" s="15"/>
      <c r="J721" s="15"/>
      <c r="K721" s="15"/>
      <c r="L721"/>
      <c r="M721"/>
      <c r="N721"/>
    </row>
    <row r="722" spans="9:14" x14ac:dyDescent="0.35">
      <c r="I722" s="15"/>
      <c r="J722" s="15"/>
      <c r="K722" s="15"/>
      <c r="L722"/>
      <c r="M722"/>
      <c r="N722"/>
    </row>
    <row r="723" spans="9:14" x14ac:dyDescent="0.35">
      <c r="I723" s="15"/>
      <c r="J723" s="15"/>
      <c r="K723" s="15"/>
      <c r="L723"/>
      <c r="M723"/>
      <c r="N723"/>
    </row>
    <row r="724" spans="9:14" x14ac:dyDescent="0.35">
      <c r="I724" s="15"/>
      <c r="J724" s="15"/>
      <c r="K724" s="15"/>
      <c r="L724"/>
      <c r="M724"/>
      <c r="N724"/>
    </row>
    <row r="725" spans="9:14" x14ac:dyDescent="0.35">
      <c r="I725" s="15"/>
      <c r="J725" s="15"/>
      <c r="K725" s="15"/>
      <c r="L725"/>
      <c r="M725"/>
      <c r="N725"/>
    </row>
    <row r="726" spans="9:14" x14ac:dyDescent="0.35">
      <c r="I726" s="15"/>
      <c r="J726" s="15"/>
      <c r="K726" s="15"/>
      <c r="L726"/>
      <c r="M726"/>
      <c r="N726"/>
    </row>
    <row r="727" spans="9:14" x14ac:dyDescent="0.35">
      <c r="I727" s="15"/>
      <c r="J727" s="15"/>
      <c r="K727" s="15"/>
      <c r="L727"/>
      <c r="M727"/>
      <c r="N727"/>
    </row>
    <row r="728" spans="9:14" x14ac:dyDescent="0.35">
      <c r="I728" s="15"/>
      <c r="J728" s="15"/>
      <c r="K728" s="15"/>
      <c r="L728"/>
      <c r="M728"/>
      <c r="N728"/>
    </row>
    <row r="729" spans="9:14" x14ac:dyDescent="0.35">
      <c r="I729" s="15"/>
      <c r="J729" s="15"/>
      <c r="K729" s="15"/>
      <c r="L729"/>
      <c r="M729"/>
      <c r="N729"/>
    </row>
    <row r="730" spans="9:14" x14ac:dyDescent="0.35">
      <c r="I730" s="15"/>
      <c r="J730" s="15"/>
      <c r="K730" s="15"/>
      <c r="L730"/>
      <c r="M730"/>
      <c r="N730"/>
    </row>
    <row r="731" spans="9:14" x14ac:dyDescent="0.35">
      <c r="I731" s="15"/>
      <c r="J731" s="15"/>
      <c r="K731" s="15"/>
      <c r="L731"/>
      <c r="M731"/>
      <c r="N731"/>
    </row>
    <row r="732" spans="9:14" x14ac:dyDescent="0.35">
      <c r="I732" s="15"/>
      <c r="J732" s="15"/>
      <c r="K732" s="15"/>
      <c r="L732"/>
      <c r="M732"/>
      <c r="N732"/>
    </row>
    <row r="733" spans="9:14" x14ac:dyDescent="0.35">
      <c r="I733" s="15"/>
      <c r="J733" s="15"/>
      <c r="K733" s="15"/>
      <c r="L733"/>
      <c r="M733"/>
      <c r="N733"/>
    </row>
    <row r="734" spans="9:14" x14ac:dyDescent="0.35">
      <c r="I734" s="15"/>
      <c r="J734" s="15"/>
      <c r="K734" s="15"/>
      <c r="L734"/>
      <c r="M734"/>
      <c r="N734"/>
    </row>
    <row r="735" spans="9:14" x14ac:dyDescent="0.35">
      <c r="I735" s="15"/>
      <c r="J735" s="15"/>
      <c r="K735" s="15"/>
      <c r="L735"/>
      <c r="M735"/>
      <c r="N735"/>
    </row>
    <row r="736" spans="9:14" x14ac:dyDescent="0.35">
      <c r="I736" s="15"/>
      <c r="J736" s="15"/>
      <c r="K736" s="15"/>
      <c r="L736"/>
      <c r="M736"/>
      <c r="N736"/>
    </row>
    <row r="737" spans="9:14" x14ac:dyDescent="0.35">
      <c r="I737" s="15"/>
      <c r="J737" s="15"/>
      <c r="K737" s="15"/>
      <c r="L737"/>
      <c r="M737"/>
      <c r="N737"/>
    </row>
    <row r="738" spans="9:14" x14ac:dyDescent="0.35">
      <c r="I738" s="15"/>
      <c r="J738" s="15"/>
      <c r="K738" s="15"/>
      <c r="L738"/>
      <c r="M738"/>
      <c r="N738"/>
    </row>
    <row r="739" spans="9:14" x14ac:dyDescent="0.35">
      <c r="I739" s="15"/>
      <c r="J739" s="15"/>
      <c r="K739" s="15"/>
      <c r="L739"/>
      <c r="M739"/>
      <c r="N739"/>
    </row>
    <row r="740" spans="9:14" x14ac:dyDescent="0.35">
      <c r="I740" s="15"/>
      <c r="J740" s="15"/>
      <c r="K740" s="15"/>
      <c r="L740"/>
      <c r="M740"/>
      <c r="N740"/>
    </row>
    <row r="741" spans="9:14" x14ac:dyDescent="0.35">
      <c r="I741" s="15"/>
      <c r="J741" s="15"/>
      <c r="K741" s="15"/>
      <c r="L741"/>
      <c r="M741"/>
      <c r="N741"/>
    </row>
    <row r="742" spans="9:14" x14ac:dyDescent="0.35">
      <c r="I742" s="15"/>
      <c r="J742" s="15"/>
      <c r="K742" s="15"/>
      <c r="L742"/>
      <c r="M742"/>
      <c r="N742"/>
    </row>
    <row r="743" spans="9:14" x14ac:dyDescent="0.35">
      <c r="I743" s="15"/>
      <c r="J743" s="15"/>
      <c r="K743" s="15"/>
      <c r="L743"/>
      <c r="M743"/>
      <c r="N743"/>
    </row>
    <row r="744" spans="9:14" x14ac:dyDescent="0.35">
      <c r="I744" s="15"/>
      <c r="J744" s="15"/>
      <c r="K744" s="15"/>
      <c r="L744"/>
      <c r="M744"/>
      <c r="N744"/>
    </row>
    <row r="745" spans="9:14" x14ac:dyDescent="0.35">
      <c r="I745" s="15"/>
      <c r="J745" s="15"/>
      <c r="K745" s="15"/>
      <c r="L745"/>
      <c r="M745"/>
      <c r="N745"/>
    </row>
    <row r="746" spans="9:14" x14ac:dyDescent="0.35">
      <c r="I746" s="15"/>
      <c r="J746" s="15"/>
      <c r="K746" s="15"/>
      <c r="L746"/>
      <c r="M746"/>
      <c r="N746"/>
    </row>
    <row r="747" spans="9:14" x14ac:dyDescent="0.35">
      <c r="I747" s="15"/>
      <c r="J747" s="15"/>
      <c r="K747" s="15"/>
      <c r="L747"/>
      <c r="M747"/>
      <c r="N747"/>
    </row>
    <row r="748" spans="9:14" x14ac:dyDescent="0.35">
      <c r="I748" s="15"/>
      <c r="J748" s="15"/>
      <c r="K748" s="15"/>
      <c r="L748"/>
      <c r="M748"/>
      <c r="N748"/>
    </row>
    <row r="749" spans="9:14" x14ac:dyDescent="0.35">
      <c r="I749" s="15"/>
      <c r="J749" s="15"/>
      <c r="K749" s="15"/>
      <c r="L749"/>
      <c r="M749"/>
      <c r="N749"/>
    </row>
    <row r="750" spans="9:14" x14ac:dyDescent="0.35">
      <c r="I750" s="15"/>
      <c r="J750" s="15"/>
      <c r="K750" s="15"/>
      <c r="L750"/>
      <c r="M750"/>
      <c r="N750"/>
    </row>
    <row r="751" spans="9:14" x14ac:dyDescent="0.35">
      <c r="I751" s="15"/>
      <c r="J751" s="15"/>
      <c r="K751" s="15"/>
      <c r="L751"/>
      <c r="M751"/>
      <c r="N751"/>
    </row>
    <row r="752" spans="9:14" x14ac:dyDescent="0.35">
      <c r="I752" s="15"/>
      <c r="J752" s="15"/>
      <c r="K752" s="15"/>
      <c r="L752"/>
      <c r="M752"/>
      <c r="N752"/>
    </row>
    <row r="753" spans="9:14" x14ac:dyDescent="0.35">
      <c r="I753" s="15"/>
      <c r="J753" s="15"/>
      <c r="K753" s="15"/>
      <c r="L753"/>
      <c r="M753"/>
      <c r="N753"/>
    </row>
    <row r="754" spans="9:14" x14ac:dyDescent="0.35">
      <c r="I754" s="15"/>
      <c r="J754" s="15"/>
      <c r="K754" s="15"/>
      <c r="L754"/>
      <c r="M754"/>
      <c r="N754"/>
    </row>
    <row r="755" spans="9:14" x14ac:dyDescent="0.35">
      <c r="I755" s="15"/>
      <c r="J755" s="15"/>
      <c r="K755" s="15"/>
      <c r="L755"/>
      <c r="M755"/>
      <c r="N755"/>
    </row>
    <row r="756" spans="9:14" x14ac:dyDescent="0.35">
      <c r="I756" s="15"/>
      <c r="J756" s="15"/>
      <c r="K756" s="15"/>
      <c r="L756"/>
      <c r="M756"/>
      <c r="N756"/>
    </row>
    <row r="757" spans="9:14" x14ac:dyDescent="0.35">
      <c r="I757" s="15"/>
      <c r="J757" s="15"/>
      <c r="K757" s="15"/>
      <c r="L757"/>
      <c r="M757"/>
      <c r="N757"/>
    </row>
    <row r="758" spans="9:14" x14ac:dyDescent="0.35">
      <c r="I758" s="15"/>
      <c r="J758" s="15"/>
      <c r="K758" s="15"/>
      <c r="L758"/>
      <c r="M758"/>
      <c r="N758"/>
    </row>
    <row r="759" spans="9:14" x14ac:dyDescent="0.35">
      <c r="I759" s="15"/>
      <c r="J759" s="15"/>
      <c r="K759" s="15"/>
      <c r="L759"/>
      <c r="M759"/>
      <c r="N759"/>
    </row>
    <row r="760" spans="9:14" x14ac:dyDescent="0.35">
      <c r="I760" s="15"/>
      <c r="J760" s="15"/>
      <c r="K760" s="15"/>
      <c r="L760"/>
      <c r="M760"/>
      <c r="N760"/>
    </row>
    <row r="761" spans="9:14" x14ac:dyDescent="0.35">
      <c r="I761" s="15"/>
      <c r="J761" s="15"/>
      <c r="K761" s="15"/>
      <c r="L761"/>
      <c r="M761"/>
      <c r="N761"/>
    </row>
    <row r="762" spans="9:14" x14ac:dyDescent="0.35">
      <c r="I762" s="15"/>
      <c r="J762" s="15"/>
      <c r="K762" s="15"/>
      <c r="L762"/>
      <c r="M762"/>
      <c r="N762"/>
    </row>
    <row r="763" spans="9:14" x14ac:dyDescent="0.35">
      <c r="I763" s="15"/>
      <c r="J763" s="15"/>
      <c r="K763" s="15"/>
      <c r="L763"/>
      <c r="M763"/>
      <c r="N763"/>
    </row>
    <row r="764" spans="9:14" x14ac:dyDescent="0.35">
      <c r="I764" s="15"/>
      <c r="J764" s="15"/>
      <c r="K764" s="15"/>
      <c r="L764"/>
      <c r="M764"/>
      <c r="N764"/>
    </row>
    <row r="765" spans="9:14" x14ac:dyDescent="0.35">
      <c r="I765" s="15"/>
      <c r="J765" s="15"/>
      <c r="K765" s="15"/>
      <c r="L765"/>
      <c r="M765"/>
      <c r="N765"/>
    </row>
    <row r="766" spans="9:14" x14ac:dyDescent="0.35">
      <c r="I766" s="15"/>
      <c r="J766" s="15"/>
      <c r="K766" s="15"/>
      <c r="L766"/>
      <c r="M766"/>
      <c r="N766"/>
    </row>
    <row r="767" spans="9:14" x14ac:dyDescent="0.35">
      <c r="I767" s="15"/>
      <c r="J767" s="15"/>
      <c r="K767" s="15"/>
      <c r="L767"/>
      <c r="M767"/>
      <c r="N767"/>
    </row>
    <row r="768" spans="9:14" x14ac:dyDescent="0.35">
      <c r="I768" s="15"/>
      <c r="J768" s="15"/>
      <c r="K768" s="15"/>
      <c r="L768"/>
      <c r="M768"/>
      <c r="N768"/>
    </row>
    <row r="769" spans="9:14" x14ac:dyDescent="0.35">
      <c r="I769" s="15"/>
      <c r="J769" s="15"/>
      <c r="K769" s="15"/>
      <c r="L769"/>
      <c r="M769"/>
      <c r="N769"/>
    </row>
    <row r="770" spans="9:14" x14ac:dyDescent="0.35">
      <c r="I770" s="15"/>
      <c r="J770" s="15"/>
      <c r="K770" s="15"/>
      <c r="L770"/>
      <c r="M770"/>
      <c r="N770"/>
    </row>
    <row r="771" spans="9:14" x14ac:dyDescent="0.35">
      <c r="I771" s="15"/>
      <c r="J771" s="15"/>
      <c r="K771" s="15"/>
      <c r="L771"/>
      <c r="M771"/>
      <c r="N771"/>
    </row>
    <row r="772" spans="9:14" x14ac:dyDescent="0.35">
      <c r="I772" s="15"/>
      <c r="J772" s="15"/>
      <c r="K772" s="15"/>
      <c r="L772"/>
      <c r="M772"/>
      <c r="N772"/>
    </row>
    <row r="773" spans="9:14" x14ac:dyDescent="0.35">
      <c r="I773" s="15"/>
      <c r="J773" s="15"/>
      <c r="K773" s="15"/>
      <c r="L773"/>
      <c r="M773"/>
      <c r="N773"/>
    </row>
    <row r="774" spans="9:14" x14ac:dyDescent="0.35">
      <c r="I774" s="15"/>
      <c r="J774" s="15"/>
      <c r="K774" s="15"/>
      <c r="L774"/>
      <c r="M774"/>
      <c r="N774"/>
    </row>
    <row r="775" spans="9:14" x14ac:dyDescent="0.35">
      <c r="I775" s="15"/>
      <c r="J775" s="15"/>
      <c r="K775" s="15"/>
      <c r="L775"/>
      <c r="M775"/>
      <c r="N775"/>
    </row>
    <row r="776" spans="9:14" x14ac:dyDescent="0.35">
      <c r="I776" s="15"/>
      <c r="J776" s="15"/>
      <c r="K776" s="15"/>
      <c r="L776"/>
      <c r="M776"/>
      <c r="N776"/>
    </row>
    <row r="777" spans="9:14" x14ac:dyDescent="0.35">
      <c r="I777" s="15"/>
      <c r="J777" s="15"/>
      <c r="K777" s="15"/>
      <c r="L777"/>
      <c r="M777"/>
      <c r="N777"/>
    </row>
    <row r="778" spans="9:14" x14ac:dyDescent="0.35">
      <c r="I778" s="15"/>
      <c r="J778" s="15"/>
      <c r="K778" s="15"/>
      <c r="L778"/>
      <c r="M778"/>
      <c r="N778"/>
    </row>
    <row r="779" spans="9:14" x14ac:dyDescent="0.35">
      <c r="I779" s="15"/>
      <c r="J779" s="15"/>
      <c r="K779" s="15"/>
      <c r="L779"/>
      <c r="M779"/>
      <c r="N779"/>
    </row>
    <row r="780" spans="9:14" x14ac:dyDescent="0.35">
      <c r="I780" s="15"/>
      <c r="J780" s="15"/>
      <c r="K780" s="15"/>
      <c r="L780"/>
      <c r="M780"/>
      <c r="N780"/>
    </row>
    <row r="781" spans="9:14" x14ac:dyDescent="0.35">
      <c r="I781" s="15"/>
      <c r="J781" s="15"/>
      <c r="K781" s="15"/>
      <c r="L781"/>
      <c r="M781"/>
      <c r="N781"/>
    </row>
    <row r="782" spans="9:14" x14ac:dyDescent="0.35">
      <c r="I782" s="15"/>
      <c r="J782" s="15"/>
      <c r="K782" s="15"/>
      <c r="L782"/>
      <c r="M782"/>
      <c r="N782"/>
    </row>
    <row r="783" spans="9:14" x14ac:dyDescent="0.35">
      <c r="I783" s="15"/>
      <c r="J783" s="15"/>
      <c r="K783" s="15"/>
      <c r="L783"/>
      <c r="M783"/>
      <c r="N783"/>
    </row>
    <row r="784" spans="9:14" x14ac:dyDescent="0.35">
      <c r="I784" s="15"/>
      <c r="J784" s="15"/>
      <c r="K784" s="15"/>
      <c r="L784"/>
      <c r="M784"/>
      <c r="N784"/>
    </row>
    <row r="785" spans="9:14" x14ac:dyDescent="0.35">
      <c r="I785" s="15"/>
      <c r="J785" s="15"/>
      <c r="K785" s="15"/>
      <c r="L785"/>
      <c r="M785"/>
      <c r="N785"/>
    </row>
    <row r="786" spans="9:14" x14ac:dyDescent="0.35">
      <c r="I786" s="15"/>
      <c r="J786" s="15"/>
      <c r="K786" s="15"/>
      <c r="L786"/>
      <c r="M786"/>
      <c r="N786"/>
    </row>
    <row r="787" spans="9:14" x14ac:dyDescent="0.35">
      <c r="I787" s="15"/>
      <c r="J787" s="15"/>
      <c r="K787" s="15"/>
      <c r="L787"/>
      <c r="M787"/>
      <c r="N787"/>
    </row>
    <row r="788" spans="9:14" x14ac:dyDescent="0.35">
      <c r="I788" s="15"/>
      <c r="J788" s="15"/>
      <c r="K788" s="15"/>
      <c r="L788"/>
      <c r="M788"/>
      <c r="N788"/>
    </row>
    <row r="789" spans="9:14" x14ac:dyDescent="0.35">
      <c r="I789" s="15"/>
      <c r="J789" s="15"/>
      <c r="K789" s="15"/>
      <c r="L789"/>
      <c r="M789"/>
      <c r="N789"/>
    </row>
    <row r="790" spans="9:14" x14ac:dyDescent="0.35">
      <c r="I790" s="15"/>
      <c r="J790" s="15"/>
      <c r="K790" s="15"/>
      <c r="L790"/>
      <c r="M790"/>
      <c r="N790"/>
    </row>
    <row r="791" spans="9:14" x14ac:dyDescent="0.35">
      <c r="I791" s="15"/>
      <c r="J791" s="15"/>
      <c r="K791" s="15"/>
      <c r="L791"/>
      <c r="M791"/>
      <c r="N791"/>
    </row>
    <row r="792" spans="9:14" x14ac:dyDescent="0.35">
      <c r="I792" s="15"/>
      <c r="J792" s="15"/>
      <c r="K792" s="15"/>
      <c r="L792"/>
      <c r="M792"/>
      <c r="N792"/>
    </row>
    <row r="793" spans="9:14" x14ac:dyDescent="0.35">
      <c r="I793" s="15"/>
      <c r="J793" s="15"/>
      <c r="K793" s="15"/>
      <c r="L793"/>
      <c r="M793"/>
      <c r="N793"/>
    </row>
    <row r="794" spans="9:14" x14ac:dyDescent="0.35">
      <c r="I794" s="15"/>
      <c r="J794" s="15"/>
      <c r="K794" s="15"/>
      <c r="L794"/>
      <c r="M794"/>
      <c r="N794"/>
    </row>
    <row r="795" spans="9:14" x14ac:dyDescent="0.35">
      <c r="I795" s="15"/>
      <c r="J795" s="15"/>
      <c r="K795" s="15"/>
      <c r="L795"/>
      <c r="M795"/>
      <c r="N795"/>
    </row>
    <row r="796" spans="9:14" x14ac:dyDescent="0.35">
      <c r="I796" s="15"/>
      <c r="J796" s="15"/>
      <c r="K796" s="15"/>
      <c r="L796"/>
      <c r="M796"/>
      <c r="N796"/>
    </row>
    <row r="797" spans="9:14" x14ac:dyDescent="0.35">
      <c r="I797" s="15"/>
      <c r="J797" s="15"/>
      <c r="K797" s="15"/>
      <c r="L797"/>
      <c r="M797"/>
      <c r="N797"/>
    </row>
    <row r="798" spans="9:14" x14ac:dyDescent="0.35">
      <c r="I798" s="15"/>
      <c r="J798" s="15"/>
      <c r="K798" s="15"/>
      <c r="L798"/>
      <c r="M798"/>
      <c r="N798"/>
    </row>
    <row r="799" spans="9:14" x14ac:dyDescent="0.35">
      <c r="I799" s="15"/>
      <c r="J799" s="15"/>
      <c r="K799" s="15"/>
      <c r="L799"/>
      <c r="M799"/>
      <c r="N799"/>
    </row>
    <row r="800" spans="9:14" x14ac:dyDescent="0.35">
      <c r="I800" s="15"/>
      <c r="J800" s="15"/>
      <c r="K800" s="15"/>
      <c r="L800"/>
      <c r="M800"/>
      <c r="N800"/>
    </row>
    <row r="801" spans="9:14" x14ac:dyDescent="0.35">
      <c r="I801" s="15"/>
      <c r="J801" s="15"/>
      <c r="K801" s="15"/>
      <c r="L801"/>
      <c r="M801"/>
      <c r="N801"/>
    </row>
    <row r="802" spans="9:14" x14ac:dyDescent="0.35">
      <c r="I802" s="15"/>
      <c r="J802" s="15"/>
      <c r="K802" s="15"/>
      <c r="L802"/>
      <c r="M802"/>
      <c r="N802"/>
    </row>
    <row r="803" spans="9:14" x14ac:dyDescent="0.35">
      <c r="I803" s="15"/>
      <c r="J803" s="15"/>
      <c r="K803" s="15"/>
      <c r="L803"/>
      <c r="M803"/>
      <c r="N803"/>
    </row>
    <row r="804" spans="9:14" x14ac:dyDescent="0.35">
      <c r="I804" s="15"/>
      <c r="J804" s="15"/>
      <c r="K804" s="15"/>
      <c r="L804"/>
      <c r="M804"/>
      <c r="N804"/>
    </row>
    <row r="805" spans="9:14" x14ac:dyDescent="0.35">
      <c r="I805" s="15"/>
      <c r="J805" s="15"/>
      <c r="K805" s="15"/>
      <c r="L805"/>
      <c r="M805"/>
      <c r="N805"/>
    </row>
    <row r="806" spans="9:14" x14ac:dyDescent="0.35">
      <c r="I806" s="15"/>
      <c r="J806" s="15"/>
      <c r="K806" s="15"/>
      <c r="L806"/>
      <c r="M806"/>
      <c r="N806"/>
    </row>
    <row r="807" spans="9:14" x14ac:dyDescent="0.35">
      <c r="I807" s="15"/>
      <c r="J807" s="15"/>
      <c r="K807" s="15"/>
      <c r="L807"/>
      <c r="M807"/>
      <c r="N807"/>
    </row>
    <row r="808" spans="9:14" x14ac:dyDescent="0.35">
      <c r="I808" s="15"/>
      <c r="J808" s="15"/>
      <c r="K808" s="15"/>
      <c r="L808"/>
      <c r="M808"/>
      <c r="N808"/>
    </row>
    <row r="809" spans="9:14" x14ac:dyDescent="0.35">
      <c r="I809" s="15"/>
      <c r="J809" s="15"/>
      <c r="K809" s="15"/>
      <c r="L809"/>
      <c r="M809"/>
      <c r="N809"/>
    </row>
    <row r="810" spans="9:14" x14ac:dyDescent="0.35">
      <c r="I810" s="15"/>
      <c r="J810" s="15"/>
      <c r="K810" s="15"/>
      <c r="L810"/>
      <c r="M810"/>
      <c r="N810"/>
    </row>
    <row r="811" spans="9:14" x14ac:dyDescent="0.35">
      <c r="I811" s="15"/>
      <c r="J811" s="15"/>
      <c r="K811" s="15"/>
      <c r="L811"/>
      <c r="M811"/>
      <c r="N811"/>
    </row>
    <row r="812" spans="9:14" x14ac:dyDescent="0.35">
      <c r="I812" s="15"/>
      <c r="J812" s="15"/>
      <c r="K812" s="15"/>
      <c r="L812"/>
      <c r="M812"/>
      <c r="N812"/>
    </row>
    <row r="813" spans="9:14" x14ac:dyDescent="0.35">
      <c r="I813" s="15"/>
      <c r="J813" s="15"/>
      <c r="K813" s="15"/>
      <c r="L813"/>
      <c r="M813"/>
      <c r="N813"/>
    </row>
    <row r="814" spans="9:14" x14ac:dyDescent="0.35">
      <c r="I814" s="15"/>
      <c r="J814" s="15"/>
      <c r="K814" s="15"/>
      <c r="L814"/>
      <c r="M814"/>
      <c r="N814"/>
    </row>
    <row r="815" spans="9:14" x14ac:dyDescent="0.35">
      <c r="I815" s="15"/>
      <c r="J815" s="15"/>
      <c r="K815" s="15"/>
      <c r="L815"/>
      <c r="M815"/>
      <c r="N815"/>
    </row>
    <row r="816" spans="9:14" x14ac:dyDescent="0.35">
      <c r="I816" s="15"/>
      <c r="J816" s="15"/>
      <c r="K816" s="15"/>
      <c r="L816"/>
      <c r="M816"/>
      <c r="N816"/>
    </row>
    <row r="817" spans="9:14" x14ac:dyDescent="0.35">
      <c r="I817" s="15"/>
      <c r="J817" s="15"/>
      <c r="K817" s="15"/>
      <c r="L817"/>
      <c r="M817"/>
      <c r="N817"/>
    </row>
    <row r="818" spans="9:14" x14ac:dyDescent="0.35">
      <c r="I818" s="15"/>
      <c r="J818" s="15"/>
      <c r="K818" s="15"/>
      <c r="L818"/>
      <c r="M818"/>
      <c r="N818"/>
    </row>
    <row r="819" spans="9:14" x14ac:dyDescent="0.35">
      <c r="I819" s="15"/>
      <c r="J819" s="15"/>
      <c r="K819" s="15"/>
      <c r="L819"/>
      <c r="M819"/>
      <c r="N819"/>
    </row>
    <row r="820" spans="9:14" x14ac:dyDescent="0.35">
      <c r="I820" s="15"/>
      <c r="J820" s="15"/>
      <c r="K820" s="15"/>
      <c r="L820"/>
      <c r="M820"/>
      <c r="N820"/>
    </row>
    <row r="821" spans="9:14" x14ac:dyDescent="0.35">
      <c r="I821" s="15"/>
      <c r="J821" s="15"/>
      <c r="K821" s="15"/>
      <c r="L821"/>
      <c r="M821"/>
      <c r="N821"/>
    </row>
    <row r="822" spans="9:14" x14ac:dyDescent="0.35">
      <c r="I822" s="15"/>
      <c r="J822" s="15"/>
      <c r="K822" s="15"/>
      <c r="L822"/>
      <c r="M822"/>
      <c r="N822"/>
    </row>
    <row r="823" spans="9:14" x14ac:dyDescent="0.35">
      <c r="I823" s="15"/>
      <c r="J823" s="15"/>
      <c r="K823" s="15"/>
      <c r="L823"/>
      <c r="M823"/>
      <c r="N823"/>
    </row>
    <row r="824" spans="9:14" x14ac:dyDescent="0.35">
      <c r="I824" s="15"/>
      <c r="J824" s="15"/>
      <c r="K824" s="15"/>
      <c r="L824"/>
      <c r="M824"/>
      <c r="N824"/>
    </row>
    <row r="825" spans="9:14" x14ac:dyDescent="0.35">
      <c r="I825" s="15"/>
      <c r="J825" s="15"/>
      <c r="K825" s="15"/>
      <c r="L825"/>
      <c r="M825"/>
      <c r="N825"/>
    </row>
    <row r="826" spans="9:14" x14ac:dyDescent="0.35">
      <c r="I826" s="15"/>
      <c r="J826" s="15"/>
      <c r="K826" s="15"/>
      <c r="L826"/>
      <c r="M826"/>
      <c r="N826"/>
    </row>
    <row r="827" spans="9:14" x14ac:dyDescent="0.35">
      <c r="I827" s="15"/>
      <c r="J827" s="15"/>
      <c r="K827" s="15"/>
      <c r="L827"/>
      <c r="M827"/>
      <c r="N827"/>
    </row>
    <row r="828" spans="9:14" x14ac:dyDescent="0.35">
      <c r="I828" s="15"/>
      <c r="J828" s="15"/>
      <c r="K828" s="15"/>
      <c r="L828"/>
      <c r="M828"/>
      <c r="N828"/>
    </row>
    <row r="829" spans="9:14" x14ac:dyDescent="0.35">
      <c r="I829" s="15"/>
      <c r="J829" s="15"/>
      <c r="K829" s="15"/>
      <c r="L829"/>
      <c r="M829"/>
      <c r="N829"/>
    </row>
    <row r="830" spans="9:14" x14ac:dyDescent="0.35">
      <c r="I830" s="15"/>
      <c r="J830" s="15"/>
      <c r="K830" s="15"/>
      <c r="L830"/>
      <c r="M830"/>
      <c r="N830"/>
    </row>
    <row r="831" spans="9:14" x14ac:dyDescent="0.35">
      <c r="I831" s="15"/>
      <c r="J831" s="15"/>
      <c r="K831" s="15"/>
      <c r="L831"/>
      <c r="M831"/>
      <c r="N831"/>
    </row>
    <row r="832" spans="9:14" x14ac:dyDescent="0.35">
      <c r="I832" s="15"/>
      <c r="J832" s="15"/>
      <c r="K832" s="15"/>
      <c r="L832"/>
      <c r="M832"/>
      <c r="N832"/>
    </row>
    <row r="833" spans="9:14" x14ac:dyDescent="0.35">
      <c r="I833" s="15"/>
      <c r="J833" s="15"/>
      <c r="K833" s="15"/>
      <c r="L833"/>
      <c r="M833"/>
      <c r="N833"/>
    </row>
    <row r="834" spans="9:14" x14ac:dyDescent="0.35">
      <c r="I834" s="15"/>
      <c r="J834" s="15"/>
      <c r="K834" s="15"/>
      <c r="L834"/>
      <c r="M834"/>
      <c r="N834"/>
    </row>
    <row r="835" spans="9:14" x14ac:dyDescent="0.35">
      <c r="I835" s="15"/>
      <c r="J835" s="15"/>
      <c r="K835" s="15"/>
      <c r="L835"/>
      <c r="M835"/>
      <c r="N835"/>
    </row>
    <row r="836" spans="9:14" x14ac:dyDescent="0.35">
      <c r="I836" s="15"/>
      <c r="J836" s="15"/>
      <c r="K836" s="15"/>
      <c r="L836"/>
      <c r="M836"/>
      <c r="N836"/>
    </row>
    <row r="837" spans="9:14" x14ac:dyDescent="0.35">
      <c r="I837" s="15"/>
      <c r="J837" s="15"/>
      <c r="K837" s="15"/>
      <c r="L837"/>
      <c r="M837"/>
      <c r="N837"/>
    </row>
    <row r="838" spans="9:14" x14ac:dyDescent="0.35">
      <c r="I838" s="15"/>
      <c r="J838" s="15"/>
      <c r="K838" s="15"/>
      <c r="L838"/>
      <c r="M838"/>
      <c r="N838"/>
    </row>
    <row r="839" spans="9:14" x14ac:dyDescent="0.35">
      <c r="I839" s="15"/>
      <c r="J839" s="15"/>
      <c r="K839" s="15"/>
      <c r="L839"/>
      <c r="M839"/>
      <c r="N839"/>
    </row>
    <row r="840" spans="9:14" x14ac:dyDescent="0.35">
      <c r="I840" s="15"/>
      <c r="J840" s="15"/>
      <c r="K840" s="15"/>
      <c r="L840"/>
      <c r="M840"/>
      <c r="N840"/>
    </row>
    <row r="841" spans="9:14" x14ac:dyDescent="0.35">
      <c r="I841" s="15"/>
      <c r="J841" s="15"/>
      <c r="K841" s="15"/>
      <c r="L841"/>
      <c r="M841"/>
      <c r="N841"/>
    </row>
    <row r="842" spans="9:14" x14ac:dyDescent="0.35">
      <c r="I842" s="15"/>
      <c r="J842" s="15"/>
      <c r="K842" s="15"/>
      <c r="L842"/>
      <c r="M842"/>
      <c r="N842"/>
    </row>
    <row r="843" spans="9:14" x14ac:dyDescent="0.35">
      <c r="I843" s="15"/>
      <c r="J843" s="15"/>
      <c r="K843" s="15"/>
      <c r="L843"/>
      <c r="M843"/>
      <c r="N843"/>
    </row>
    <row r="844" spans="9:14" x14ac:dyDescent="0.35">
      <c r="I844" s="15"/>
      <c r="J844" s="15"/>
      <c r="K844" s="15"/>
      <c r="L844"/>
      <c r="M844"/>
      <c r="N844"/>
    </row>
    <row r="845" spans="9:14" x14ac:dyDescent="0.35">
      <c r="I845" s="15"/>
      <c r="J845" s="15"/>
      <c r="K845" s="15"/>
      <c r="L845"/>
      <c r="M845"/>
      <c r="N845"/>
    </row>
    <row r="846" spans="9:14" x14ac:dyDescent="0.35">
      <c r="I846" s="15"/>
      <c r="J846" s="15"/>
      <c r="K846" s="15"/>
      <c r="L846"/>
      <c r="M846"/>
      <c r="N846"/>
    </row>
    <row r="847" spans="9:14" x14ac:dyDescent="0.35">
      <c r="I847" s="15"/>
      <c r="J847" s="15"/>
      <c r="K847" s="15"/>
      <c r="L847"/>
      <c r="M847"/>
      <c r="N847"/>
    </row>
    <row r="848" spans="9:14" x14ac:dyDescent="0.35">
      <c r="I848" s="15"/>
      <c r="J848" s="15"/>
      <c r="K848" s="15"/>
      <c r="L848"/>
      <c r="M848"/>
      <c r="N848"/>
    </row>
    <row r="849" spans="9:14" x14ac:dyDescent="0.35">
      <c r="I849" s="15"/>
      <c r="J849" s="15"/>
      <c r="K849" s="15"/>
      <c r="L849"/>
      <c r="M849"/>
      <c r="N849"/>
    </row>
    <row r="850" spans="9:14" x14ac:dyDescent="0.35">
      <c r="I850" s="15"/>
      <c r="J850" s="15"/>
      <c r="K850" s="15"/>
      <c r="L850"/>
      <c r="M850"/>
      <c r="N850"/>
    </row>
    <row r="851" spans="9:14" x14ac:dyDescent="0.35">
      <c r="I851" s="15"/>
      <c r="J851" s="15"/>
      <c r="K851" s="15"/>
      <c r="L851"/>
      <c r="M851"/>
      <c r="N851"/>
    </row>
    <row r="852" spans="9:14" x14ac:dyDescent="0.35">
      <c r="I852" s="15"/>
      <c r="J852" s="15"/>
      <c r="K852" s="15"/>
      <c r="L852"/>
      <c r="M852"/>
      <c r="N852"/>
    </row>
    <row r="853" spans="9:14" x14ac:dyDescent="0.35">
      <c r="I853" s="15"/>
      <c r="J853" s="15"/>
      <c r="K853" s="15"/>
      <c r="L853"/>
      <c r="M853"/>
      <c r="N853"/>
    </row>
    <row r="854" spans="9:14" x14ac:dyDescent="0.35">
      <c r="I854" s="15"/>
      <c r="J854" s="15"/>
      <c r="K854" s="15"/>
      <c r="L854"/>
      <c r="M854"/>
      <c r="N854"/>
    </row>
    <row r="855" spans="9:14" x14ac:dyDescent="0.35">
      <c r="I855" s="15"/>
      <c r="J855" s="15"/>
      <c r="K855" s="15"/>
      <c r="L855"/>
      <c r="M855"/>
      <c r="N855"/>
    </row>
    <row r="856" spans="9:14" x14ac:dyDescent="0.35">
      <c r="I856" s="15"/>
      <c r="J856" s="15"/>
      <c r="K856" s="15"/>
      <c r="L856"/>
      <c r="M856"/>
      <c r="N856"/>
    </row>
    <row r="857" spans="9:14" x14ac:dyDescent="0.35">
      <c r="I857" s="15"/>
      <c r="J857" s="15"/>
      <c r="K857" s="15"/>
      <c r="L857"/>
      <c r="M857"/>
      <c r="N857"/>
    </row>
    <row r="858" spans="9:14" x14ac:dyDescent="0.35">
      <c r="I858" s="15"/>
      <c r="J858" s="15"/>
      <c r="K858" s="15"/>
      <c r="L858"/>
      <c r="M858"/>
      <c r="N858"/>
    </row>
    <row r="859" spans="9:14" x14ac:dyDescent="0.35">
      <c r="I859" s="15"/>
      <c r="J859" s="15"/>
      <c r="K859" s="15"/>
      <c r="L859"/>
      <c r="M859"/>
      <c r="N859"/>
    </row>
    <row r="860" spans="9:14" x14ac:dyDescent="0.35">
      <c r="I860" s="15"/>
      <c r="J860" s="15"/>
      <c r="K860" s="15"/>
      <c r="L860"/>
      <c r="M860"/>
      <c r="N860"/>
    </row>
    <row r="861" spans="9:14" x14ac:dyDescent="0.35">
      <c r="I861" s="15"/>
      <c r="J861" s="15"/>
      <c r="K861" s="15"/>
      <c r="L861"/>
      <c r="M861"/>
      <c r="N861"/>
    </row>
    <row r="862" spans="9:14" x14ac:dyDescent="0.35">
      <c r="I862" s="15"/>
      <c r="J862" s="15"/>
      <c r="K862" s="15"/>
      <c r="L862"/>
      <c r="M862"/>
      <c r="N862"/>
    </row>
    <row r="863" spans="9:14" x14ac:dyDescent="0.35">
      <c r="I863" s="15"/>
      <c r="J863" s="15"/>
      <c r="K863" s="15"/>
      <c r="L863"/>
      <c r="M863"/>
      <c r="N863"/>
    </row>
    <row r="864" spans="9:14" x14ac:dyDescent="0.35">
      <c r="I864" s="15"/>
      <c r="J864" s="15"/>
      <c r="K864" s="15"/>
      <c r="L864"/>
      <c r="M864"/>
      <c r="N864"/>
    </row>
    <row r="865" spans="9:14" x14ac:dyDescent="0.35">
      <c r="I865" s="15"/>
      <c r="J865" s="15"/>
      <c r="K865" s="15"/>
      <c r="L865"/>
      <c r="M865"/>
      <c r="N865"/>
    </row>
    <row r="866" spans="9:14" x14ac:dyDescent="0.35">
      <c r="I866" s="15"/>
      <c r="J866" s="15"/>
      <c r="K866" s="15"/>
      <c r="L866"/>
      <c r="M866"/>
      <c r="N866"/>
    </row>
    <row r="867" spans="9:14" x14ac:dyDescent="0.35">
      <c r="I867" s="15"/>
      <c r="J867" s="15"/>
      <c r="K867" s="15"/>
      <c r="L867"/>
      <c r="M867"/>
      <c r="N867"/>
    </row>
    <row r="868" spans="9:14" x14ac:dyDescent="0.35">
      <c r="I868" s="15"/>
      <c r="J868" s="15"/>
      <c r="K868" s="15"/>
      <c r="L868"/>
      <c r="M868"/>
      <c r="N868"/>
    </row>
    <row r="869" spans="9:14" x14ac:dyDescent="0.35">
      <c r="I869" s="15"/>
      <c r="J869" s="15"/>
      <c r="K869" s="15"/>
      <c r="L869"/>
      <c r="M869"/>
      <c r="N869"/>
    </row>
    <row r="870" spans="9:14" x14ac:dyDescent="0.35">
      <c r="I870" s="15"/>
      <c r="J870" s="15"/>
      <c r="K870" s="15"/>
      <c r="L870"/>
      <c r="M870"/>
      <c r="N870"/>
    </row>
    <row r="871" spans="9:14" x14ac:dyDescent="0.35">
      <c r="I871" s="15"/>
      <c r="J871" s="15"/>
      <c r="K871" s="15"/>
      <c r="L871"/>
      <c r="M871"/>
      <c r="N871"/>
    </row>
    <row r="872" spans="9:14" x14ac:dyDescent="0.35">
      <c r="I872" s="15"/>
      <c r="J872" s="15"/>
      <c r="K872" s="15"/>
      <c r="L872"/>
      <c r="M872"/>
      <c r="N872"/>
    </row>
    <row r="873" spans="9:14" x14ac:dyDescent="0.35">
      <c r="I873" s="15"/>
      <c r="J873" s="15"/>
      <c r="K873" s="15"/>
      <c r="L873"/>
      <c r="M873"/>
      <c r="N873"/>
    </row>
    <row r="874" spans="9:14" x14ac:dyDescent="0.35">
      <c r="I874" s="15"/>
      <c r="J874" s="15"/>
      <c r="K874" s="15"/>
      <c r="L874"/>
      <c r="M874"/>
      <c r="N874"/>
    </row>
    <row r="875" spans="9:14" x14ac:dyDescent="0.35">
      <c r="I875" s="15"/>
      <c r="J875" s="15"/>
      <c r="K875" s="15"/>
      <c r="L875"/>
      <c r="M875"/>
      <c r="N875"/>
    </row>
    <row r="876" spans="9:14" x14ac:dyDescent="0.35">
      <c r="I876" s="15"/>
      <c r="J876" s="15"/>
      <c r="K876" s="15"/>
      <c r="L876"/>
      <c r="M876"/>
      <c r="N876"/>
    </row>
    <row r="877" spans="9:14" x14ac:dyDescent="0.35">
      <c r="I877" s="15"/>
      <c r="J877" s="15"/>
      <c r="K877" s="15"/>
      <c r="L877"/>
      <c r="M877"/>
      <c r="N877"/>
    </row>
    <row r="878" spans="9:14" x14ac:dyDescent="0.35">
      <c r="I878" s="15"/>
      <c r="J878" s="15"/>
      <c r="K878" s="15"/>
      <c r="L878"/>
      <c r="M878"/>
      <c r="N878"/>
    </row>
    <row r="879" spans="9:14" x14ac:dyDescent="0.35">
      <c r="I879" s="15"/>
      <c r="J879" s="15"/>
      <c r="K879" s="15"/>
      <c r="L879"/>
      <c r="M879"/>
      <c r="N879"/>
    </row>
    <row r="880" spans="9:14" x14ac:dyDescent="0.35">
      <c r="I880" s="15"/>
      <c r="J880" s="15"/>
      <c r="K880" s="15"/>
      <c r="L880"/>
      <c r="M880"/>
      <c r="N880"/>
    </row>
    <row r="881" spans="9:14" x14ac:dyDescent="0.35">
      <c r="I881" s="15"/>
      <c r="J881" s="15"/>
      <c r="K881" s="15"/>
      <c r="L881"/>
      <c r="M881"/>
      <c r="N881"/>
    </row>
    <row r="882" spans="9:14" x14ac:dyDescent="0.35">
      <c r="I882" s="15"/>
      <c r="J882" s="15"/>
      <c r="K882" s="15"/>
      <c r="L882"/>
      <c r="M882"/>
      <c r="N882"/>
    </row>
    <row r="883" spans="9:14" x14ac:dyDescent="0.35">
      <c r="I883" s="15"/>
      <c r="J883" s="15"/>
      <c r="K883" s="15"/>
      <c r="L883"/>
      <c r="M883"/>
      <c r="N883"/>
    </row>
    <row r="884" spans="9:14" x14ac:dyDescent="0.35">
      <c r="I884" s="15"/>
      <c r="J884" s="15"/>
      <c r="K884" s="15"/>
      <c r="L884"/>
      <c r="M884"/>
      <c r="N884"/>
    </row>
    <row r="885" spans="9:14" x14ac:dyDescent="0.35">
      <c r="I885" s="15"/>
      <c r="J885" s="15"/>
      <c r="K885" s="15"/>
      <c r="L885"/>
      <c r="M885"/>
      <c r="N885"/>
    </row>
    <row r="886" spans="9:14" x14ac:dyDescent="0.35">
      <c r="I886" s="15"/>
      <c r="J886" s="15"/>
      <c r="K886" s="15"/>
      <c r="L886"/>
      <c r="M886"/>
      <c r="N886"/>
    </row>
    <row r="887" spans="9:14" x14ac:dyDescent="0.35">
      <c r="I887" s="15"/>
      <c r="J887" s="15"/>
      <c r="K887" s="15"/>
      <c r="L887"/>
      <c r="M887"/>
      <c r="N887"/>
    </row>
    <row r="888" spans="9:14" x14ac:dyDescent="0.35">
      <c r="I888" s="15"/>
      <c r="J888" s="15"/>
      <c r="K888" s="15"/>
      <c r="L888"/>
      <c r="M888"/>
      <c r="N888"/>
    </row>
    <row r="889" spans="9:14" x14ac:dyDescent="0.35">
      <c r="I889" s="15"/>
      <c r="J889" s="15"/>
      <c r="K889" s="15"/>
      <c r="L889"/>
      <c r="M889"/>
      <c r="N889"/>
    </row>
    <row r="890" spans="9:14" x14ac:dyDescent="0.35">
      <c r="I890" s="15"/>
      <c r="J890" s="15"/>
      <c r="K890" s="15"/>
      <c r="L890"/>
      <c r="M890"/>
      <c r="N890"/>
    </row>
    <row r="891" spans="9:14" x14ac:dyDescent="0.35">
      <c r="I891" s="15"/>
      <c r="J891" s="15"/>
      <c r="K891" s="15"/>
      <c r="L891"/>
      <c r="M891"/>
      <c r="N891"/>
    </row>
    <row r="892" spans="9:14" x14ac:dyDescent="0.35">
      <c r="I892" s="15"/>
      <c r="J892" s="15"/>
      <c r="K892" s="15"/>
      <c r="L892"/>
      <c r="M892"/>
      <c r="N892"/>
    </row>
    <row r="893" spans="9:14" x14ac:dyDescent="0.35">
      <c r="I893" s="15"/>
      <c r="J893" s="15"/>
      <c r="K893" s="15"/>
      <c r="L893"/>
      <c r="M893"/>
      <c r="N893"/>
    </row>
    <row r="894" spans="9:14" x14ac:dyDescent="0.35">
      <c r="I894" s="15"/>
      <c r="J894" s="15"/>
      <c r="K894" s="15"/>
      <c r="L894"/>
      <c r="M894"/>
      <c r="N894"/>
    </row>
    <row r="895" spans="9:14" x14ac:dyDescent="0.35">
      <c r="I895" s="15"/>
      <c r="J895" s="15"/>
      <c r="K895" s="15"/>
      <c r="L895"/>
      <c r="M895"/>
      <c r="N895"/>
    </row>
    <row r="896" spans="9:14" x14ac:dyDescent="0.35">
      <c r="I896" s="15"/>
      <c r="J896" s="15"/>
      <c r="K896" s="15"/>
      <c r="L896"/>
      <c r="M896"/>
      <c r="N896"/>
    </row>
    <row r="897" spans="9:14" x14ac:dyDescent="0.35">
      <c r="I897" s="15"/>
      <c r="J897" s="15"/>
      <c r="K897" s="15"/>
      <c r="L897"/>
      <c r="M897"/>
      <c r="N897"/>
    </row>
    <row r="898" spans="9:14" x14ac:dyDescent="0.35">
      <c r="I898" s="15"/>
      <c r="J898" s="15"/>
      <c r="K898" s="15"/>
      <c r="L898"/>
      <c r="M898"/>
      <c r="N898"/>
    </row>
    <row r="899" spans="9:14" x14ac:dyDescent="0.35">
      <c r="I899" s="15"/>
      <c r="J899" s="15"/>
      <c r="K899" s="15"/>
      <c r="L899"/>
      <c r="M899"/>
      <c r="N899"/>
    </row>
    <row r="900" spans="9:14" x14ac:dyDescent="0.35">
      <c r="I900" s="15"/>
      <c r="J900" s="15"/>
      <c r="K900" s="15"/>
      <c r="L900"/>
      <c r="M900"/>
      <c r="N900"/>
    </row>
    <row r="901" spans="9:14" x14ac:dyDescent="0.35">
      <c r="I901" s="15"/>
      <c r="J901" s="15"/>
      <c r="K901" s="15"/>
      <c r="L901"/>
      <c r="M901"/>
      <c r="N901"/>
    </row>
    <row r="902" spans="9:14" x14ac:dyDescent="0.35">
      <c r="I902" s="15"/>
      <c r="J902" s="15"/>
      <c r="K902" s="15"/>
      <c r="L902"/>
      <c r="M902"/>
      <c r="N902"/>
    </row>
    <row r="903" spans="9:14" x14ac:dyDescent="0.35">
      <c r="I903" s="15"/>
      <c r="J903" s="15"/>
      <c r="K903" s="15"/>
      <c r="L903"/>
      <c r="M903"/>
      <c r="N903"/>
    </row>
    <row r="904" spans="9:14" x14ac:dyDescent="0.35">
      <c r="I904" s="15"/>
      <c r="J904" s="15"/>
      <c r="K904" s="15"/>
      <c r="L904"/>
      <c r="M904"/>
      <c r="N904"/>
    </row>
    <row r="905" spans="9:14" x14ac:dyDescent="0.35">
      <c r="I905" s="15"/>
      <c r="J905" s="15"/>
      <c r="K905" s="15"/>
      <c r="L905"/>
      <c r="M905"/>
      <c r="N905"/>
    </row>
    <row r="906" spans="9:14" x14ac:dyDescent="0.35">
      <c r="I906" s="15"/>
      <c r="J906" s="15"/>
      <c r="K906" s="15"/>
      <c r="L906"/>
      <c r="M906"/>
      <c r="N906"/>
    </row>
    <row r="907" spans="9:14" x14ac:dyDescent="0.35">
      <c r="I907" s="15"/>
      <c r="J907" s="15"/>
      <c r="K907" s="15"/>
      <c r="L907"/>
      <c r="M907"/>
      <c r="N907"/>
    </row>
    <row r="908" spans="9:14" x14ac:dyDescent="0.35">
      <c r="I908" s="15"/>
      <c r="J908" s="15"/>
      <c r="K908" s="15"/>
      <c r="L908"/>
      <c r="M908"/>
      <c r="N908"/>
    </row>
    <row r="909" spans="9:14" x14ac:dyDescent="0.35">
      <c r="I909" s="15"/>
      <c r="J909" s="15"/>
      <c r="K909" s="15"/>
      <c r="L909"/>
      <c r="M909"/>
      <c r="N909"/>
    </row>
    <row r="910" spans="9:14" x14ac:dyDescent="0.35">
      <c r="I910" s="15"/>
      <c r="J910" s="15"/>
      <c r="K910" s="15"/>
      <c r="L910"/>
      <c r="M910"/>
      <c r="N910"/>
    </row>
    <row r="911" spans="9:14" x14ac:dyDescent="0.35">
      <c r="I911" s="15"/>
      <c r="J911" s="15"/>
      <c r="K911" s="15"/>
      <c r="L911"/>
      <c r="M911"/>
      <c r="N911"/>
    </row>
    <row r="912" spans="9:14" x14ac:dyDescent="0.35">
      <c r="I912" s="15"/>
      <c r="J912" s="15"/>
      <c r="K912" s="15"/>
      <c r="L912"/>
      <c r="M912"/>
      <c r="N912"/>
    </row>
    <row r="913" spans="9:14" x14ac:dyDescent="0.35">
      <c r="I913" s="15"/>
      <c r="J913" s="15"/>
      <c r="K913" s="15"/>
      <c r="L913"/>
      <c r="M913"/>
      <c r="N913"/>
    </row>
    <row r="914" spans="9:14" x14ac:dyDescent="0.35">
      <c r="I914" s="15"/>
      <c r="J914" s="15"/>
      <c r="K914" s="15"/>
      <c r="L914"/>
      <c r="M914"/>
      <c r="N914"/>
    </row>
    <row r="915" spans="9:14" x14ac:dyDescent="0.35">
      <c r="I915" s="15"/>
      <c r="J915" s="15"/>
      <c r="K915" s="15"/>
      <c r="L915"/>
      <c r="M915"/>
      <c r="N915"/>
    </row>
    <row r="916" spans="9:14" x14ac:dyDescent="0.35">
      <c r="I916" s="15"/>
      <c r="J916" s="15"/>
      <c r="K916" s="15"/>
      <c r="L916"/>
      <c r="M916"/>
      <c r="N916"/>
    </row>
    <row r="917" spans="9:14" x14ac:dyDescent="0.35">
      <c r="I917" s="15"/>
      <c r="J917" s="15"/>
      <c r="K917" s="15"/>
      <c r="L917"/>
      <c r="M917"/>
      <c r="N917"/>
    </row>
    <row r="918" spans="9:14" x14ac:dyDescent="0.35">
      <c r="I918" s="15"/>
      <c r="J918" s="15"/>
      <c r="K918" s="15"/>
      <c r="L918"/>
      <c r="M918"/>
      <c r="N918"/>
    </row>
    <row r="919" spans="9:14" x14ac:dyDescent="0.35">
      <c r="I919" s="15"/>
      <c r="J919" s="15"/>
      <c r="K919" s="15"/>
      <c r="L919"/>
      <c r="M919"/>
      <c r="N919"/>
    </row>
    <row r="920" spans="9:14" x14ac:dyDescent="0.35">
      <c r="I920" s="15"/>
      <c r="J920" s="15"/>
      <c r="K920" s="15"/>
      <c r="L920"/>
      <c r="M920"/>
      <c r="N920"/>
    </row>
    <row r="921" spans="9:14" x14ac:dyDescent="0.35">
      <c r="I921" s="15"/>
      <c r="J921" s="15"/>
      <c r="K921" s="15"/>
      <c r="L921"/>
      <c r="M921"/>
      <c r="N921"/>
    </row>
    <row r="922" spans="9:14" x14ac:dyDescent="0.35">
      <c r="I922" s="15"/>
      <c r="J922" s="15"/>
      <c r="K922" s="15"/>
      <c r="L922"/>
      <c r="M922"/>
      <c r="N922"/>
    </row>
    <row r="923" spans="9:14" x14ac:dyDescent="0.35">
      <c r="I923" s="15"/>
      <c r="J923" s="15"/>
      <c r="K923" s="15"/>
      <c r="L923"/>
      <c r="M923"/>
      <c r="N923"/>
    </row>
    <row r="924" spans="9:14" x14ac:dyDescent="0.35">
      <c r="I924" s="15"/>
      <c r="J924" s="15"/>
      <c r="K924" s="15"/>
      <c r="L924"/>
      <c r="M924"/>
      <c r="N924"/>
    </row>
    <row r="925" spans="9:14" x14ac:dyDescent="0.35">
      <c r="I925" s="15"/>
      <c r="J925" s="15"/>
      <c r="K925" s="15"/>
      <c r="L925"/>
      <c r="M925"/>
      <c r="N925"/>
    </row>
    <row r="926" spans="9:14" x14ac:dyDescent="0.35">
      <c r="I926" s="15"/>
      <c r="J926" s="15"/>
      <c r="K926" s="15"/>
      <c r="L926"/>
      <c r="M926"/>
      <c r="N926"/>
    </row>
    <row r="927" spans="9:14" x14ac:dyDescent="0.35">
      <c r="I927" s="15"/>
      <c r="J927" s="15"/>
      <c r="K927" s="15"/>
      <c r="L927"/>
      <c r="M927"/>
      <c r="N927"/>
    </row>
    <row r="928" spans="9:14" x14ac:dyDescent="0.35">
      <c r="I928" s="15"/>
      <c r="J928" s="15"/>
      <c r="K928" s="15"/>
      <c r="L928"/>
      <c r="M928"/>
      <c r="N928"/>
    </row>
    <row r="929" spans="9:14" x14ac:dyDescent="0.35">
      <c r="I929" s="15"/>
      <c r="J929" s="15"/>
      <c r="K929" s="15"/>
      <c r="L929"/>
      <c r="M929"/>
      <c r="N929"/>
    </row>
    <row r="930" spans="9:14" x14ac:dyDescent="0.35">
      <c r="I930" s="15"/>
      <c r="J930" s="15"/>
      <c r="K930" s="15"/>
      <c r="L930"/>
      <c r="M930"/>
      <c r="N930"/>
    </row>
    <row r="931" spans="9:14" x14ac:dyDescent="0.35">
      <c r="I931" s="15"/>
      <c r="J931" s="15"/>
      <c r="K931" s="15"/>
      <c r="L931"/>
      <c r="M931"/>
      <c r="N931"/>
    </row>
    <row r="932" spans="9:14" x14ac:dyDescent="0.35">
      <c r="I932" s="15"/>
      <c r="J932" s="15"/>
      <c r="K932" s="15"/>
      <c r="L932"/>
      <c r="M932"/>
      <c r="N932"/>
    </row>
    <row r="933" spans="9:14" x14ac:dyDescent="0.35">
      <c r="I933" s="15"/>
      <c r="J933" s="15"/>
      <c r="K933" s="15"/>
      <c r="L933"/>
      <c r="M933"/>
      <c r="N933"/>
    </row>
    <row r="934" spans="9:14" x14ac:dyDescent="0.35">
      <c r="I934" s="15"/>
      <c r="J934" s="15"/>
      <c r="K934" s="15"/>
      <c r="L934"/>
      <c r="M934"/>
      <c r="N934"/>
    </row>
    <row r="935" spans="9:14" x14ac:dyDescent="0.35">
      <c r="I935" s="15"/>
      <c r="J935" s="15"/>
      <c r="K935" s="15"/>
      <c r="L935"/>
      <c r="M935"/>
      <c r="N935"/>
    </row>
    <row r="936" spans="9:14" x14ac:dyDescent="0.35">
      <c r="I936" s="15"/>
      <c r="J936" s="15"/>
      <c r="K936" s="15"/>
      <c r="L936"/>
      <c r="M936"/>
      <c r="N936"/>
    </row>
    <row r="937" spans="9:14" x14ac:dyDescent="0.35">
      <c r="I937" s="15"/>
      <c r="J937" s="15"/>
      <c r="K937" s="15"/>
      <c r="L937"/>
      <c r="M937"/>
      <c r="N937"/>
    </row>
    <row r="938" spans="9:14" x14ac:dyDescent="0.35">
      <c r="I938" s="15"/>
      <c r="J938" s="15"/>
      <c r="K938" s="15"/>
      <c r="L938"/>
      <c r="M938"/>
      <c r="N938"/>
    </row>
    <row r="939" spans="9:14" x14ac:dyDescent="0.35">
      <c r="I939" s="15"/>
      <c r="J939" s="15"/>
      <c r="K939" s="15"/>
      <c r="L939"/>
      <c r="M939"/>
      <c r="N939"/>
    </row>
    <row r="940" spans="9:14" x14ac:dyDescent="0.35">
      <c r="I940" s="15"/>
      <c r="J940" s="15"/>
      <c r="K940" s="15"/>
      <c r="L940"/>
      <c r="M940"/>
      <c r="N940"/>
    </row>
    <row r="941" spans="9:14" x14ac:dyDescent="0.35">
      <c r="I941" s="15"/>
      <c r="J941" s="15"/>
      <c r="K941" s="15"/>
      <c r="L941"/>
      <c r="M941"/>
      <c r="N941"/>
    </row>
    <row r="942" spans="9:14" x14ac:dyDescent="0.35">
      <c r="I942" s="15"/>
      <c r="J942" s="15"/>
      <c r="K942" s="15"/>
      <c r="L942"/>
      <c r="M942"/>
      <c r="N942"/>
    </row>
    <row r="943" spans="9:14" x14ac:dyDescent="0.35">
      <c r="I943" s="15"/>
      <c r="J943" s="15"/>
      <c r="K943" s="15"/>
      <c r="L943"/>
      <c r="M943"/>
      <c r="N943"/>
    </row>
    <row r="944" spans="9:14" x14ac:dyDescent="0.35">
      <c r="I944" s="15"/>
      <c r="J944" s="15"/>
      <c r="K944" s="15"/>
      <c r="L944"/>
      <c r="M944"/>
      <c r="N944"/>
    </row>
    <row r="945" spans="9:14" x14ac:dyDescent="0.35">
      <c r="I945" s="15"/>
      <c r="J945" s="15"/>
      <c r="K945" s="15"/>
      <c r="L945"/>
      <c r="M945"/>
      <c r="N945"/>
    </row>
    <row r="946" spans="9:14" x14ac:dyDescent="0.35">
      <c r="I946" s="15"/>
      <c r="J946" s="15"/>
      <c r="K946" s="15"/>
      <c r="L946"/>
      <c r="M946"/>
      <c r="N946"/>
    </row>
    <row r="947" spans="9:14" x14ac:dyDescent="0.35">
      <c r="I947" s="15"/>
      <c r="J947" s="15"/>
      <c r="K947" s="15"/>
      <c r="L947"/>
      <c r="M947"/>
      <c r="N947"/>
    </row>
    <row r="948" spans="9:14" x14ac:dyDescent="0.35">
      <c r="I948" s="15"/>
      <c r="J948" s="15"/>
      <c r="K948" s="15"/>
      <c r="L948"/>
      <c r="M948"/>
      <c r="N948"/>
    </row>
    <row r="949" spans="9:14" x14ac:dyDescent="0.35">
      <c r="I949" s="15"/>
      <c r="J949" s="15"/>
      <c r="K949" s="15"/>
      <c r="L949"/>
      <c r="M949"/>
      <c r="N949"/>
    </row>
    <row r="950" spans="9:14" x14ac:dyDescent="0.35">
      <c r="I950" s="15"/>
      <c r="J950" s="15"/>
      <c r="K950" s="15"/>
      <c r="L950"/>
      <c r="M950"/>
      <c r="N950"/>
    </row>
    <row r="951" spans="9:14" x14ac:dyDescent="0.35">
      <c r="I951" s="15"/>
      <c r="J951" s="15"/>
      <c r="K951" s="15"/>
      <c r="L951"/>
      <c r="M951"/>
      <c r="N951"/>
    </row>
    <row r="952" spans="9:14" x14ac:dyDescent="0.35">
      <c r="I952" s="15"/>
      <c r="J952" s="15"/>
      <c r="K952" s="15"/>
      <c r="L952"/>
      <c r="M952"/>
      <c r="N952"/>
    </row>
    <row r="953" spans="9:14" x14ac:dyDescent="0.35">
      <c r="I953" s="15"/>
      <c r="J953" s="15"/>
      <c r="K953" s="15"/>
      <c r="L953"/>
      <c r="M953"/>
      <c r="N953"/>
    </row>
    <row r="954" spans="9:14" x14ac:dyDescent="0.35">
      <c r="I954" s="15"/>
      <c r="J954" s="15"/>
      <c r="K954" s="15"/>
      <c r="L954"/>
      <c r="M954"/>
      <c r="N954"/>
    </row>
    <row r="955" spans="9:14" x14ac:dyDescent="0.35">
      <c r="I955" s="15"/>
      <c r="J955" s="15"/>
      <c r="K955" s="15"/>
      <c r="L955"/>
      <c r="M955"/>
      <c r="N955"/>
    </row>
    <row r="956" spans="9:14" x14ac:dyDescent="0.35">
      <c r="I956" s="15"/>
      <c r="J956" s="15"/>
      <c r="K956" s="15"/>
      <c r="L956"/>
      <c r="M956"/>
      <c r="N956"/>
    </row>
    <row r="957" spans="9:14" x14ac:dyDescent="0.35">
      <c r="I957" s="15"/>
      <c r="J957" s="15"/>
      <c r="K957" s="15"/>
      <c r="L957"/>
      <c r="M957"/>
      <c r="N957"/>
    </row>
    <row r="958" spans="9:14" x14ac:dyDescent="0.35">
      <c r="I958" s="15"/>
      <c r="J958" s="15"/>
      <c r="K958" s="15"/>
      <c r="L958"/>
      <c r="M958"/>
      <c r="N958"/>
    </row>
    <row r="959" spans="9:14" x14ac:dyDescent="0.35">
      <c r="I959" s="15"/>
      <c r="J959" s="15"/>
      <c r="K959" s="15"/>
      <c r="L959"/>
      <c r="M959"/>
      <c r="N959"/>
    </row>
    <row r="960" spans="9:14" x14ac:dyDescent="0.35">
      <c r="I960" s="15"/>
      <c r="J960" s="15"/>
      <c r="K960" s="15"/>
      <c r="L960"/>
      <c r="M960"/>
      <c r="N960"/>
    </row>
    <row r="961" spans="9:14" x14ac:dyDescent="0.35">
      <c r="I961" s="15"/>
      <c r="J961" s="15"/>
      <c r="K961" s="15"/>
      <c r="L961"/>
      <c r="M961"/>
      <c r="N961"/>
    </row>
    <row r="962" spans="9:14" x14ac:dyDescent="0.35">
      <c r="I962" s="15"/>
      <c r="J962" s="15"/>
      <c r="K962" s="15"/>
      <c r="L962"/>
      <c r="M962"/>
      <c r="N962"/>
    </row>
    <row r="963" spans="9:14" x14ac:dyDescent="0.35">
      <c r="I963" s="15"/>
      <c r="J963" s="15"/>
      <c r="K963" s="15"/>
      <c r="L963"/>
      <c r="M963"/>
      <c r="N963"/>
    </row>
    <row r="964" spans="9:14" x14ac:dyDescent="0.35">
      <c r="I964" s="15"/>
      <c r="J964" s="15"/>
      <c r="K964" s="15"/>
      <c r="L964"/>
      <c r="M964"/>
      <c r="N964"/>
    </row>
    <row r="965" spans="9:14" x14ac:dyDescent="0.35">
      <c r="I965" s="15"/>
      <c r="J965" s="15"/>
      <c r="K965" s="15"/>
      <c r="L965"/>
      <c r="M965"/>
      <c r="N965"/>
    </row>
    <row r="966" spans="9:14" x14ac:dyDescent="0.35">
      <c r="I966" s="15"/>
      <c r="J966" s="15"/>
      <c r="K966" s="15"/>
      <c r="L966"/>
      <c r="M966"/>
      <c r="N966"/>
    </row>
    <row r="967" spans="9:14" x14ac:dyDescent="0.35">
      <c r="I967" s="15"/>
      <c r="J967" s="15"/>
      <c r="K967" s="15"/>
      <c r="L967"/>
      <c r="M967"/>
      <c r="N967"/>
    </row>
    <row r="968" spans="9:14" x14ac:dyDescent="0.35">
      <c r="I968" s="15"/>
      <c r="J968" s="15"/>
      <c r="K968" s="15"/>
      <c r="L968"/>
      <c r="M968"/>
      <c r="N968"/>
    </row>
    <row r="969" spans="9:14" x14ac:dyDescent="0.35">
      <c r="I969" s="15"/>
      <c r="J969" s="15"/>
      <c r="K969" s="15"/>
      <c r="L969"/>
      <c r="M969"/>
      <c r="N969"/>
    </row>
    <row r="970" spans="9:14" x14ac:dyDescent="0.35">
      <c r="I970" s="15"/>
      <c r="J970" s="15"/>
      <c r="K970" s="15"/>
      <c r="L970"/>
      <c r="M970"/>
      <c r="N970"/>
    </row>
    <row r="971" spans="9:14" x14ac:dyDescent="0.35">
      <c r="I971" s="15"/>
      <c r="J971" s="15"/>
      <c r="K971" s="15"/>
      <c r="L971"/>
      <c r="M971"/>
      <c r="N971"/>
    </row>
    <row r="972" spans="9:14" x14ac:dyDescent="0.35">
      <c r="I972" s="15"/>
      <c r="J972" s="15"/>
      <c r="K972" s="15"/>
      <c r="L972"/>
      <c r="M972"/>
      <c r="N972"/>
    </row>
    <row r="973" spans="9:14" x14ac:dyDescent="0.35">
      <c r="I973" s="15"/>
      <c r="J973" s="15"/>
      <c r="K973" s="15"/>
      <c r="L973"/>
      <c r="M973"/>
      <c r="N973"/>
    </row>
    <row r="974" spans="9:14" x14ac:dyDescent="0.35">
      <c r="I974" s="15"/>
      <c r="J974" s="15"/>
      <c r="K974" s="15"/>
      <c r="L974"/>
      <c r="M974"/>
      <c r="N974"/>
    </row>
    <row r="975" spans="9:14" x14ac:dyDescent="0.35">
      <c r="I975" s="15"/>
      <c r="J975" s="15"/>
      <c r="K975" s="15"/>
      <c r="L975"/>
      <c r="M975"/>
      <c r="N975"/>
    </row>
    <row r="976" spans="9:14" x14ac:dyDescent="0.35">
      <c r="I976" s="15"/>
      <c r="J976" s="15"/>
      <c r="K976" s="15"/>
      <c r="L976"/>
      <c r="M976"/>
      <c r="N976"/>
    </row>
    <row r="977" spans="9:14" x14ac:dyDescent="0.35">
      <c r="I977" s="15"/>
      <c r="J977" s="15"/>
      <c r="K977" s="15"/>
      <c r="L977"/>
      <c r="M977"/>
      <c r="N977"/>
    </row>
    <row r="978" spans="9:14" x14ac:dyDescent="0.35">
      <c r="I978" s="15"/>
      <c r="J978" s="15"/>
      <c r="K978" s="15"/>
      <c r="L978"/>
      <c r="M978"/>
      <c r="N978"/>
    </row>
    <row r="979" spans="9:14" x14ac:dyDescent="0.35">
      <c r="I979" s="15"/>
      <c r="J979" s="15"/>
      <c r="K979" s="15"/>
      <c r="L979"/>
      <c r="M979"/>
      <c r="N979"/>
    </row>
    <row r="980" spans="9:14" x14ac:dyDescent="0.35">
      <c r="I980" s="15"/>
      <c r="J980" s="15"/>
      <c r="K980" s="15"/>
      <c r="L980"/>
      <c r="M980"/>
      <c r="N980"/>
    </row>
    <row r="981" spans="9:14" x14ac:dyDescent="0.35">
      <c r="I981" s="15"/>
      <c r="J981" s="15"/>
      <c r="K981" s="15"/>
      <c r="L981"/>
      <c r="M981"/>
      <c r="N981"/>
    </row>
    <row r="982" spans="9:14" x14ac:dyDescent="0.35">
      <c r="I982" s="15"/>
      <c r="J982" s="15"/>
      <c r="K982" s="15"/>
      <c r="L982"/>
      <c r="M982"/>
      <c r="N982"/>
    </row>
    <row r="983" spans="9:14" x14ac:dyDescent="0.35">
      <c r="I983" s="15"/>
      <c r="J983" s="15"/>
      <c r="K983" s="15"/>
      <c r="L983"/>
      <c r="M983"/>
      <c r="N983"/>
    </row>
    <row r="984" spans="9:14" x14ac:dyDescent="0.35">
      <c r="I984" s="15"/>
      <c r="J984" s="15"/>
      <c r="K984" s="15"/>
      <c r="L984"/>
      <c r="M984"/>
      <c r="N984"/>
    </row>
    <row r="985" spans="9:14" x14ac:dyDescent="0.35">
      <c r="I985" s="15"/>
      <c r="J985" s="15"/>
      <c r="K985" s="15"/>
      <c r="L985"/>
      <c r="M985"/>
      <c r="N985"/>
    </row>
    <row r="986" spans="9:14" x14ac:dyDescent="0.35">
      <c r="I986" s="15"/>
      <c r="J986" s="15"/>
      <c r="K986" s="15"/>
      <c r="L986"/>
      <c r="M986"/>
      <c r="N986"/>
    </row>
    <row r="987" spans="9:14" x14ac:dyDescent="0.35">
      <c r="I987" s="15"/>
      <c r="J987" s="15"/>
      <c r="K987" s="15"/>
      <c r="L987"/>
      <c r="M987"/>
      <c r="N987"/>
    </row>
    <row r="988" spans="9:14" x14ac:dyDescent="0.35">
      <c r="I988" s="15"/>
      <c r="J988" s="15"/>
      <c r="K988" s="15"/>
      <c r="L988"/>
      <c r="M988"/>
      <c r="N988"/>
    </row>
    <row r="989" spans="9:14" x14ac:dyDescent="0.35">
      <c r="I989" s="15"/>
      <c r="J989" s="15"/>
      <c r="K989" s="15"/>
      <c r="L989"/>
      <c r="M989"/>
      <c r="N989"/>
    </row>
    <row r="990" spans="9:14" x14ac:dyDescent="0.35">
      <c r="I990" s="15"/>
      <c r="J990" s="15"/>
      <c r="K990" s="15"/>
      <c r="L990"/>
      <c r="M990"/>
      <c r="N990"/>
    </row>
    <row r="991" spans="9:14" x14ac:dyDescent="0.35">
      <c r="I991" s="15"/>
      <c r="J991" s="15"/>
      <c r="K991" s="15"/>
      <c r="L991"/>
      <c r="M991"/>
      <c r="N991"/>
    </row>
    <row r="992" spans="9:14" x14ac:dyDescent="0.35">
      <c r="I992" s="15"/>
      <c r="J992" s="15"/>
      <c r="K992" s="15"/>
      <c r="L992"/>
      <c r="M992"/>
      <c r="N992"/>
    </row>
    <row r="993" spans="9:14" x14ac:dyDescent="0.35">
      <c r="I993" s="15"/>
      <c r="J993" s="15"/>
      <c r="K993" s="15"/>
      <c r="L993"/>
      <c r="M993"/>
      <c r="N993"/>
    </row>
    <row r="994" spans="9:14" x14ac:dyDescent="0.35">
      <c r="I994" s="15"/>
      <c r="J994" s="15"/>
      <c r="K994" s="15"/>
      <c r="L994"/>
      <c r="M994"/>
      <c r="N994"/>
    </row>
    <row r="995" spans="9:14" x14ac:dyDescent="0.35">
      <c r="I995" s="15"/>
      <c r="J995" s="15"/>
      <c r="K995" s="15"/>
      <c r="L995"/>
      <c r="M995"/>
      <c r="N995"/>
    </row>
    <row r="996" spans="9:14" x14ac:dyDescent="0.35">
      <c r="I996" s="15"/>
      <c r="J996" s="15"/>
      <c r="K996" s="15"/>
      <c r="L996"/>
      <c r="M996"/>
      <c r="N996"/>
    </row>
    <row r="997" spans="9:14" x14ac:dyDescent="0.35">
      <c r="I997" s="15"/>
      <c r="J997" s="15"/>
      <c r="K997" s="15"/>
      <c r="L997"/>
      <c r="M997"/>
      <c r="N997"/>
    </row>
    <row r="998" spans="9:14" x14ac:dyDescent="0.35">
      <c r="I998" s="15"/>
      <c r="J998" s="15"/>
      <c r="K998" s="15"/>
      <c r="L998"/>
      <c r="M998"/>
      <c r="N998"/>
    </row>
    <row r="999" spans="9:14" x14ac:dyDescent="0.35">
      <c r="I999" s="15"/>
      <c r="J999" s="15"/>
      <c r="K999" s="15"/>
      <c r="L999"/>
      <c r="M999"/>
      <c r="N999"/>
    </row>
    <row r="1000" spans="9:14" x14ac:dyDescent="0.35">
      <c r="I1000" s="15"/>
      <c r="J1000" s="15"/>
      <c r="K1000" s="15"/>
      <c r="L1000"/>
      <c r="M1000"/>
      <c r="N1000"/>
    </row>
    <row r="1001" spans="9:14" x14ac:dyDescent="0.35">
      <c r="I1001" s="15"/>
      <c r="J1001" s="15"/>
      <c r="K1001" s="15"/>
      <c r="L1001"/>
      <c r="M1001"/>
      <c r="N1001"/>
    </row>
    <row r="1002" spans="9:14" x14ac:dyDescent="0.35">
      <c r="I1002" s="15"/>
      <c r="J1002" s="15"/>
      <c r="K1002" s="15"/>
      <c r="L1002"/>
      <c r="M1002"/>
      <c r="N1002"/>
    </row>
    <row r="1003" spans="9:14" x14ac:dyDescent="0.35">
      <c r="I1003" s="15"/>
      <c r="J1003" s="15"/>
      <c r="K1003" s="15"/>
      <c r="L1003"/>
      <c r="M1003"/>
      <c r="N1003"/>
    </row>
    <row r="1004" spans="9:14" x14ac:dyDescent="0.35">
      <c r="I1004" s="15"/>
      <c r="J1004" s="15"/>
      <c r="K1004" s="15"/>
      <c r="L1004"/>
      <c r="M1004"/>
      <c r="N1004"/>
    </row>
    <row r="1005" spans="9:14" x14ac:dyDescent="0.35">
      <c r="I1005" s="15"/>
      <c r="J1005" s="15"/>
      <c r="K1005" s="15"/>
      <c r="L1005"/>
      <c r="M1005"/>
      <c r="N1005"/>
    </row>
    <row r="1006" spans="9:14" x14ac:dyDescent="0.35">
      <c r="I1006" s="15"/>
      <c r="J1006" s="15"/>
      <c r="K1006" s="15"/>
      <c r="L1006"/>
      <c r="M1006"/>
      <c r="N1006"/>
    </row>
    <row r="1007" spans="9:14" x14ac:dyDescent="0.35">
      <c r="I1007" s="15"/>
      <c r="J1007" s="15"/>
      <c r="K1007" s="15"/>
      <c r="L1007"/>
      <c r="M1007"/>
      <c r="N1007"/>
    </row>
    <row r="1008" spans="9:14" x14ac:dyDescent="0.35">
      <c r="I1008" s="15"/>
      <c r="J1008" s="15"/>
      <c r="K1008" s="15"/>
      <c r="L1008"/>
      <c r="M1008"/>
      <c r="N1008"/>
    </row>
    <row r="1009" spans="9:14" x14ac:dyDescent="0.35">
      <c r="I1009" s="15"/>
      <c r="J1009" s="15"/>
      <c r="K1009" s="15"/>
      <c r="L1009"/>
      <c r="M1009"/>
      <c r="N1009"/>
    </row>
    <row r="1010" spans="9:14" x14ac:dyDescent="0.35">
      <c r="I1010" s="15"/>
      <c r="J1010" s="15"/>
      <c r="K1010" s="15"/>
      <c r="L1010"/>
      <c r="M1010"/>
      <c r="N1010"/>
    </row>
    <row r="1011" spans="9:14" x14ac:dyDescent="0.35">
      <c r="I1011" s="15"/>
      <c r="J1011" s="15"/>
      <c r="K1011" s="15"/>
      <c r="L1011"/>
      <c r="M1011"/>
      <c r="N1011"/>
    </row>
    <row r="1012" spans="9:14" x14ac:dyDescent="0.35">
      <c r="I1012" s="15"/>
      <c r="J1012" s="15"/>
      <c r="K1012" s="15"/>
      <c r="L1012"/>
      <c r="M1012"/>
      <c r="N1012"/>
    </row>
    <row r="1013" spans="9:14" x14ac:dyDescent="0.35">
      <c r="I1013" s="15"/>
      <c r="J1013" s="15"/>
      <c r="K1013" s="15"/>
      <c r="L1013"/>
      <c r="M1013"/>
      <c r="N1013"/>
    </row>
    <row r="1014" spans="9:14" x14ac:dyDescent="0.35">
      <c r="I1014" s="15"/>
      <c r="J1014" s="15"/>
      <c r="K1014" s="15"/>
      <c r="L1014"/>
      <c r="M1014"/>
      <c r="N1014"/>
    </row>
    <row r="1015" spans="9:14" x14ac:dyDescent="0.35">
      <c r="I1015" s="15"/>
      <c r="J1015" s="15"/>
      <c r="K1015" s="15"/>
      <c r="L1015"/>
      <c r="M1015"/>
      <c r="N1015"/>
    </row>
    <row r="1016" spans="9:14" x14ac:dyDescent="0.35">
      <c r="I1016" s="15"/>
      <c r="J1016" s="15"/>
      <c r="K1016" s="15"/>
      <c r="L1016"/>
      <c r="M1016"/>
      <c r="N1016"/>
    </row>
    <row r="1017" spans="9:14" x14ac:dyDescent="0.35">
      <c r="I1017" s="15"/>
      <c r="J1017" s="15"/>
      <c r="K1017" s="15"/>
      <c r="L1017"/>
      <c r="M1017"/>
      <c r="N1017"/>
    </row>
    <row r="1018" spans="9:14" x14ac:dyDescent="0.35">
      <c r="I1018" s="15"/>
      <c r="J1018" s="15"/>
      <c r="K1018" s="15"/>
      <c r="L1018"/>
      <c r="M1018"/>
      <c r="N1018"/>
    </row>
    <row r="1019" spans="9:14" x14ac:dyDescent="0.35">
      <c r="I1019" s="15"/>
      <c r="J1019" s="15"/>
      <c r="K1019" s="15"/>
      <c r="L1019"/>
      <c r="M1019"/>
      <c r="N1019"/>
    </row>
    <row r="1020" spans="9:14" x14ac:dyDescent="0.35">
      <c r="I1020" s="15"/>
      <c r="J1020" s="15"/>
      <c r="K1020" s="15"/>
      <c r="L1020"/>
      <c r="M1020"/>
      <c r="N1020"/>
    </row>
    <row r="1021" spans="9:14" x14ac:dyDescent="0.35">
      <c r="I1021" s="15"/>
      <c r="J1021" s="15"/>
      <c r="K1021" s="15"/>
      <c r="L1021"/>
      <c r="M1021"/>
      <c r="N1021"/>
    </row>
    <row r="1022" spans="9:14" x14ac:dyDescent="0.35">
      <c r="I1022" s="15"/>
      <c r="J1022" s="15"/>
      <c r="K1022" s="15"/>
      <c r="L1022"/>
      <c r="M1022"/>
      <c r="N1022"/>
    </row>
    <row r="1023" spans="9:14" x14ac:dyDescent="0.35">
      <c r="I1023" s="15"/>
      <c r="J1023" s="15"/>
      <c r="K1023" s="15"/>
      <c r="L1023"/>
      <c r="M1023"/>
      <c r="N1023"/>
    </row>
    <row r="1024" spans="9:14" x14ac:dyDescent="0.35">
      <c r="I1024" s="15"/>
      <c r="J1024" s="15"/>
      <c r="K1024" s="15"/>
      <c r="L1024"/>
      <c r="M1024"/>
      <c r="N1024"/>
    </row>
    <row r="1025" spans="9:14" x14ac:dyDescent="0.35">
      <c r="I1025" s="15"/>
      <c r="J1025" s="15"/>
      <c r="K1025" s="15"/>
      <c r="L1025"/>
      <c r="M1025"/>
      <c r="N1025"/>
    </row>
    <row r="1026" spans="9:14" x14ac:dyDescent="0.35">
      <c r="I1026" s="15"/>
      <c r="J1026" s="15"/>
      <c r="K1026" s="15"/>
      <c r="L1026"/>
      <c r="M1026"/>
      <c r="N1026"/>
    </row>
    <row r="1027" spans="9:14" x14ac:dyDescent="0.35">
      <c r="I1027" s="15"/>
      <c r="J1027" s="15"/>
      <c r="K1027" s="15"/>
      <c r="L1027"/>
      <c r="M1027"/>
      <c r="N1027"/>
    </row>
    <row r="1028" spans="9:14" x14ac:dyDescent="0.35">
      <c r="I1028" s="15"/>
      <c r="J1028" s="15"/>
      <c r="K1028" s="15"/>
      <c r="L1028"/>
      <c r="M1028"/>
      <c r="N1028"/>
    </row>
    <row r="1029" spans="9:14" x14ac:dyDescent="0.35">
      <c r="I1029" s="15"/>
      <c r="J1029" s="15"/>
      <c r="K1029" s="15"/>
      <c r="L1029"/>
      <c r="M1029"/>
      <c r="N1029"/>
    </row>
    <row r="1030" spans="9:14" x14ac:dyDescent="0.35">
      <c r="I1030" s="15"/>
      <c r="J1030" s="15"/>
      <c r="K1030" s="15"/>
      <c r="L1030"/>
      <c r="M1030"/>
      <c r="N1030"/>
    </row>
    <row r="1031" spans="9:14" x14ac:dyDescent="0.35">
      <c r="I1031" s="15"/>
      <c r="J1031" s="15"/>
      <c r="K1031" s="15"/>
      <c r="L1031"/>
      <c r="M1031"/>
      <c r="N1031"/>
    </row>
    <row r="1032" spans="9:14" x14ac:dyDescent="0.35">
      <c r="I1032" s="15"/>
      <c r="J1032" s="15"/>
      <c r="K1032" s="15"/>
      <c r="L1032"/>
      <c r="M1032"/>
      <c r="N1032"/>
    </row>
    <row r="1033" spans="9:14" x14ac:dyDescent="0.35">
      <c r="I1033" s="15"/>
      <c r="J1033" s="15"/>
      <c r="K1033" s="15"/>
      <c r="L1033"/>
      <c r="M1033"/>
      <c r="N1033"/>
    </row>
    <row r="1034" spans="9:14" x14ac:dyDescent="0.35">
      <c r="I1034" s="15"/>
      <c r="J1034" s="15"/>
      <c r="K1034" s="15"/>
      <c r="L1034"/>
      <c r="M1034"/>
      <c r="N1034"/>
    </row>
    <row r="1035" spans="9:14" x14ac:dyDescent="0.35">
      <c r="I1035" s="15"/>
      <c r="J1035" s="15"/>
      <c r="K1035" s="15"/>
      <c r="L1035"/>
      <c r="M1035"/>
      <c r="N1035"/>
    </row>
    <row r="1036" spans="9:14" x14ac:dyDescent="0.35">
      <c r="I1036" s="15"/>
      <c r="J1036" s="15"/>
      <c r="K1036" s="15"/>
      <c r="L1036"/>
      <c r="M1036"/>
      <c r="N1036"/>
    </row>
    <row r="1037" spans="9:14" x14ac:dyDescent="0.35">
      <c r="I1037" s="15"/>
      <c r="J1037" s="15"/>
      <c r="K1037" s="15"/>
      <c r="L1037"/>
      <c r="M1037"/>
      <c r="N1037"/>
    </row>
    <row r="1038" spans="9:14" x14ac:dyDescent="0.35">
      <c r="I1038" s="15"/>
      <c r="J1038" s="15"/>
      <c r="K1038" s="15"/>
      <c r="L1038"/>
      <c r="M1038"/>
      <c r="N1038"/>
    </row>
    <row r="1039" spans="9:14" x14ac:dyDescent="0.35">
      <c r="I1039" s="15"/>
      <c r="J1039" s="15"/>
      <c r="K1039" s="15"/>
      <c r="L1039"/>
      <c r="M1039"/>
      <c r="N1039"/>
    </row>
    <row r="1040" spans="9:14" x14ac:dyDescent="0.35">
      <c r="I1040" s="15"/>
      <c r="J1040" s="15"/>
      <c r="K1040" s="15"/>
      <c r="L1040"/>
      <c r="M1040"/>
      <c r="N1040"/>
    </row>
    <row r="1041" spans="9:14" x14ac:dyDescent="0.35">
      <c r="I1041" s="15"/>
      <c r="J1041" s="15"/>
      <c r="K1041" s="15"/>
      <c r="L1041"/>
      <c r="M1041"/>
      <c r="N1041"/>
    </row>
    <row r="1042" spans="9:14" x14ac:dyDescent="0.35">
      <c r="I1042" s="15"/>
      <c r="J1042" s="15"/>
      <c r="K1042" s="15"/>
      <c r="L1042"/>
      <c r="M1042"/>
      <c r="N1042"/>
    </row>
    <row r="1043" spans="9:14" x14ac:dyDescent="0.35">
      <c r="I1043" s="15"/>
      <c r="J1043" s="15"/>
      <c r="K1043" s="15"/>
      <c r="L1043"/>
      <c r="M1043"/>
      <c r="N1043"/>
    </row>
    <row r="1044" spans="9:14" x14ac:dyDescent="0.35">
      <c r="I1044" s="15"/>
      <c r="J1044" s="15"/>
      <c r="K1044" s="15"/>
      <c r="L1044"/>
      <c r="M1044"/>
      <c r="N1044"/>
    </row>
    <row r="1045" spans="9:14" x14ac:dyDescent="0.35">
      <c r="I1045" s="15"/>
      <c r="J1045" s="15"/>
      <c r="K1045" s="15"/>
      <c r="L1045"/>
      <c r="M1045"/>
      <c r="N1045"/>
    </row>
    <row r="1046" spans="9:14" x14ac:dyDescent="0.35">
      <c r="I1046" s="15"/>
      <c r="J1046" s="15"/>
      <c r="K1046" s="15"/>
      <c r="L1046"/>
      <c r="M1046"/>
      <c r="N1046"/>
    </row>
    <row r="1047" spans="9:14" x14ac:dyDescent="0.35">
      <c r="I1047" s="15"/>
      <c r="J1047" s="15"/>
      <c r="K1047" s="15"/>
      <c r="L1047"/>
      <c r="M1047"/>
      <c r="N1047"/>
    </row>
    <row r="1048" spans="9:14" x14ac:dyDescent="0.35">
      <c r="I1048" s="15"/>
      <c r="J1048" s="15"/>
      <c r="K1048" s="15"/>
      <c r="L1048"/>
      <c r="M1048"/>
      <c r="N1048"/>
    </row>
    <row r="1049" spans="9:14" x14ac:dyDescent="0.35">
      <c r="I1049" s="15"/>
      <c r="J1049" s="15"/>
      <c r="K1049" s="15"/>
      <c r="L1049"/>
      <c r="M1049"/>
      <c r="N1049"/>
    </row>
    <row r="1050" spans="9:14" x14ac:dyDescent="0.35">
      <c r="I1050" s="15"/>
      <c r="J1050" s="15"/>
      <c r="K1050" s="15"/>
      <c r="L1050"/>
      <c r="M1050"/>
      <c r="N1050"/>
    </row>
    <row r="1051" spans="9:14" x14ac:dyDescent="0.35">
      <c r="I1051" s="15"/>
      <c r="J1051" s="15"/>
      <c r="K1051" s="15"/>
      <c r="L1051"/>
      <c r="M1051"/>
      <c r="N1051"/>
    </row>
    <row r="1052" spans="9:14" x14ac:dyDescent="0.35">
      <c r="I1052" s="15"/>
      <c r="J1052" s="15"/>
      <c r="K1052" s="15"/>
      <c r="L1052"/>
      <c r="M1052"/>
      <c r="N1052"/>
    </row>
    <row r="1053" spans="9:14" x14ac:dyDescent="0.35">
      <c r="I1053" s="15"/>
      <c r="J1053" s="15"/>
      <c r="K1053" s="15"/>
      <c r="L1053"/>
      <c r="M1053"/>
      <c r="N1053"/>
    </row>
    <row r="1054" spans="9:14" x14ac:dyDescent="0.35">
      <c r="I1054" s="15"/>
      <c r="J1054" s="15"/>
      <c r="K1054" s="15"/>
      <c r="L1054"/>
      <c r="M1054"/>
      <c r="N1054"/>
    </row>
    <row r="1055" spans="9:14" x14ac:dyDescent="0.35">
      <c r="I1055" s="15"/>
      <c r="J1055" s="15"/>
      <c r="K1055" s="15"/>
      <c r="L1055"/>
      <c r="M1055"/>
      <c r="N1055"/>
    </row>
    <row r="1056" spans="9:14" x14ac:dyDescent="0.35">
      <c r="I1056" s="15"/>
      <c r="J1056" s="15"/>
      <c r="K1056" s="15"/>
      <c r="L1056"/>
      <c r="M1056"/>
      <c r="N1056"/>
    </row>
    <row r="1057" spans="9:14" x14ac:dyDescent="0.35">
      <c r="I1057" s="15"/>
      <c r="J1057" s="15"/>
      <c r="K1057" s="15"/>
      <c r="L1057"/>
      <c r="M1057"/>
      <c r="N1057"/>
    </row>
    <row r="1058" spans="9:14" x14ac:dyDescent="0.35">
      <c r="I1058" s="15"/>
      <c r="J1058" s="15"/>
      <c r="K1058" s="15"/>
      <c r="L1058"/>
      <c r="M1058"/>
      <c r="N1058"/>
    </row>
    <row r="1059" spans="9:14" x14ac:dyDescent="0.35">
      <c r="I1059" s="15"/>
      <c r="J1059" s="15"/>
      <c r="K1059" s="15"/>
      <c r="L1059"/>
      <c r="M1059"/>
      <c r="N1059"/>
    </row>
    <row r="1060" spans="9:14" x14ac:dyDescent="0.35">
      <c r="I1060" s="15"/>
      <c r="J1060" s="15"/>
      <c r="K1060" s="15"/>
      <c r="L1060"/>
      <c r="M1060"/>
      <c r="N1060"/>
    </row>
    <row r="1061" spans="9:14" x14ac:dyDescent="0.35">
      <c r="I1061" s="15"/>
      <c r="J1061" s="15"/>
      <c r="K1061" s="15"/>
      <c r="L1061"/>
      <c r="M1061"/>
      <c r="N1061"/>
    </row>
    <row r="1062" spans="9:14" x14ac:dyDescent="0.35">
      <c r="I1062" s="15"/>
      <c r="J1062" s="15"/>
      <c r="K1062" s="15"/>
      <c r="L1062"/>
      <c r="M1062"/>
      <c r="N1062"/>
    </row>
    <row r="1063" spans="9:14" x14ac:dyDescent="0.35">
      <c r="I1063" s="15"/>
      <c r="J1063" s="15"/>
      <c r="K1063" s="15"/>
      <c r="L1063"/>
      <c r="M1063"/>
      <c r="N1063"/>
    </row>
    <row r="1064" spans="9:14" x14ac:dyDescent="0.35">
      <c r="I1064" s="15"/>
      <c r="J1064" s="15"/>
      <c r="K1064" s="15"/>
      <c r="L1064"/>
      <c r="M1064"/>
      <c r="N1064"/>
    </row>
    <row r="1065" spans="9:14" x14ac:dyDescent="0.35">
      <c r="I1065" s="15"/>
      <c r="J1065" s="15"/>
      <c r="K1065" s="15"/>
      <c r="L1065"/>
      <c r="M1065"/>
      <c r="N1065"/>
    </row>
    <row r="1066" spans="9:14" x14ac:dyDescent="0.35">
      <c r="I1066" s="15"/>
      <c r="J1066" s="15"/>
      <c r="K1066" s="15"/>
      <c r="L1066"/>
      <c r="M1066"/>
      <c r="N1066"/>
    </row>
    <row r="1067" spans="9:14" x14ac:dyDescent="0.35">
      <c r="I1067" s="15"/>
      <c r="J1067" s="15"/>
      <c r="K1067" s="15"/>
      <c r="L1067"/>
      <c r="M1067"/>
      <c r="N1067"/>
    </row>
    <row r="1068" spans="9:14" x14ac:dyDescent="0.35">
      <c r="I1068" s="15"/>
      <c r="J1068" s="15"/>
      <c r="K1068" s="15"/>
      <c r="L1068"/>
      <c r="M1068"/>
      <c r="N1068"/>
    </row>
    <row r="1069" spans="9:14" x14ac:dyDescent="0.35">
      <c r="I1069" s="15"/>
      <c r="J1069" s="15"/>
      <c r="K1069" s="15"/>
      <c r="L1069"/>
      <c r="M1069"/>
      <c r="N1069"/>
    </row>
    <row r="1070" spans="9:14" x14ac:dyDescent="0.35">
      <c r="I1070" s="15"/>
      <c r="J1070" s="15"/>
      <c r="K1070" s="15"/>
      <c r="L1070"/>
      <c r="M1070"/>
      <c r="N1070"/>
    </row>
    <row r="1071" spans="9:14" x14ac:dyDescent="0.35">
      <c r="I1071" s="15"/>
      <c r="J1071" s="15"/>
      <c r="K1071" s="15"/>
      <c r="L1071"/>
      <c r="M1071"/>
      <c r="N1071"/>
    </row>
    <row r="1072" spans="9:14" x14ac:dyDescent="0.35">
      <c r="I1072" s="15"/>
      <c r="J1072" s="15"/>
      <c r="K1072" s="15"/>
      <c r="L1072"/>
      <c r="M1072"/>
      <c r="N1072"/>
    </row>
    <row r="1073" spans="9:14" x14ac:dyDescent="0.35">
      <c r="I1073" s="15"/>
      <c r="J1073" s="15"/>
      <c r="K1073" s="15"/>
      <c r="L1073"/>
      <c r="M1073"/>
      <c r="N1073"/>
    </row>
    <row r="1074" spans="9:14" x14ac:dyDescent="0.35">
      <c r="I1074" s="15"/>
      <c r="J1074" s="15"/>
      <c r="K1074" s="15"/>
      <c r="L1074"/>
      <c r="M1074"/>
      <c r="N1074"/>
    </row>
    <row r="1075" spans="9:14" x14ac:dyDescent="0.35">
      <c r="I1075" s="15"/>
      <c r="J1075" s="15"/>
      <c r="K1075" s="15"/>
      <c r="L1075"/>
      <c r="M1075"/>
      <c r="N1075"/>
    </row>
    <row r="1076" spans="9:14" x14ac:dyDescent="0.35">
      <c r="I1076" s="15"/>
      <c r="J1076" s="15"/>
      <c r="K1076" s="15"/>
      <c r="L1076"/>
      <c r="M1076"/>
      <c r="N1076"/>
    </row>
    <row r="1077" spans="9:14" x14ac:dyDescent="0.35">
      <c r="I1077" s="15"/>
      <c r="J1077" s="15"/>
      <c r="K1077" s="15"/>
      <c r="L1077"/>
      <c r="M1077"/>
      <c r="N1077"/>
    </row>
    <row r="1078" spans="9:14" x14ac:dyDescent="0.35">
      <c r="I1078" s="15"/>
      <c r="J1078" s="15"/>
      <c r="K1078" s="15"/>
      <c r="L1078"/>
      <c r="M1078"/>
      <c r="N1078"/>
    </row>
    <row r="1079" spans="9:14" x14ac:dyDescent="0.35">
      <c r="I1079" s="15"/>
      <c r="J1079" s="15"/>
      <c r="K1079" s="15"/>
      <c r="L1079"/>
      <c r="M1079"/>
      <c r="N1079"/>
    </row>
    <row r="1080" spans="9:14" x14ac:dyDescent="0.35">
      <c r="I1080" s="15"/>
      <c r="J1080" s="15"/>
      <c r="K1080" s="15"/>
      <c r="L1080"/>
      <c r="M1080"/>
      <c r="N1080"/>
    </row>
    <row r="1081" spans="9:14" x14ac:dyDescent="0.35">
      <c r="I1081" s="15"/>
      <c r="J1081" s="15"/>
      <c r="K1081" s="15"/>
      <c r="L1081"/>
      <c r="M1081"/>
      <c r="N1081"/>
    </row>
    <row r="1082" spans="9:14" x14ac:dyDescent="0.35">
      <c r="I1082" s="15"/>
      <c r="J1082" s="15"/>
      <c r="K1082" s="15"/>
      <c r="L1082"/>
      <c r="M1082"/>
      <c r="N1082"/>
    </row>
    <row r="1083" spans="9:14" x14ac:dyDescent="0.35">
      <c r="I1083" s="15"/>
      <c r="J1083" s="15"/>
      <c r="K1083" s="15"/>
      <c r="L1083"/>
      <c r="M1083"/>
      <c r="N1083"/>
    </row>
    <row r="1084" spans="9:14" x14ac:dyDescent="0.35">
      <c r="I1084" s="15"/>
      <c r="J1084" s="15"/>
      <c r="K1084" s="15"/>
      <c r="L1084"/>
      <c r="M1084"/>
      <c r="N1084"/>
    </row>
    <row r="1085" spans="9:14" x14ac:dyDescent="0.35">
      <c r="I1085" s="15"/>
      <c r="J1085" s="15"/>
      <c r="K1085" s="15"/>
      <c r="L1085"/>
      <c r="M1085"/>
      <c r="N1085"/>
    </row>
    <row r="1086" spans="9:14" x14ac:dyDescent="0.35">
      <c r="I1086" s="15"/>
      <c r="J1086" s="15"/>
      <c r="K1086" s="15"/>
      <c r="L1086"/>
      <c r="M1086"/>
      <c r="N1086"/>
    </row>
    <row r="1087" spans="9:14" x14ac:dyDescent="0.35">
      <c r="I1087" s="15"/>
      <c r="J1087" s="15"/>
      <c r="K1087" s="15"/>
      <c r="L1087"/>
      <c r="M1087"/>
      <c r="N1087"/>
    </row>
    <row r="1088" spans="9:14" x14ac:dyDescent="0.35">
      <c r="I1088" s="15"/>
      <c r="J1088" s="15"/>
      <c r="K1088" s="15"/>
      <c r="L1088"/>
      <c r="M1088"/>
      <c r="N1088"/>
    </row>
    <row r="1089" spans="9:14" x14ac:dyDescent="0.35">
      <c r="I1089" s="15"/>
      <c r="J1089" s="15"/>
      <c r="K1089" s="15"/>
      <c r="L1089"/>
      <c r="M1089"/>
      <c r="N1089"/>
    </row>
    <row r="1090" spans="9:14" x14ac:dyDescent="0.35">
      <c r="I1090" s="15"/>
      <c r="J1090" s="15"/>
      <c r="K1090" s="15"/>
      <c r="L1090"/>
      <c r="M1090"/>
      <c r="N1090"/>
    </row>
    <row r="1091" spans="9:14" x14ac:dyDescent="0.35">
      <c r="I1091" s="15"/>
      <c r="J1091" s="15"/>
      <c r="K1091" s="15"/>
      <c r="L1091"/>
      <c r="M1091"/>
      <c r="N1091"/>
    </row>
    <row r="1092" spans="9:14" x14ac:dyDescent="0.35">
      <c r="I1092" s="15"/>
      <c r="J1092" s="15"/>
      <c r="K1092" s="15"/>
      <c r="L1092"/>
      <c r="M1092"/>
      <c r="N1092"/>
    </row>
    <row r="1093" spans="9:14" x14ac:dyDescent="0.35">
      <c r="I1093" s="15"/>
      <c r="J1093" s="15"/>
      <c r="K1093" s="15"/>
      <c r="L1093"/>
      <c r="M1093"/>
      <c r="N1093"/>
    </row>
    <row r="1094" spans="9:14" x14ac:dyDescent="0.35">
      <c r="I1094" s="15"/>
      <c r="J1094" s="15"/>
      <c r="K1094" s="15"/>
      <c r="L1094"/>
      <c r="M1094"/>
      <c r="N1094"/>
    </row>
    <row r="1095" spans="9:14" x14ac:dyDescent="0.35">
      <c r="I1095" s="15"/>
      <c r="J1095" s="15"/>
      <c r="K1095" s="15"/>
      <c r="L1095"/>
      <c r="M1095"/>
      <c r="N1095"/>
    </row>
    <row r="1096" spans="9:14" x14ac:dyDescent="0.35">
      <c r="I1096" s="15"/>
      <c r="J1096" s="15"/>
      <c r="K1096" s="15"/>
      <c r="L1096"/>
      <c r="M1096"/>
      <c r="N1096"/>
    </row>
    <row r="1097" spans="9:14" x14ac:dyDescent="0.35">
      <c r="I1097" s="15"/>
      <c r="J1097" s="15"/>
      <c r="K1097" s="15"/>
      <c r="L1097"/>
      <c r="M1097"/>
      <c r="N1097"/>
    </row>
    <row r="1098" spans="9:14" x14ac:dyDescent="0.35">
      <c r="I1098" s="15"/>
      <c r="J1098" s="15"/>
      <c r="K1098" s="15"/>
      <c r="L1098"/>
      <c r="M1098"/>
      <c r="N1098"/>
    </row>
    <row r="1099" spans="9:14" x14ac:dyDescent="0.35">
      <c r="I1099" s="15"/>
      <c r="J1099" s="15"/>
      <c r="K1099" s="15"/>
      <c r="L1099"/>
      <c r="M1099"/>
      <c r="N1099"/>
    </row>
    <row r="1100" spans="9:14" x14ac:dyDescent="0.35">
      <c r="I1100" s="15"/>
      <c r="J1100" s="15"/>
      <c r="K1100" s="15"/>
      <c r="L1100"/>
      <c r="M1100"/>
      <c r="N1100"/>
    </row>
    <row r="1101" spans="9:14" x14ac:dyDescent="0.35">
      <c r="I1101" s="15"/>
      <c r="J1101" s="15"/>
      <c r="K1101" s="15"/>
      <c r="L1101"/>
      <c r="M1101"/>
      <c r="N1101"/>
    </row>
    <row r="1102" spans="9:14" x14ac:dyDescent="0.35">
      <c r="I1102" s="15"/>
      <c r="J1102" s="15"/>
      <c r="K1102" s="15"/>
      <c r="L1102"/>
      <c r="M1102"/>
      <c r="N1102"/>
    </row>
    <row r="1103" spans="9:14" x14ac:dyDescent="0.35">
      <c r="I1103" s="15"/>
      <c r="J1103" s="15"/>
      <c r="K1103" s="15"/>
      <c r="L1103"/>
      <c r="M1103"/>
      <c r="N1103"/>
    </row>
    <row r="1104" spans="9:14" x14ac:dyDescent="0.35">
      <c r="I1104" s="15"/>
      <c r="J1104" s="15"/>
      <c r="K1104" s="15"/>
      <c r="L1104"/>
      <c r="M1104"/>
      <c r="N1104"/>
    </row>
    <row r="1105" spans="9:14" x14ac:dyDescent="0.35">
      <c r="I1105" s="15"/>
      <c r="J1105" s="15"/>
      <c r="K1105" s="15"/>
      <c r="L1105"/>
      <c r="M1105"/>
      <c r="N1105"/>
    </row>
    <row r="1106" spans="9:14" x14ac:dyDescent="0.35">
      <c r="I1106" s="15"/>
      <c r="J1106" s="15"/>
      <c r="K1106" s="15"/>
      <c r="L1106"/>
      <c r="M1106"/>
      <c r="N1106"/>
    </row>
    <row r="1107" spans="9:14" x14ac:dyDescent="0.35">
      <c r="I1107" s="15"/>
      <c r="J1107" s="15"/>
      <c r="K1107" s="15"/>
      <c r="L1107"/>
      <c r="M1107"/>
      <c r="N1107"/>
    </row>
    <row r="1108" spans="9:14" x14ac:dyDescent="0.35">
      <c r="I1108" s="15"/>
      <c r="J1108" s="15"/>
      <c r="K1108" s="15"/>
      <c r="L1108"/>
      <c r="M1108"/>
      <c r="N1108"/>
    </row>
    <row r="1109" spans="9:14" x14ac:dyDescent="0.35">
      <c r="I1109" s="15"/>
      <c r="J1109" s="15"/>
      <c r="K1109" s="15"/>
      <c r="L1109"/>
      <c r="M1109"/>
      <c r="N1109"/>
    </row>
    <row r="1110" spans="9:14" x14ac:dyDescent="0.35">
      <c r="I1110" s="15"/>
      <c r="J1110" s="15"/>
      <c r="K1110" s="15"/>
      <c r="L1110"/>
      <c r="M1110"/>
      <c r="N1110"/>
    </row>
    <row r="1111" spans="9:14" x14ac:dyDescent="0.35">
      <c r="I1111" s="15"/>
      <c r="J1111" s="15"/>
      <c r="K1111" s="15"/>
      <c r="L1111"/>
      <c r="M1111"/>
      <c r="N1111"/>
    </row>
    <row r="1112" spans="9:14" x14ac:dyDescent="0.35">
      <c r="I1112" s="15"/>
      <c r="J1112" s="15"/>
      <c r="K1112" s="15"/>
      <c r="L1112"/>
      <c r="M1112"/>
      <c r="N1112"/>
    </row>
    <row r="1113" spans="9:14" x14ac:dyDescent="0.35">
      <c r="I1113" s="15"/>
      <c r="J1113" s="15"/>
      <c r="K1113" s="15"/>
      <c r="L1113"/>
      <c r="M1113"/>
      <c r="N1113"/>
    </row>
    <row r="1114" spans="9:14" x14ac:dyDescent="0.35">
      <c r="I1114" s="15"/>
      <c r="J1114" s="15"/>
      <c r="K1114" s="15"/>
      <c r="L1114"/>
      <c r="M1114"/>
      <c r="N1114"/>
    </row>
    <row r="1115" spans="9:14" x14ac:dyDescent="0.35">
      <c r="I1115" s="15"/>
      <c r="J1115" s="15"/>
      <c r="K1115" s="15"/>
      <c r="L1115"/>
      <c r="M1115"/>
      <c r="N1115"/>
    </row>
    <row r="1116" spans="9:14" x14ac:dyDescent="0.35">
      <c r="I1116" s="15"/>
      <c r="J1116" s="15"/>
      <c r="K1116" s="15"/>
      <c r="L1116"/>
      <c r="M1116"/>
      <c r="N1116"/>
    </row>
    <row r="1117" spans="9:14" x14ac:dyDescent="0.35">
      <c r="I1117" s="15"/>
      <c r="J1117" s="15"/>
      <c r="K1117" s="15"/>
      <c r="L1117"/>
      <c r="M1117"/>
      <c r="N1117"/>
    </row>
    <row r="1118" spans="9:14" x14ac:dyDescent="0.35">
      <c r="I1118" s="15"/>
      <c r="J1118" s="15"/>
      <c r="K1118" s="15"/>
      <c r="L1118"/>
      <c r="M1118"/>
      <c r="N1118"/>
    </row>
    <row r="1119" spans="9:14" x14ac:dyDescent="0.35">
      <c r="I1119" s="15"/>
      <c r="J1119" s="15"/>
      <c r="K1119" s="15"/>
      <c r="L1119"/>
      <c r="M1119"/>
      <c r="N1119"/>
    </row>
    <row r="1120" spans="9:14" x14ac:dyDescent="0.35">
      <c r="I1120" s="15"/>
      <c r="J1120" s="15"/>
      <c r="K1120" s="15"/>
      <c r="L1120"/>
      <c r="M1120"/>
      <c r="N1120"/>
    </row>
    <row r="1121" spans="9:14" x14ac:dyDescent="0.35">
      <c r="I1121" s="15"/>
      <c r="J1121" s="15"/>
      <c r="K1121" s="15"/>
      <c r="L1121"/>
      <c r="M1121"/>
      <c r="N1121"/>
    </row>
    <row r="1122" spans="9:14" x14ac:dyDescent="0.35">
      <c r="I1122" s="15"/>
      <c r="J1122" s="15"/>
      <c r="K1122" s="15"/>
      <c r="L1122"/>
      <c r="M1122"/>
      <c r="N1122"/>
    </row>
    <row r="1123" spans="9:14" x14ac:dyDescent="0.35">
      <c r="I1123" s="15"/>
      <c r="J1123" s="15"/>
      <c r="K1123" s="15"/>
      <c r="L1123"/>
      <c r="M1123"/>
      <c r="N1123"/>
    </row>
    <row r="1124" spans="9:14" x14ac:dyDescent="0.35">
      <c r="I1124" s="15"/>
      <c r="J1124" s="15"/>
      <c r="K1124" s="15"/>
      <c r="L1124"/>
      <c r="M1124"/>
      <c r="N1124"/>
    </row>
    <row r="1125" spans="9:14" x14ac:dyDescent="0.35">
      <c r="I1125" s="15"/>
      <c r="J1125" s="15"/>
      <c r="K1125" s="15"/>
      <c r="L1125"/>
      <c r="M1125"/>
      <c r="N1125"/>
    </row>
    <row r="1126" spans="9:14" x14ac:dyDescent="0.35">
      <c r="I1126" s="15"/>
      <c r="J1126" s="15"/>
      <c r="K1126" s="15"/>
      <c r="L1126"/>
      <c r="M1126"/>
      <c r="N1126"/>
    </row>
    <row r="1127" spans="9:14" x14ac:dyDescent="0.35">
      <c r="I1127" s="15"/>
      <c r="J1127" s="15"/>
      <c r="K1127" s="15"/>
      <c r="L1127"/>
      <c r="M1127"/>
      <c r="N1127"/>
    </row>
    <row r="1128" spans="9:14" x14ac:dyDescent="0.35">
      <c r="I1128" s="15"/>
      <c r="J1128" s="15"/>
      <c r="K1128" s="15"/>
      <c r="L1128"/>
      <c r="M1128"/>
      <c r="N1128"/>
    </row>
    <row r="1129" spans="9:14" x14ac:dyDescent="0.35">
      <c r="I1129" s="15"/>
      <c r="J1129" s="15"/>
      <c r="K1129" s="15"/>
      <c r="L1129"/>
      <c r="M1129"/>
      <c r="N1129"/>
    </row>
    <row r="1130" spans="9:14" x14ac:dyDescent="0.35">
      <c r="I1130" s="15"/>
      <c r="J1130" s="15"/>
      <c r="K1130" s="15"/>
      <c r="L1130"/>
      <c r="M1130"/>
      <c r="N1130"/>
    </row>
    <row r="1131" spans="9:14" x14ac:dyDescent="0.35">
      <c r="I1131" s="15"/>
      <c r="J1131" s="15"/>
      <c r="K1131" s="15"/>
      <c r="L1131"/>
      <c r="M1131"/>
      <c r="N1131"/>
    </row>
    <row r="1132" spans="9:14" x14ac:dyDescent="0.35">
      <c r="I1132" s="15"/>
      <c r="J1132" s="15"/>
      <c r="K1132" s="15"/>
      <c r="L1132"/>
      <c r="M1132"/>
      <c r="N1132"/>
    </row>
    <row r="1133" spans="9:14" x14ac:dyDescent="0.35">
      <c r="I1133" s="15"/>
      <c r="J1133" s="15"/>
      <c r="K1133" s="15"/>
      <c r="L1133"/>
      <c r="M1133"/>
      <c r="N1133"/>
    </row>
    <row r="1134" spans="9:14" x14ac:dyDescent="0.35">
      <c r="I1134" s="15"/>
      <c r="J1134" s="15"/>
      <c r="K1134" s="15"/>
      <c r="L1134"/>
      <c r="M1134"/>
      <c r="N1134"/>
    </row>
    <row r="1135" spans="9:14" x14ac:dyDescent="0.35">
      <c r="I1135" s="15"/>
      <c r="J1135" s="15"/>
      <c r="K1135" s="15"/>
      <c r="L1135"/>
      <c r="M1135"/>
      <c r="N1135"/>
    </row>
    <row r="1136" spans="9:14" x14ac:dyDescent="0.35">
      <c r="I1136" s="15"/>
      <c r="J1136" s="15"/>
      <c r="K1136" s="15"/>
      <c r="L1136"/>
      <c r="M1136"/>
      <c r="N1136"/>
    </row>
    <row r="1137" spans="9:14" x14ac:dyDescent="0.35">
      <c r="I1137" s="15"/>
      <c r="J1137" s="15"/>
      <c r="K1137" s="15"/>
      <c r="L1137"/>
      <c r="M1137"/>
      <c r="N1137"/>
    </row>
    <row r="1138" spans="9:14" x14ac:dyDescent="0.35">
      <c r="I1138" s="15"/>
      <c r="J1138" s="15"/>
      <c r="K1138" s="15"/>
      <c r="L1138"/>
      <c r="M1138"/>
      <c r="N1138"/>
    </row>
    <row r="1139" spans="9:14" x14ac:dyDescent="0.35">
      <c r="I1139" s="15"/>
      <c r="J1139" s="15"/>
      <c r="K1139" s="15"/>
      <c r="L1139"/>
      <c r="M1139"/>
      <c r="N1139"/>
    </row>
    <row r="1140" spans="9:14" x14ac:dyDescent="0.35">
      <c r="I1140" s="15"/>
      <c r="J1140" s="15"/>
      <c r="K1140" s="15"/>
      <c r="L1140"/>
      <c r="M1140"/>
      <c r="N1140"/>
    </row>
    <row r="1141" spans="9:14" x14ac:dyDescent="0.35">
      <c r="I1141" s="15"/>
      <c r="J1141" s="15"/>
      <c r="K1141" s="15"/>
      <c r="L1141"/>
      <c r="M1141"/>
      <c r="N1141"/>
    </row>
    <row r="1142" spans="9:14" x14ac:dyDescent="0.35">
      <c r="I1142" s="15"/>
      <c r="J1142" s="15"/>
      <c r="K1142" s="15"/>
      <c r="L1142"/>
      <c r="M1142"/>
      <c r="N1142"/>
    </row>
    <row r="1143" spans="9:14" x14ac:dyDescent="0.35">
      <c r="I1143" s="15"/>
      <c r="J1143" s="15"/>
      <c r="K1143" s="15"/>
      <c r="L1143"/>
      <c r="M1143"/>
      <c r="N1143"/>
    </row>
    <row r="1144" spans="9:14" x14ac:dyDescent="0.35">
      <c r="I1144" s="15"/>
      <c r="J1144" s="15"/>
      <c r="K1144" s="15"/>
      <c r="L1144"/>
      <c r="M1144"/>
      <c r="N1144"/>
    </row>
    <row r="1145" spans="9:14" x14ac:dyDescent="0.35">
      <c r="I1145" s="15"/>
      <c r="J1145" s="15"/>
      <c r="K1145" s="15"/>
      <c r="L1145"/>
      <c r="M1145"/>
      <c r="N1145"/>
    </row>
    <row r="1146" spans="9:14" x14ac:dyDescent="0.35">
      <c r="I1146" s="15"/>
      <c r="J1146" s="15"/>
      <c r="K1146" s="15"/>
      <c r="L1146"/>
      <c r="M1146"/>
      <c r="N1146"/>
    </row>
    <row r="1147" spans="9:14" x14ac:dyDescent="0.35">
      <c r="I1147" s="15"/>
      <c r="J1147" s="15"/>
      <c r="K1147" s="15"/>
      <c r="L1147"/>
      <c r="M1147"/>
      <c r="N1147"/>
    </row>
    <row r="1148" spans="9:14" x14ac:dyDescent="0.35">
      <c r="I1148" s="15"/>
      <c r="J1148" s="15"/>
      <c r="K1148" s="15"/>
      <c r="L1148"/>
      <c r="M1148"/>
      <c r="N1148"/>
    </row>
    <row r="1149" spans="9:14" x14ac:dyDescent="0.35">
      <c r="I1149" s="15"/>
      <c r="J1149" s="15"/>
      <c r="K1149" s="15"/>
      <c r="L1149"/>
      <c r="M1149"/>
      <c r="N1149"/>
    </row>
    <row r="1150" spans="9:14" x14ac:dyDescent="0.35">
      <c r="I1150" s="15"/>
      <c r="J1150" s="15"/>
      <c r="K1150" s="15"/>
      <c r="L1150"/>
      <c r="M1150"/>
      <c r="N1150"/>
    </row>
    <row r="1151" spans="9:14" x14ac:dyDescent="0.35">
      <c r="I1151" s="15"/>
      <c r="J1151" s="15"/>
      <c r="K1151" s="15"/>
      <c r="L1151"/>
      <c r="M1151"/>
      <c r="N1151"/>
    </row>
    <row r="1152" spans="9:14" x14ac:dyDescent="0.35">
      <c r="I1152" s="15"/>
      <c r="J1152" s="15"/>
      <c r="K1152" s="15"/>
      <c r="L1152"/>
      <c r="M1152"/>
      <c r="N1152"/>
    </row>
    <row r="1153" spans="9:14" x14ac:dyDescent="0.35">
      <c r="I1153" s="15"/>
      <c r="J1153" s="15"/>
      <c r="K1153" s="15"/>
      <c r="L1153"/>
      <c r="M1153"/>
      <c r="N1153"/>
    </row>
    <row r="1154" spans="9:14" x14ac:dyDescent="0.35">
      <c r="I1154" s="15"/>
      <c r="J1154" s="15"/>
      <c r="K1154" s="15"/>
      <c r="L1154"/>
      <c r="M1154"/>
      <c r="N1154"/>
    </row>
    <row r="1155" spans="9:14" x14ac:dyDescent="0.35">
      <c r="I1155" s="15"/>
      <c r="J1155" s="15"/>
      <c r="K1155" s="15"/>
      <c r="L1155"/>
      <c r="M1155"/>
      <c r="N1155"/>
    </row>
    <row r="1156" spans="9:14" x14ac:dyDescent="0.35">
      <c r="I1156" s="15"/>
      <c r="J1156" s="15"/>
      <c r="K1156" s="15"/>
      <c r="L1156"/>
      <c r="M1156"/>
      <c r="N1156"/>
    </row>
    <row r="1157" spans="9:14" x14ac:dyDescent="0.35">
      <c r="I1157" s="15"/>
      <c r="J1157" s="15"/>
      <c r="K1157" s="15"/>
      <c r="L1157"/>
      <c r="M1157"/>
      <c r="N1157"/>
    </row>
    <row r="1158" spans="9:14" x14ac:dyDescent="0.35">
      <c r="I1158" s="15"/>
      <c r="J1158" s="15"/>
      <c r="K1158" s="15"/>
      <c r="L1158"/>
      <c r="M1158"/>
      <c r="N1158"/>
    </row>
    <row r="1159" spans="9:14" x14ac:dyDescent="0.35">
      <c r="I1159" s="15"/>
      <c r="J1159" s="15"/>
      <c r="K1159" s="15"/>
      <c r="L1159"/>
      <c r="M1159"/>
      <c r="N1159"/>
    </row>
    <row r="1160" spans="9:14" x14ac:dyDescent="0.35">
      <c r="I1160" s="15"/>
      <c r="J1160" s="15"/>
      <c r="K1160" s="15"/>
      <c r="L1160"/>
      <c r="M1160"/>
      <c r="N1160"/>
    </row>
    <row r="1161" spans="9:14" x14ac:dyDescent="0.35">
      <c r="I1161" s="15"/>
      <c r="J1161" s="15"/>
      <c r="K1161" s="15"/>
      <c r="L1161"/>
      <c r="M1161"/>
      <c r="N1161"/>
    </row>
    <row r="1162" spans="9:14" x14ac:dyDescent="0.35">
      <c r="I1162" s="15"/>
      <c r="J1162" s="15"/>
      <c r="K1162" s="15"/>
      <c r="L1162"/>
      <c r="M1162"/>
      <c r="N1162"/>
    </row>
    <row r="1163" spans="9:14" x14ac:dyDescent="0.35">
      <c r="I1163" s="15"/>
      <c r="J1163" s="15"/>
      <c r="K1163" s="15"/>
      <c r="L1163"/>
      <c r="M1163"/>
      <c r="N1163"/>
    </row>
    <row r="1164" spans="9:14" x14ac:dyDescent="0.35">
      <c r="I1164" s="15"/>
      <c r="J1164" s="15"/>
      <c r="K1164" s="15"/>
      <c r="L1164"/>
      <c r="M1164"/>
      <c r="N1164"/>
    </row>
    <row r="1165" spans="9:14" x14ac:dyDescent="0.35">
      <c r="I1165" s="15"/>
      <c r="J1165" s="15"/>
      <c r="K1165" s="15"/>
      <c r="L1165"/>
      <c r="M1165"/>
      <c r="N1165"/>
    </row>
    <row r="1166" spans="9:14" x14ac:dyDescent="0.35">
      <c r="I1166" s="15"/>
      <c r="J1166" s="15"/>
      <c r="K1166" s="15"/>
      <c r="L1166"/>
      <c r="M1166"/>
      <c r="N1166"/>
    </row>
    <row r="1167" spans="9:14" x14ac:dyDescent="0.35">
      <c r="I1167" s="15"/>
      <c r="J1167" s="15"/>
      <c r="K1167" s="15"/>
      <c r="L1167"/>
      <c r="M1167"/>
      <c r="N1167"/>
    </row>
    <row r="1168" spans="9:14" x14ac:dyDescent="0.35">
      <c r="I1168" s="15"/>
      <c r="J1168" s="15"/>
      <c r="K1168" s="15"/>
      <c r="L1168"/>
      <c r="M1168"/>
      <c r="N1168"/>
    </row>
    <row r="1169" spans="9:14" x14ac:dyDescent="0.35">
      <c r="I1169" s="15"/>
      <c r="J1169" s="15"/>
      <c r="K1169" s="15"/>
      <c r="L1169"/>
      <c r="M1169"/>
      <c r="N1169"/>
    </row>
    <row r="1170" spans="9:14" x14ac:dyDescent="0.35">
      <c r="I1170" s="15"/>
      <c r="J1170" s="15"/>
      <c r="K1170" s="15"/>
      <c r="L1170"/>
      <c r="M1170"/>
      <c r="N1170"/>
    </row>
    <row r="1171" spans="9:14" x14ac:dyDescent="0.35">
      <c r="I1171" s="15"/>
      <c r="J1171" s="15"/>
      <c r="K1171" s="15"/>
      <c r="L1171"/>
      <c r="M1171"/>
      <c r="N1171"/>
    </row>
    <row r="1172" spans="9:14" x14ac:dyDescent="0.35">
      <c r="I1172" s="15"/>
      <c r="J1172" s="15"/>
      <c r="K1172" s="15"/>
      <c r="L1172"/>
      <c r="M1172"/>
      <c r="N1172"/>
    </row>
    <row r="1173" spans="9:14" x14ac:dyDescent="0.35">
      <c r="I1173" s="15"/>
      <c r="J1173" s="15"/>
      <c r="K1173" s="15"/>
      <c r="L1173"/>
      <c r="M1173"/>
      <c r="N1173"/>
    </row>
    <row r="1174" spans="9:14" x14ac:dyDescent="0.35">
      <c r="I1174" s="15"/>
      <c r="J1174" s="15"/>
      <c r="K1174" s="15"/>
      <c r="L1174"/>
      <c r="M1174"/>
      <c r="N1174"/>
    </row>
    <row r="1175" spans="9:14" x14ac:dyDescent="0.35">
      <c r="I1175" s="15"/>
      <c r="J1175" s="15"/>
      <c r="K1175" s="15"/>
      <c r="L1175"/>
      <c r="M1175"/>
      <c r="N1175"/>
    </row>
    <row r="1176" spans="9:14" x14ac:dyDescent="0.35">
      <c r="I1176" s="15"/>
      <c r="J1176" s="15"/>
      <c r="K1176" s="15"/>
      <c r="L1176"/>
      <c r="M1176"/>
      <c r="N1176"/>
    </row>
    <row r="1177" spans="9:14" x14ac:dyDescent="0.35">
      <c r="I1177" s="15"/>
      <c r="J1177" s="15"/>
      <c r="K1177" s="15"/>
      <c r="L1177"/>
      <c r="M1177"/>
      <c r="N1177"/>
    </row>
    <row r="1178" spans="9:14" x14ac:dyDescent="0.35">
      <c r="I1178" s="15"/>
      <c r="J1178" s="15"/>
      <c r="K1178" s="15"/>
      <c r="L1178"/>
      <c r="M1178"/>
      <c r="N1178"/>
    </row>
    <row r="1179" spans="9:14" x14ac:dyDescent="0.35">
      <c r="I1179" s="15"/>
      <c r="J1179" s="15"/>
      <c r="K1179" s="15"/>
      <c r="L1179"/>
      <c r="M1179"/>
      <c r="N1179"/>
    </row>
    <row r="1180" spans="9:14" x14ac:dyDescent="0.35">
      <c r="I1180" s="15"/>
      <c r="J1180" s="15"/>
      <c r="K1180" s="15"/>
      <c r="L1180"/>
      <c r="M1180"/>
      <c r="N1180"/>
    </row>
    <row r="1181" spans="9:14" x14ac:dyDescent="0.35">
      <c r="I1181" s="15"/>
      <c r="J1181" s="15"/>
      <c r="K1181" s="15"/>
      <c r="L1181"/>
      <c r="M1181"/>
      <c r="N1181"/>
    </row>
    <row r="1182" spans="9:14" x14ac:dyDescent="0.35">
      <c r="I1182" s="15"/>
      <c r="J1182" s="15"/>
      <c r="K1182" s="15"/>
      <c r="L1182"/>
      <c r="M1182"/>
      <c r="N1182"/>
    </row>
    <row r="1183" spans="9:14" x14ac:dyDescent="0.35">
      <c r="I1183" s="15"/>
      <c r="J1183" s="15"/>
      <c r="K1183" s="15"/>
      <c r="L1183"/>
      <c r="M1183"/>
      <c r="N1183"/>
    </row>
    <row r="1184" spans="9:14" x14ac:dyDescent="0.35">
      <c r="I1184" s="15"/>
      <c r="J1184" s="15"/>
      <c r="K1184" s="15"/>
      <c r="L1184"/>
      <c r="M1184"/>
      <c r="N1184"/>
    </row>
    <row r="1185" spans="9:14" x14ac:dyDescent="0.35">
      <c r="I1185" s="15"/>
      <c r="J1185" s="15"/>
      <c r="K1185" s="15"/>
      <c r="L1185"/>
      <c r="M1185"/>
      <c r="N1185"/>
    </row>
    <row r="1186" spans="9:14" x14ac:dyDescent="0.35">
      <c r="I1186" s="15"/>
      <c r="J1186" s="15"/>
      <c r="K1186" s="15"/>
      <c r="L1186"/>
      <c r="M1186"/>
      <c r="N1186"/>
    </row>
    <row r="1187" spans="9:14" x14ac:dyDescent="0.35">
      <c r="I1187" s="15"/>
      <c r="J1187" s="15"/>
      <c r="K1187" s="15"/>
      <c r="L1187"/>
      <c r="M1187"/>
      <c r="N1187"/>
    </row>
    <row r="1188" spans="9:14" x14ac:dyDescent="0.35">
      <c r="I1188" s="15"/>
      <c r="J1188" s="15"/>
      <c r="K1188" s="15"/>
      <c r="L1188"/>
      <c r="M1188"/>
      <c r="N1188"/>
    </row>
    <row r="1189" spans="9:14" x14ac:dyDescent="0.35">
      <c r="I1189" s="15"/>
      <c r="J1189" s="15"/>
      <c r="K1189" s="15"/>
      <c r="L1189"/>
      <c r="M1189"/>
      <c r="N1189"/>
    </row>
    <row r="1190" spans="9:14" x14ac:dyDescent="0.35">
      <c r="I1190" s="15"/>
      <c r="J1190" s="15"/>
      <c r="K1190" s="15"/>
      <c r="L1190"/>
      <c r="M1190"/>
      <c r="N1190"/>
    </row>
    <row r="1191" spans="9:14" x14ac:dyDescent="0.35">
      <c r="I1191" s="15"/>
      <c r="J1191" s="15"/>
      <c r="K1191" s="15"/>
      <c r="L1191"/>
      <c r="M1191"/>
      <c r="N1191"/>
    </row>
    <row r="1192" spans="9:14" x14ac:dyDescent="0.35">
      <c r="I1192" s="15"/>
      <c r="J1192" s="15"/>
      <c r="K1192" s="15"/>
      <c r="L1192"/>
      <c r="M1192"/>
      <c r="N1192"/>
    </row>
    <row r="1193" spans="9:14" x14ac:dyDescent="0.35">
      <c r="I1193" s="15"/>
      <c r="J1193" s="15"/>
      <c r="K1193" s="15"/>
      <c r="L1193"/>
      <c r="M1193"/>
      <c r="N1193"/>
    </row>
    <row r="1194" spans="9:14" x14ac:dyDescent="0.35">
      <c r="I1194" s="15"/>
      <c r="J1194" s="15"/>
      <c r="K1194" s="15"/>
      <c r="L1194"/>
      <c r="M1194"/>
      <c r="N1194"/>
    </row>
    <row r="1195" spans="9:14" x14ac:dyDescent="0.35">
      <c r="I1195" s="15"/>
      <c r="J1195" s="15"/>
      <c r="K1195" s="15"/>
      <c r="L1195"/>
      <c r="M1195"/>
      <c r="N1195"/>
    </row>
    <row r="1196" spans="9:14" x14ac:dyDescent="0.35">
      <c r="I1196" s="15"/>
      <c r="J1196" s="15"/>
      <c r="K1196" s="15"/>
      <c r="L1196"/>
      <c r="M1196"/>
      <c r="N1196"/>
    </row>
    <row r="1197" spans="9:14" x14ac:dyDescent="0.35">
      <c r="I1197" s="15"/>
      <c r="J1197" s="15"/>
      <c r="K1197" s="15"/>
      <c r="L1197"/>
      <c r="M1197"/>
      <c r="N1197"/>
    </row>
    <row r="1198" spans="9:14" x14ac:dyDescent="0.35">
      <c r="I1198" s="15"/>
      <c r="J1198" s="15"/>
      <c r="K1198" s="15"/>
      <c r="L1198"/>
      <c r="M1198"/>
      <c r="N1198"/>
    </row>
    <row r="1199" spans="9:14" x14ac:dyDescent="0.35">
      <c r="I1199" s="15"/>
      <c r="J1199" s="15"/>
      <c r="K1199" s="15"/>
      <c r="L1199"/>
      <c r="M1199"/>
      <c r="N1199"/>
    </row>
    <row r="1200" spans="9:14" x14ac:dyDescent="0.35">
      <c r="I1200" s="15"/>
      <c r="J1200" s="15"/>
      <c r="K1200" s="15"/>
      <c r="L1200"/>
      <c r="M1200"/>
      <c r="N1200"/>
    </row>
    <row r="1201" spans="9:14" x14ac:dyDescent="0.35">
      <c r="I1201" s="15"/>
      <c r="J1201" s="15"/>
      <c r="K1201" s="15"/>
      <c r="L1201"/>
      <c r="M1201"/>
      <c r="N1201"/>
    </row>
    <row r="1202" spans="9:14" x14ac:dyDescent="0.35">
      <c r="I1202" s="15"/>
      <c r="J1202" s="15"/>
      <c r="K1202" s="15"/>
      <c r="L1202"/>
      <c r="M1202"/>
      <c r="N1202"/>
    </row>
    <row r="1203" spans="9:14" x14ac:dyDescent="0.35">
      <c r="I1203" s="15"/>
      <c r="J1203" s="15"/>
      <c r="K1203" s="15"/>
      <c r="L1203"/>
      <c r="M1203"/>
      <c r="N1203"/>
    </row>
    <row r="1204" spans="9:14" x14ac:dyDescent="0.35">
      <c r="I1204" s="15"/>
      <c r="J1204" s="15"/>
      <c r="K1204" s="15"/>
      <c r="L1204"/>
      <c r="M1204"/>
      <c r="N1204"/>
    </row>
    <row r="1205" spans="9:14" x14ac:dyDescent="0.35">
      <c r="I1205" s="15"/>
      <c r="J1205" s="15"/>
      <c r="K1205" s="15"/>
      <c r="L1205"/>
      <c r="M1205"/>
      <c r="N1205"/>
    </row>
    <row r="1206" spans="9:14" x14ac:dyDescent="0.35">
      <c r="I1206" s="15"/>
      <c r="J1206" s="15"/>
      <c r="K1206" s="15"/>
      <c r="L1206"/>
      <c r="M1206"/>
      <c r="N1206"/>
    </row>
    <row r="1207" spans="9:14" x14ac:dyDescent="0.35">
      <c r="I1207" s="15"/>
      <c r="J1207" s="15"/>
      <c r="K1207" s="15"/>
      <c r="L1207"/>
      <c r="M1207"/>
      <c r="N1207"/>
    </row>
    <row r="1208" spans="9:14" x14ac:dyDescent="0.35">
      <c r="I1208" s="15"/>
      <c r="J1208" s="15"/>
      <c r="K1208" s="15"/>
      <c r="L1208"/>
      <c r="M1208"/>
      <c r="N1208"/>
    </row>
    <row r="1209" spans="9:14" x14ac:dyDescent="0.35">
      <c r="I1209" s="15"/>
      <c r="J1209" s="15"/>
      <c r="K1209" s="15"/>
      <c r="L1209"/>
      <c r="M1209"/>
      <c r="N1209"/>
    </row>
    <row r="1210" spans="9:14" x14ac:dyDescent="0.35">
      <c r="I1210" s="15"/>
      <c r="J1210" s="15"/>
      <c r="K1210" s="15"/>
      <c r="L1210"/>
      <c r="M1210"/>
      <c r="N1210"/>
    </row>
    <row r="1211" spans="9:14" x14ac:dyDescent="0.35">
      <c r="I1211" s="15"/>
      <c r="J1211" s="15"/>
      <c r="K1211" s="15"/>
      <c r="L1211"/>
      <c r="M1211"/>
      <c r="N1211"/>
    </row>
    <row r="1212" spans="9:14" x14ac:dyDescent="0.35">
      <c r="I1212" s="15"/>
      <c r="J1212" s="15"/>
      <c r="K1212" s="15"/>
      <c r="L1212"/>
      <c r="M1212"/>
      <c r="N1212"/>
    </row>
    <row r="1213" spans="9:14" x14ac:dyDescent="0.35">
      <c r="I1213" s="15"/>
      <c r="J1213" s="15"/>
      <c r="K1213" s="15"/>
      <c r="L1213"/>
      <c r="M1213"/>
      <c r="N1213"/>
    </row>
    <row r="1214" spans="9:14" x14ac:dyDescent="0.35">
      <c r="I1214" s="15"/>
      <c r="J1214" s="15"/>
      <c r="K1214" s="15"/>
      <c r="L1214"/>
      <c r="M1214"/>
      <c r="N1214"/>
    </row>
    <row r="1215" spans="9:14" x14ac:dyDescent="0.35">
      <c r="I1215" s="15"/>
      <c r="J1215" s="15"/>
      <c r="K1215" s="15"/>
      <c r="L1215"/>
      <c r="M1215"/>
      <c r="N1215"/>
    </row>
    <row r="1216" spans="9:14" x14ac:dyDescent="0.35">
      <c r="I1216" s="15"/>
      <c r="J1216" s="15"/>
      <c r="K1216" s="15"/>
      <c r="L1216"/>
      <c r="M1216"/>
      <c r="N1216"/>
    </row>
    <row r="1217" spans="9:14" x14ac:dyDescent="0.35">
      <c r="I1217" s="15"/>
      <c r="J1217" s="15"/>
      <c r="K1217" s="15"/>
      <c r="L1217"/>
      <c r="M1217"/>
      <c r="N1217"/>
    </row>
    <row r="1218" spans="9:14" x14ac:dyDescent="0.35">
      <c r="I1218" s="15"/>
      <c r="J1218" s="15"/>
      <c r="K1218" s="15"/>
      <c r="L1218"/>
      <c r="M1218"/>
      <c r="N1218"/>
    </row>
    <row r="1219" spans="9:14" x14ac:dyDescent="0.35">
      <c r="I1219" s="15"/>
      <c r="J1219" s="15"/>
      <c r="K1219" s="15"/>
      <c r="L1219"/>
      <c r="M1219"/>
      <c r="N1219"/>
    </row>
    <row r="1220" spans="9:14" x14ac:dyDescent="0.35">
      <c r="I1220" s="15"/>
      <c r="J1220" s="15"/>
      <c r="K1220" s="15"/>
      <c r="L1220"/>
      <c r="M1220"/>
      <c r="N1220"/>
    </row>
    <row r="1221" spans="9:14" x14ac:dyDescent="0.35">
      <c r="I1221" s="15"/>
      <c r="J1221" s="15"/>
      <c r="K1221" s="15"/>
      <c r="L1221"/>
      <c r="M1221"/>
      <c r="N1221"/>
    </row>
    <row r="1222" spans="9:14" x14ac:dyDescent="0.35">
      <c r="I1222" s="15"/>
      <c r="J1222" s="15"/>
      <c r="K1222" s="15"/>
      <c r="L1222"/>
      <c r="M1222"/>
      <c r="N1222"/>
    </row>
    <row r="1223" spans="9:14" x14ac:dyDescent="0.35">
      <c r="I1223" s="15"/>
      <c r="J1223" s="15"/>
      <c r="K1223" s="15"/>
      <c r="L1223"/>
      <c r="M1223"/>
      <c r="N1223"/>
    </row>
    <row r="1224" spans="9:14" x14ac:dyDescent="0.35">
      <c r="I1224" s="15"/>
      <c r="J1224" s="15"/>
      <c r="K1224" s="15"/>
      <c r="L1224"/>
      <c r="M1224"/>
      <c r="N1224"/>
    </row>
    <row r="1225" spans="9:14" x14ac:dyDescent="0.35">
      <c r="I1225" s="15"/>
      <c r="J1225" s="15"/>
      <c r="K1225" s="15"/>
      <c r="L1225"/>
      <c r="M1225"/>
      <c r="N1225"/>
    </row>
    <row r="1226" spans="9:14" x14ac:dyDescent="0.35">
      <c r="I1226" s="15"/>
      <c r="J1226" s="15"/>
      <c r="K1226" s="15"/>
      <c r="L1226"/>
      <c r="M1226"/>
      <c r="N1226"/>
    </row>
    <row r="1227" spans="9:14" x14ac:dyDescent="0.35">
      <c r="I1227" s="15"/>
      <c r="J1227" s="15"/>
      <c r="K1227" s="15"/>
      <c r="L1227"/>
      <c r="M1227"/>
      <c r="N1227"/>
    </row>
    <row r="1228" spans="9:14" x14ac:dyDescent="0.35">
      <c r="I1228" s="15"/>
      <c r="J1228" s="15"/>
      <c r="K1228" s="15"/>
      <c r="L1228"/>
      <c r="M1228"/>
      <c r="N1228"/>
    </row>
    <row r="1229" spans="9:14" x14ac:dyDescent="0.35">
      <c r="I1229" s="15"/>
      <c r="J1229" s="15"/>
      <c r="K1229" s="15"/>
      <c r="L1229"/>
      <c r="M1229"/>
      <c r="N1229"/>
    </row>
    <row r="1230" spans="9:14" x14ac:dyDescent="0.35">
      <c r="I1230" s="15"/>
      <c r="J1230" s="15"/>
      <c r="K1230" s="15"/>
      <c r="L1230"/>
      <c r="M1230"/>
      <c r="N1230"/>
    </row>
    <row r="1231" spans="9:14" x14ac:dyDescent="0.35">
      <c r="I1231" s="15"/>
      <c r="J1231" s="15"/>
      <c r="K1231" s="15"/>
      <c r="L1231"/>
      <c r="M1231"/>
      <c r="N1231"/>
    </row>
    <row r="1232" spans="9:14" x14ac:dyDescent="0.35">
      <c r="I1232" s="15"/>
      <c r="J1232" s="15"/>
      <c r="K1232" s="15"/>
      <c r="L1232"/>
      <c r="M1232"/>
      <c r="N1232"/>
    </row>
    <row r="1233" spans="9:14" x14ac:dyDescent="0.35">
      <c r="I1233" s="15"/>
      <c r="J1233" s="15"/>
      <c r="K1233" s="15"/>
      <c r="L1233"/>
      <c r="M1233"/>
      <c r="N1233"/>
    </row>
    <row r="1234" spans="9:14" x14ac:dyDescent="0.35">
      <c r="I1234" s="15"/>
      <c r="J1234" s="15"/>
      <c r="K1234" s="15"/>
      <c r="L1234"/>
      <c r="M1234"/>
      <c r="N1234"/>
    </row>
    <row r="1235" spans="9:14" x14ac:dyDescent="0.35">
      <c r="I1235" s="15"/>
      <c r="J1235" s="15"/>
      <c r="K1235" s="15"/>
      <c r="L1235"/>
      <c r="M1235"/>
      <c r="N1235"/>
    </row>
    <row r="1236" spans="9:14" x14ac:dyDescent="0.35">
      <c r="I1236" s="15"/>
      <c r="J1236" s="15"/>
      <c r="K1236" s="15"/>
      <c r="L1236"/>
      <c r="M1236"/>
      <c r="N1236"/>
    </row>
    <row r="1237" spans="9:14" x14ac:dyDescent="0.35">
      <c r="I1237" s="15"/>
      <c r="J1237" s="15"/>
      <c r="K1237" s="15"/>
      <c r="L1237"/>
      <c r="M1237"/>
      <c r="N1237"/>
    </row>
    <row r="1238" spans="9:14" x14ac:dyDescent="0.35">
      <c r="I1238" s="15"/>
      <c r="J1238" s="15"/>
      <c r="K1238" s="15"/>
      <c r="L1238"/>
      <c r="M1238"/>
      <c r="N1238"/>
    </row>
    <row r="1239" spans="9:14" x14ac:dyDescent="0.35">
      <c r="I1239" s="15"/>
      <c r="J1239" s="15"/>
      <c r="K1239" s="15"/>
      <c r="L1239"/>
      <c r="M1239"/>
      <c r="N1239"/>
    </row>
    <row r="1240" spans="9:14" x14ac:dyDescent="0.35">
      <c r="I1240" s="15"/>
      <c r="J1240" s="15"/>
      <c r="K1240" s="15"/>
      <c r="L1240"/>
      <c r="M1240"/>
      <c r="N1240"/>
    </row>
    <row r="1241" spans="9:14" x14ac:dyDescent="0.35">
      <c r="I1241" s="15"/>
      <c r="J1241" s="15"/>
      <c r="K1241" s="15"/>
      <c r="L1241"/>
      <c r="M1241"/>
      <c r="N1241"/>
    </row>
    <row r="1242" spans="9:14" x14ac:dyDescent="0.35">
      <c r="I1242" s="15"/>
      <c r="J1242" s="15"/>
      <c r="K1242" s="15"/>
      <c r="L1242"/>
      <c r="M1242"/>
      <c r="N1242"/>
    </row>
    <row r="1243" spans="9:14" x14ac:dyDescent="0.35">
      <c r="I1243" s="15"/>
      <c r="J1243" s="15"/>
      <c r="K1243" s="15"/>
      <c r="L1243"/>
      <c r="M1243"/>
      <c r="N1243"/>
    </row>
    <row r="1244" spans="9:14" x14ac:dyDescent="0.35">
      <c r="I1244" s="15"/>
      <c r="J1244" s="15"/>
      <c r="K1244" s="15"/>
      <c r="L1244"/>
      <c r="M1244"/>
      <c r="N1244"/>
    </row>
    <row r="1245" spans="9:14" x14ac:dyDescent="0.35">
      <c r="I1245" s="15"/>
      <c r="J1245" s="15"/>
      <c r="K1245" s="15"/>
      <c r="L1245"/>
      <c r="M1245"/>
      <c r="N1245"/>
    </row>
    <row r="1246" spans="9:14" x14ac:dyDescent="0.35">
      <c r="I1246" s="15"/>
      <c r="J1246" s="15"/>
      <c r="K1246" s="15"/>
      <c r="L1246"/>
      <c r="M1246"/>
      <c r="N1246"/>
    </row>
    <row r="1247" spans="9:14" x14ac:dyDescent="0.35">
      <c r="I1247" s="15"/>
      <c r="J1247" s="15"/>
      <c r="K1247" s="15"/>
      <c r="L1247"/>
      <c r="M1247"/>
      <c r="N1247"/>
    </row>
    <row r="1248" spans="9:14" x14ac:dyDescent="0.35">
      <c r="I1248" s="15"/>
      <c r="J1248" s="15"/>
      <c r="K1248" s="15"/>
      <c r="L1248"/>
      <c r="M1248"/>
      <c r="N1248"/>
    </row>
    <row r="1249" spans="9:14" x14ac:dyDescent="0.35">
      <c r="I1249" s="15"/>
      <c r="J1249" s="15"/>
      <c r="K1249" s="15"/>
      <c r="L1249"/>
      <c r="M1249"/>
      <c r="N1249"/>
    </row>
    <row r="1250" spans="9:14" x14ac:dyDescent="0.35">
      <c r="I1250" s="15"/>
      <c r="J1250" s="15"/>
      <c r="K1250" s="15"/>
      <c r="L1250"/>
      <c r="M1250"/>
      <c r="N1250"/>
    </row>
    <row r="1251" spans="9:14" x14ac:dyDescent="0.35">
      <c r="I1251" s="15"/>
      <c r="J1251" s="15"/>
      <c r="K1251" s="15"/>
      <c r="L1251"/>
      <c r="M1251"/>
      <c r="N1251"/>
    </row>
    <row r="1252" spans="9:14" x14ac:dyDescent="0.35">
      <c r="I1252" s="15"/>
      <c r="J1252" s="15"/>
      <c r="K1252" s="15"/>
      <c r="L1252"/>
      <c r="M1252"/>
      <c r="N1252"/>
    </row>
    <row r="1253" spans="9:14" x14ac:dyDescent="0.35">
      <c r="I1253" s="15"/>
      <c r="J1253" s="15"/>
      <c r="K1253" s="15"/>
      <c r="L1253"/>
      <c r="M1253"/>
      <c r="N1253"/>
    </row>
    <row r="1254" spans="9:14" x14ac:dyDescent="0.35">
      <c r="I1254" s="15"/>
      <c r="J1254" s="15"/>
      <c r="K1254" s="15"/>
      <c r="L1254"/>
      <c r="M1254"/>
      <c r="N1254"/>
    </row>
    <row r="1255" spans="9:14" x14ac:dyDescent="0.35">
      <c r="I1255" s="15"/>
      <c r="J1255" s="15"/>
      <c r="K1255" s="15"/>
      <c r="L1255"/>
      <c r="M1255"/>
      <c r="N1255"/>
    </row>
    <row r="1256" spans="9:14" x14ac:dyDescent="0.35">
      <c r="I1256" s="15"/>
      <c r="J1256" s="15"/>
      <c r="K1256" s="15"/>
      <c r="L1256"/>
      <c r="M1256"/>
      <c r="N1256"/>
    </row>
    <row r="1257" spans="9:14" x14ac:dyDescent="0.35">
      <c r="I1257" s="15"/>
      <c r="J1257" s="15"/>
      <c r="K1257" s="15"/>
      <c r="L1257"/>
      <c r="M1257"/>
      <c r="N1257"/>
    </row>
    <row r="1258" spans="9:14" x14ac:dyDescent="0.35">
      <c r="I1258" s="15"/>
      <c r="J1258" s="15"/>
      <c r="K1258" s="15"/>
      <c r="L1258"/>
      <c r="M1258"/>
      <c r="N1258"/>
    </row>
    <row r="1259" spans="9:14" x14ac:dyDescent="0.35">
      <c r="I1259" s="15"/>
      <c r="J1259" s="15"/>
      <c r="K1259" s="15"/>
      <c r="L1259"/>
      <c r="M1259"/>
      <c r="N1259"/>
    </row>
    <row r="1260" spans="9:14" x14ac:dyDescent="0.35">
      <c r="I1260" s="15"/>
      <c r="J1260" s="15"/>
      <c r="K1260" s="15"/>
      <c r="L1260"/>
      <c r="M1260"/>
      <c r="N1260"/>
    </row>
    <row r="1261" spans="9:14" x14ac:dyDescent="0.35">
      <c r="I1261" s="15"/>
      <c r="J1261" s="15"/>
      <c r="K1261" s="15"/>
      <c r="L1261"/>
      <c r="M1261"/>
      <c r="N1261"/>
    </row>
    <row r="1262" spans="9:14" x14ac:dyDescent="0.35">
      <c r="I1262" s="15"/>
      <c r="J1262" s="15"/>
      <c r="K1262" s="15"/>
      <c r="L1262"/>
      <c r="M1262"/>
      <c r="N1262"/>
    </row>
    <row r="1263" spans="9:14" x14ac:dyDescent="0.35">
      <c r="I1263" s="15"/>
      <c r="J1263" s="15"/>
      <c r="K1263" s="15"/>
      <c r="L1263"/>
      <c r="M1263"/>
      <c r="N1263"/>
    </row>
    <row r="1264" spans="9:14" x14ac:dyDescent="0.35">
      <c r="I1264" s="15"/>
      <c r="J1264" s="15"/>
      <c r="K1264" s="15"/>
      <c r="L1264"/>
      <c r="M1264"/>
      <c r="N1264"/>
    </row>
    <row r="1265" spans="9:14" x14ac:dyDescent="0.35">
      <c r="I1265" s="15"/>
      <c r="J1265" s="15"/>
      <c r="K1265" s="15"/>
      <c r="L1265"/>
      <c r="M1265"/>
      <c r="N1265"/>
    </row>
    <row r="1266" spans="9:14" x14ac:dyDescent="0.35">
      <c r="I1266" s="15"/>
      <c r="J1266" s="15"/>
      <c r="K1266" s="15"/>
      <c r="L1266"/>
      <c r="M1266"/>
      <c r="N1266"/>
    </row>
    <row r="1267" spans="9:14" x14ac:dyDescent="0.35">
      <c r="I1267" s="15"/>
      <c r="J1267" s="15"/>
      <c r="K1267" s="15"/>
      <c r="L1267"/>
      <c r="M1267"/>
      <c r="N1267"/>
    </row>
    <row r="1268" spans="9:14" x14ac:dyDescent="0.35">
      <c r="I1268" s="15"/>
      <c r="J1268" s="15"/>
      <c r="K1268" s="15"/>
      <c r="L1268"/>
      <c r="M1268"/>
      <c r="N1268"/>
    </row>
    <row r="1269" spans="9:14" x14ac:dyDescent="0.35">
      <c r="I1269" s="15"/>
      <c r="J1269" s="15"/>
      <c r="K1269" s="15"/>
      <c r="L1269"/>
      <c r="M1269"/>
      <c r="N1269"/>
    </row>
    <row r="1270" spans="9:14" x14ac:dyDescent="0.35">
      <c r="I1270" s="15"/>
      <c r="J1270" s="15"/>
      <c r="K1270" s="15"/>
      <c r="L1270"/>
      <c r="M1270"/>
      <c r="N1270"/>
    </row>
    <row r="1271" spans="9:14" x14ac:dyDescent="0.35">
      <c r="I1271" s="15"/>
      <c r="J1271" s="15"/>
      <c r="K1271" s="15"/>
      <c r="L1271"/>
      <c r="M1271"/>
      <c r="N1271"/>
    </row>
    <row r="1272" spans="9:14" x14ac:dyDescent="0.35">
      <c r="I1272" s="15"/>
      <c r="J1272" s="15"/>
      <c r="K1272" s="15"/>
      <c r="L1272"/>
      <c r="M1272"/>
      <c r="N1272"/>
    </row>
    <row r="1273" spans="9:14" x14ac:dyDescent="0.35">
      <c r="I1273" s="15"/>
      <c r="J1273" s="15"/>
      <c r="K1273" s="15"/>
      <c r="L1273"/>
      <c r="M1273"/>
      <c r="N1273"/>
    </row>
    <row r="1274" spans="9:14" x14ac:dyDescent="0.35">
      <c r="I1274" s="15"/>
      <c r="J1274" s="15"/>
      <c r="K1274" s="15"/>
      <c r="L1274"/>
      <c r="M1274"/>
      <c r="N1274"/>
    </row>
    <row r="1275" spans="9:14" x14ac:dyDescent="0.35">
      <c r="I1275" s="15"/>
      <c r="J1275" s="15"/>
      <c r="K1275" s="15"/>
      <c r="L1275"/>
      <c r="M1275"/>
      <c r="N1275"/>
    </row>
    <row r="1276" spans="9:14" x14ac:dyDescent="0.35">
      <c r="I1276" s="15"/>
      <c r="J1276" s="15"/>
      <c r="K1276" s="15"/>
      <c r="L1276"/>
      <c r="M1276"/>
      <c r="N1276"/>
    </row>
    <row r="1277" spans="9:14" x14ac:dyDescent="0.35">
      <c r="I1277" s="15"/>
      <c r="J1277" s="15"/>
      <c r="K1277" s="15"/>
      <c r="L1277"/>
      <c r="M1277"/>
      <c r="N1277"/>
    </row>
    <row r="1278" spans="9:14" x14ac:dyDescent="0.35">
      <c r="I1278" s="15"/>
      <c r="J1278" s="15"/>
      <c r="K1278" s="15"/>
      <c r="L1278"/>
      <c r="M1278"/>
      <c r="N1278"/>
    </row>
    <row r="1279" spans="9:14" x14ac:dyDescent="0.35">
      <c r="I1279" s="15"/>
      <c r="J1279" s="15"/>
      <c r="K1279" s="15"/>
      <c r="L1279"/>
      <c r="M1279"/>
      <c r="N1279"/>
    </row>
    <row r="1280" spans="9:14" x14ac:dyDescent="0.35">
      <c r="I1280" s="15"/>
      <c r="J1280" s="15"/>
      <c r="K1280" s="15"/>
      <c r="L1280"/>
      <c r="M1280"/>
      <c r="N1280"/>
    </row>
    <row r="1281" spans="9:14" x14ac:dyDescent="0.35">
      <c r="I1281" s="15"/>
      <c r="J1281" s="15"/>
      <c r="K1281" s="15"/>
      <c r="L1281"/>
      <c r="M1281"/>
      <c r="N1281"/>
    </row>
    <row r="1282" spans="9:14" x14ac:dyDescent="0.35">
      <c r="I1282" s="15"/>
      <c r="J1282" s="15"/>
      <c r="K1282" s="15"/>
      <c r="L1282"/>
      <c r="M1282"/>
      <c r="N1282"/>
    </row>
    <row r="1283" spans="9:14" x14ac:dyDescent="0.35">
      <c r="I1283" s="15"/>
      <c r="J1283" s="15"/>
      <c r="K1283" s="15"/>
      <c r="L1283"/>
      <c r="M1283"/>
      <c r="N1283"/>
    </row>
    <row r="1284" spans="9:14" x14ac:dyDescent="0.35">
      <c r="I1284" s="15"/>
      <c r="J1284" s="15"/>
      <c r="K1284" s="15"/>
      <c r="L1284"/>
      <c r="M1284"/>
      <c r="N1284"/>
    </row>
    <row r="1285" spans="9:14" x14ac:dyDescent="0.35">
      <c r="I1285" s="15"/>
      <c r="J1285" s="15"/>
      <c r="K1285" s="15"/>
      <c r="L1285"/>
      <c r="M1285"/>
      <c r="N1285"/>
    </row>
    <row r="1286" spans="9:14" x14ac:dyDescent="0.35">
      <c r="I1286" s="15"/>
      <c r="J1286" s="15"/>
      <c r="K1286" s="15"/>
      <c r="L1286"/>
      <c r="M1286"/>
      <c r="N1286"/>
    </row>
    <row r="1287" spans="9:14" x14ac:dyDescent="0.35">
      <c r="I1287" s="15"/>
      <c r="J1287" s="15"/>
      <c r="K1287" s="15"/>
      <c r="L1287"/>
      <c r="M1287"/>
      <c r="N1287"/>
    </row>
    <row r="1288" spans="9:14" x14ac:dyDescent="0.35">
      <c r="I1288" s="15"/>
      <c r="J1288" s="15"/>
      <c r="K1288" s="15"/>
      <c r="L1288"/>
      <c r="M1288"/>
      <c r="N1288"/>
    </row>
    <row r="1289" spans="9:14" x14ac:dyDescent="0.35">
      <c r="I1289" s="15"/>
      <c r="J1289" s="15"/>
      <c r="K1289" s="15"/>
      <c r="L1289"/>
      <c r="M1289"/>
      <c r="N1289"/>
    </row>
    <row r="1290" spans="9:14" x14ac:dyDescent="0.35">
      <c r="I1290" s="15"/>
      <c r="J1290" s="15"/>
      <c r="K1290" s="15"/>
      <c r="L1290"/>
      <c r="M1290"/>
      <c r="N1290"/>
    </row>
    <row r="1291" spans="9:14" x14ac:dyDescent="0.35">
      <c r="I1291" s="15"/>
      <c r="J1291" s="15"/>
      <c r="K1291" s="15"/>
      <c r="L1291"/>
      <c r="M1291"/>
      <c r="N1291"/>
    </row>
    <row r="1292" spans="9:14" x14ac:dyDescent="0.35">
      <c r="I1292" s="15"/>
      <c r="J1292" s="15"/>
      <c r="K1292" s="15"/>
      <c r="L1292"/>
      <c r="M1292"/>
      <c r="N1292"/>
    </row>
    <row r="1293" spans="9:14" x14ac:dyDescent="0.35">
      <c r="I1293" s="15"/>
      <c r="J1293" s="15"/>
      <c r="K1293" s="15"/>
      <c r="L1293"/>
      <c r="M1293"/>
      <c r="N1293"/>
    </row>
    <row r="1294" spans="9:14" x14ac:dyDescent="0.35">
      <c r="I1294" s="15"/>
      <c r="J1294" s="15"/>
      <c r="K1294" s="15"/>
      <c r="L1294"/>
      <c r="M1294"/>
      <c r="N1294"/>
    </row>
    <row r="1295" spans="9:14" x14ac:dyDescent="0.35">
      <c r="I1295" s="15"/>
      <c r="J1295" s="15"/>
      <c r="K1295" s="15"/>
      <c r="L1295"/>
      <c r="M1295"/>
      <c r="N1295"/>
    </row>
    <row r="1296" spans="9:14" x14ac:dyDescent="0.35">
      <c r="I1296" s="15"/>
      <c r="J1296" s="15"/>
      <c r="K1296" s="15"/>
      <c r="L1296"/>
      <c r="M1296"/>
      <c r="N1296"/>
    </row>
    <row r="1297" spans="9:14" x14ac:dyDescent="0.35">
      <c r="I1297" s="15"/>
      <c r="J1297" s="15"/>
      <c r="K1297" s="15"/>
      <c r="L1297"/>
      <c r="M1297"/>
      <c r="N1297"/>
    </row>
    <row r="1298" spans="9:14" x14ac:dyDescent="0.35">
      <c r="I1298" s="15"/>
      <c r="J1298" s="15"/>
      <c r="K1298" s="15"/>
      <c r="L1298"/>
      <c r="M1298"/>
      <c r="N1298"/>
    </row>
    <row r="1299" spans="9:14" x14ac:dyDescent="0.35">
      <c r="I1299" s="15"/>
      <c r="J1299" s="15"/>
      <c r="K1299" s="15"/>
      <c r="L1299"/>
      <c r="M1299"/>
      <c r="N1299"/>
    </row>
    <row r="1300" spans="9:14" x14ac:dyDescent="0.35">
      <c r="I1300" s="15"/>
      <c r="J1300" s="15"/>
      <c r="K1300" s="15"/>
      <c r="L1300"/>
      <c r="M1300"/>
      <c r="N1300"/>
    </row>
    <row r="1301" spans="9:14" x14ac:dyDescent="0.35">
      <c r="I1301" s="15"/>
      <c r="J1301" s="15"/>
      <c r="K1301" s="15"/>
      <c r="L1301"/>
      <c r="M1301"/>
      <c r="N1301"/>
    </row>
    <row r="1302" spans="9:14" x14ac:dyDescent="0.35">
      <c r="I1302" s="15"/>
      <c r="J1302" s="15"/>
      <c r="K1302" s="15"/>
      <c r="L1302"/>
      <c r="M1302"/>
      <c r="N1302"/>
    </row>
    <row r="1303" spans="9:14" x14ac:dyDescent="0.35">
      <c r="I1303" s="15"/>
      <c r="J1303" s="15"/>
      <c r="K1303" s="15"/>
      <c r="L1303"/>
      <c r="M1303"/>
      <c r="N1303"/>
    </row>
    <row r="1304" spans="9:14" x14ac:dyDescent="0.35">
      <c r="I1304" s="15"/>
      <c r="J1304" s="15"/>
      <c r="K1304" s="15"/>
      <c r="L1304"/>
      <c r="M1304"/>
      <c r="N1304"/>
    </row>
    <row r="1305" spans="9:14" x14ac:dyDescent="0.35">
      <c r="I1305" s="15"/>
      <c r="J1305" s="15"/>
      <c r="K1305" s="15"/>
      <c r="L1305"/>
      <c r="M1305"/>
      <c r="N1305"/>
    </row>
    <row r="1306" spans="9:14" x14ac:dyDescent="0.35">
      <c r="I1306" s="15"/>
      <c r="J1306" s="15"/>
      <c r="K1306" s="15"/>
      <c r="L1306"/>
      <c r="M1306"/>
      <c r="N1306"/>
    </row>
    <row r="1307" spans="9:14" x14ac:dyDescent="0.35">
      <c r="I1307" s="15"/>
      <c r="J1307" s="15"/>
      <c r="K1307" s="15"/>
      <c r="L1307"/>
      <c r="M1307"/>
      <c r="N1307"/>
    </row>
    <row r="1308" spans="9:14" x14ac:dyDescent="0.35">
      <c r="I1308" s="15"/>
      <c r="J1308" s="15"/>
      <c r="K1308" s="15"/>
      <c r="L1308"/>
      <c r="M1308"/>
      <c r="N1308"/>
    </row>
    <row r="1309" spans="9:14" x14ac:dyDescent="0.35">
      <c r="I1309" s="15"/>
      <c r="J1309" s="15"/>
      <c r="K1309" s="15"/>
      <c r="L1309"/>
      <c r="M1309"/>
      <c r="N1309"/>
    </row>
    <row r="1310" spans="9:14" x14ac:dyDescent="0.35">
      <c r="I1310" s="15"/>
      <c r="J1310" s="15"/>
      <c r="K1310" s="15"/>
      <c r="L1310"/>
      <c r="M1310"/>
      <c r="N1310"/>
    </row>
    <row r="1311" spans="9:14" x14ac:dyDescent="0.35">
      <c r="I1311" s="15"/>
      <c r="J1311" s="15"/>
      <c r="K1311" s="15"/>
      <c r="L1311"/>
      <c r="M1311"/>
      <c r="N1311"/>
    </row>
    <row r="1312" spans="9:14" x14ac:dyDescent="0.35">
      <c r="I1312" s="15"/>
      <c r="J1312" s="15"/>
      <c r="K1312" s="15"/>
      <c r="L1312"/>
      <c r="M1312"/>
      <c r="N1312"/>
    </row>
    <row r="1313" spans="9:14" x14ac:dyDescent="0.35">
      <c r="I1313" s="15"/>
      <c r="J1313" s="15"/>
      <c r="K1313" s="15"/>
      <c r="L1313"/>
      <c r="M1313"/>
      <c r="N1313"/>
    </row>
    <row r="1314" spans="9:14" x14ac:dyDescent="0.35">
      <c r="I1314" s="15"/>
      <c r="J1314" s="15"/>
      <c r="K1314" s="15"/>
      <c r="L1314"/>
      <c r="M1314"/>
      <c r="N1314"/>
    </row>
    <row r="1315" spans="9:14" x14ac:dyDescent="0.35">
      <c r="I1315" s="15"/>
      <c r="J1315" s="15"/>
      <c r="K1315" s="15"/>
      <c r="L1315"/>
      <c r="M1315"/>
      <c r="N1315"/>
    </row>
    <row r="1316" spans="9:14" x14ac:dyDescent="0.35">
      <c r="I1316" s="15"/>
      <c r="J1316" s="15"/>
      <c r="K1316" s="15"/>
      <c r="L1316"/>
      <c r="M1316"/>
      <c r="N1316"/>
    </row>
    <row r="1317" spans="9:14" x14ac:dyDescent="0.35">
      <c r="I1317" s="15"/>
      <c r="J1317" s="15"/>
      <c r="K1317" s="15"/>
      <c r="L1317"/>
      <c r="M1317"/>
      <c r="N1317"/>
    </row>
    <row r="1318" spans="9:14" x14ac:dyDescent="0.35">
      <c r="I1318" s="15"/>
      <c r="J1318" s="15"/>
      <c r="K1318" s="15"/>
      <c r="L1318"/>
      <c r="M1318"/>
      <c r="N1318"/>
    </row>
    <row r="1319" spans="9:14" x14ac:dyDescent="0.35">
      <c r="I1319" s="15"/>
      <c r="J1319" s="15"/>
      <c r="K1319" s="15"/>
      <c r="L1319"/>
      <c r="M1319"/>
      <c r="N1319"/>
    </row>
    <row r="1320" spans="9:14" x14ac:dyDescent="0.35">
      <c r="I1320" s="15"/>
      <c r="J1320" s="15"/>
      <c r="K1320" s="15"/>
      <c r="L1320"/>
      <c r="M1320"/>
      <c r="N1320"/>
    </row>
    <row r="1321" spans="9:14" x14ac:dyDescent="0.35">
      <c r="I1321" s="15"/>
      <c r="J1321" s="15"/>
      <c r="K1321" s="15"/>
      <c r="L1321"/>
      <c r="M1321"/>
      <c r="N1321"/>
    </row>
    <row r="1322" spans="9:14" x14ac:dyDescent="0.35">
      <c r="I1322" s="15"/>
      <c r="J1322" s="15"/>
      <c r="K1322" s="15"/>
      <c r="L1322"/>
      <c r="M1322"/>
      <c r="N1322"/>
    </row>
    <row r="1323" spans="9:14" x14ac:dyDescent="0.35">
      <c r="I1323" s="15"/>
      <c r="J1323" s="15"/>
      <c r="K1323" s="15"/>
      <c r="L1323"/>
      <c r="M1323"/>
      <c r="N1323"/>
    </row>
    <row r="1324" spans="9:14" x14ac:dyDescent="0.35">
      <c r="I1324" s="15"/>
      <c r="J1324" s="15"/>
      <c r="K1324" s="15"/>
      <c r="L1324"/>
      <c r="M1324"/>
      <c r="N1324"/>
    </row>
    <row r="1325" spans="9:14" x14ac:dyDescent="0.35">
      <c r="I1325" s="15"/>
      <c r="J1325" s="15"/>
      <c r="K1325" s="15"/>
      <c r="L1325"/>
      <c r="M1325"/>
      <c r="N1325"/>
    </row>
    <row r="1326" spans="9:14" x14ac:dyDescent="0.35">
      <c r="I1326" s="15"/>
      <c r="J1326" s="15"/>
      <c r="K1326" s="15"/>
      <c r="L1326"/>
      <c r="M1326"/>
      <c r="N1326"/>
    </row>
    <row r="1327" spans="9:14" x14ac:dyDescent="0.35">
      <c r="I1327" s="15"/>
      <c r="J1327" s="15"/>
      <c r="K1327" s="15"/>
      <c r="L1327"/>
      <c r="M1327"/>
      <c r="N1327"/>
    </row>
    <row r="1328" spans="9:14" x14ac:dyDescent="0.35">
      <c r="I1328" s="15"/>
      <c r="J1328" s="15"/>
      <c r="K1328" s="15"/>
      <c r="L1328"/>
      <c r="M1328"/>
      <c r="N1328"/>
    </row>
    <row r="1329" spans="9:14" x14ac:dyDescent="0.35">
      <c r="I1329" s="15"/>
      <c r="J1329" s="15"/>
      <c r="K1329" s="15"/>
      <c r="L1329"/>
      <c r="M1329"/>
      <c r="N1329"/>
    </row>
    <row r="1330" spans="9:14" x14ac:dyDescent="0.35">
      <c r="I1330" s="15"/>
      <c r="J1330" s="15"/>
      <c r="K1330" s="15"/>
      <c r="L1330"/>
      <c r="M1330"/>
      <c r="N1330"/>
    </row>
    <row r="1331" spans="9:14" x14ac:dyDescent="0.35">
      <c r="I1331" s="15"/>
      <c r="J1331" s="15"/>
      <c r="K1331" s="15"/>
      <c r="L1331"/>
      <c r="M1331"/>
      <c r="N1331"/>
    </row>
    <row r="1332" spans="9:14" x14ac:dyDescent="0.35">
      <c r="I1332" s="15"/>
      <c r="J1332" s="15"/>
      <c r="K1332" s="15"/>
      <c r="L1332"/>
      <c r="M1332"/>
      <c r="N1332"/>
    </row>
    <row r="1333" spans="9:14" x14ac:dyDescent="0.35">
      <c r="I1333" s="15"/>
      <c r="J1333" s="15"/>
      <c r="K1333" s="15"/>
      <c r="L1333"/>
      <c r="M1333"/>
      <c r="N1333"/>
    </row>
    <row r="1334" spans="9:14" x14ac:dyDescent="0.35">
      <c r="I1334" s="15"/>
      <c r="J1334" s="15"/>
      <c r="K1334" s="15"/>
      <c r="L1334"/>
      <c r="M1334"/>
      <c r="N1334"/>
    </row>
    <row r="1335" spans="9:14" x14ac:dyDescent="0.35">
      <c r="I1335" s="15"/>
      <c r="J1335" s="15"/>
      <c r="K1335" s="15"/>
      <c r="L1335"/>
      <c r="M1335"/>
      <c r="N1335"/>
    </row>
    <row r="1336" spans="9:14" x14ac:dyDescent="0.35">
      <c r="I1336" s="15"/>
      <c r="J1336" s="15"/>
      <c r="K1336" s="15"/>
      <c r="L1336"/>
      <c r="M1336"/>
      <c r="N1336"/>
    </row>
    <row r="1337" spans="9:14" x14ac:dyDescent="0.35">
      <c r="I1337" s="15"/>
      <c r="J1337" s="15"/>
      <c r="K1337" s="15"/>
      <c r="L1337"/>
      <c r="M1337"/>
      <c r="N1337"/>
    </row>
    <row r="1338" spans="9:14" x14ac:dyDescent="0.35">
      <c r="I1338" s="15"/>
      <c r="J1338" s="15"/>
      <c r="K1338" s="15"/>
      <c r="L1338"/>
      <c r="M1338"/>
      <c r="N1338"/>
    </row>
    <row r="1339" spans="9:14" x14ac:dyDescent="0.35">
      <c r="I1339" s="15"/>
      <c r="J1339" s="15"/>
      <c r="K1339" s="15"/>
      <c r="L1339"/>
      <c r="M1339"/>
      <c r="N1339"/>
    </row>
    <row r="1340" spans="9:14" x14ac:dyDescent="0.35">
      <c r="I1340" s="15"/>
      <c r="J1340" s="15"/>
      <c r="K1340" s="15"/>
      <c r="L1340"/>
      <c r="M1340"/>
      <c r="N1340"/>
    </row>
    <row r="1341" spans="9:14" x14ac:dyDescent="0.35">
      <c r="I1341" s="15"/>
      <c r="J1341" s="15"/>
      <c r="K1341" s="15"/>
      <c r="L1341"/>
      <c r="M1341"/>
      <c r="N1341"/>
    </row>
    <row r="1342" spans="9:14" x14ac:dyDescent="0.35">
      <c r="I1342" s="15"/>
      <c r="J1342" s="15"/>
      <c r="K1342" s="15"/>
      <c r="L1342"/>
      <c r="M1342"/>
      <c r="N1342"/>
    </row>
    <row r="1343" spans="9:14" x14ac:dyDescent="0.35">
      <c r="I1343" s="15"/>
      <c r="J1343" s="15"/>
      <c r="K1343" s="15"/>
      <c r="L1343"/>
      <c r="M1343"/>
      <c r="N1343"/>
    </row>
    <row r="1344" spans="9:14" x14ac:dyDescent="0.35">
      <c r="I1344" s="15"/>
      <c r="J1344" s="15"/>
      <c r="K1344" s="15"/>
      <c r="L1344"/>
      <c r="M1344"/>
      <c r="N1344"/>
    </row>
    <row r="1345" spans="9:14" x14ac:dyDescent="0.35">
      <c r="I1345" s="15"/>
      <c r="J1345" s="15"/>
      <c r="K1345" s="15"/>
      <c r="L1345"/>
      <c r="M1345"/>
      <c r="N1345"/>
    </row>
    <row r="1346" spans="9:14" x14ac:dyDescent="0.35">
      <c r="I1346" s="15"/>
      <c r="J1346" s="15"/>
      <c r="K1346" s="15"/>
      <c r="L1346"/>
      <c r="M1346"/>
      <c r="N1346"/>
    </row>
    <row r="1347" spans="9:14" x14ac:dyDescent="0.35">
      <c r="I1347" s="15"/>
      <c r="J1347" s="15"/>
      <c r="K1347" s="15"/>
      <c r="L1347"/>
      <c r="M1347"/>
      <c r="N1347"/>
    </row>
    <row r="1348" spans="9:14" x14ac:dyDescent="0.35">
      <c r="I1348" s="15"/>
      <c r="J1348" s="15"/>
      <c r="K1348" s="15"/>
      <c r="L1348"/>
      <c r="M1348"/>
      <c r="N1348"/>
    </row>
    <row r="1349" spans="9:14" x14ac:dyDescent="0.35">
      <c r="I1349" s="15"/>
      <c r="J1349" s="15"/>
      <c r="K1349" s="15"/>
      <c r="L1349"/>
      <c r="M1349"/>
      <c r="N1349"/>
    </row>
    <row r="1350" spans="9:14" x14ac:dyDescent="0.35">
      <c r="I1350" s="15"/>
      <c r="J1350" s="15"/>
      <c r="K1350" s="15"/>
      <c r="L1350"/>
      <c r="M1350"/>
      <c r="N1350"/>
    </row>
    <row r="1351" spans="9:14" x14ac:dyDescent="0.35">
      <c r="I1351" s="15"/>
      <c r="J1351" s="15"/>
      <c r="K1351" s="15"/>
      <c r="L1351"/>
      <c r="M1351"/>
      <c r="N1351"/>
    </row>
    <row r="1352" spans="9:14" x14ac:dyDescent="0.35">
      <c r="I1352" s="15"/>
      <c r="J1352" s="15"/>
      <c r="K1352" s="15"/>
      <c r="L1352"/>
      <c r="M1352"/>
      <c r="N1352"/>
    </row>
    <row r="1353" spans="9:14" x14ac:dyDescent="0.35">
      <c r="I1353" s="15"/>
      <c r="J1353" s="15"/>
      <c r="K1353" s="15"/>
      <c r="L1353"/>
      <c r="M1353"/>
      <c r="N1353"/>
    </row>
    <row r="1354" spans="9:14" x14ac:dyDescent="0.35">
      <c r="I1354" s="15"/>
      <c r="J1354" s="15"/>
      <c r="K1354" s="15"/>
      <c r="L1354"/>
      <c r="M1354"/>
      <c r="N1354"/>
    </row>
    <row r="1355" spans="9:14" x14ac:dyDescent="0.35">
      <c r="I1355" s="15"/>
      <c r="J1355" s="15"/>
      <c r="K1355" s="15"/>
      <c r="L1355"/>
      <c r="M1355"/>
      <c r="N1355"/>
    </row>
    <row r="1356" spans="9:14" x14ac:dyDescent="0.35">
      <c r="I1356" s="15"/>
      <c r="J1356" s="15"/>
      <c r="K1356" s="15"/>
      <c r="L1356"/>
      <c r="M1356"/>
      <c r="N1356"/>
    </row>
    <row r="1357" spans="9:14" x14ac:dyDescent="0.35">
      <c r="I1357" s="15"/>
      <c r="J1357" s="15"/>
      <c r="K1357" s="15"/>
      <c r="L1357"/>
      <c r="M1357"/>
      <c r="N1357"/>
    </row>
    <row r="1358" spans="9:14" x14ac:dyDescent="0.35">
      <c r="I1358" s="15"/>
      <c r="J1358" s="15"/>
      <c r="K1358" s="15"/>
      <c r="L1358"/>
      <c r="M1358"/>
      <c r="N1358"/>
    </row>
    <row r="1359" spans="9:14" x14ac:dyDescent="0.35">
      <c r="I1359" s="15"/>
      <c r="J1359" s="15"/>
      <c r="K1359" s="15"/>
      <c r="L1359"/>
      <c r="M1359"/>
      <c r="N1359"/>
    </row>
    <row r="1360" spans="9:14" x14ac:dyDescent="0.35">
      <c r="I1360" s="15"/>
      <c r="J1360" s="15"/>
      <c r="K1360" s="15"/>
      <c r="L1360"/>
      <c r="M1360"/>
      <c r="N1360"/>
    </row>
    <row r="1361" spans="9:14" x14ac:dyDescent="0.35">
      <c r="I1361" s="15"/>
      <c r="J1361" s="15"/>
      <c r="K1361" s="15"/>
      <c r="L1361"/>
      <c r="M1361"/>
      <c r="N1361"/>
    </row>
    <row r="1362" spans="9:14" x14ac:dyDescent="0.35">
      <c r="I1362" s="15"/>
      <c r="J1362" s="15"/>
      <c r="K1362" s="15"/>
      <c r="L1362"/>
      <c r="M1362"/>
      <c r="N1362"/>
    </row>
    <row r="1363" spans="9:14" x14ac:dyDescent="0.35">
      <c r="I1363" s="15"/>
      <c r="J1363" s="15"/>
      <c r="K1363" s="15"/>
      <c r="L1363"/>
      <c r="M1363"/>
      <c r="N1363"/>
    </row>
    <row r="1364" spans="9:14" x14ac:dyDescent="0.35">
      <c r="I1364" s="15"/>
      <c r="J1364" s="15"/>
      <c r="K1364" s="15"/>
      <c r="L1364"/>
      <c r="M1364"/>
      <c r="N1364"/>
    </row>
    <row r="1365" spans="9:14" x14ac:dyDescent="0.35">
      <c r="I1365" s="15"/>
      <c r="J1365" s="15"/>
      <c r="K1365" s="15"/>
      <c r="L1365"/>
      <c r="M1365"/>
      <c r="N1365"/>
    </row>
    <row r="1366" spans="9:14" x14ac:dyDescent="0.35">
      <c r="I1366" s="15"/>
      <c r="J1366" s="15"/>
      <c r="K1366" s="15"/>
      <c r="L1366"/>
      <c r="M1366"/>
      <c r="N1366"/>
    </row>
    <row r="1367" spans="9:14" x14ac:dyDescent="0.35">
      <c r="I1367" s="15"/>
      <c r="J1367" s="15"/>
      <c r="K1367" s="15"/>
      <c r="L1367"/>
      <c r="M1367"/>
      <c r="N1367"/>
    </row>
    <row r="1368" spans="9:14" x14ac:dyDescent="0.35">
      <c r="I1368" s="15"/>
      <c r="J1368" s="15"/>
      <c r="K1368" s="15"/>
      <c r="L1368"/>
      <c r="M1368"/>
      <c r="N1368"/>
    </row>
    <row r="1369" spans="9:14" x14ac:dyDescent="0.35">
      <c r="I1369" s="15"/>
      <c r="J1369" s="15"/>
      <c r="K1369" s="15"/>
      <c r="L1369"/>
      <c r="M1369"/>
      <c r="N1369"/>
    </row>
    <row r="1370" spans="9:14" x14ac:dyDescent="0.35">
      <c r="I1370" s="15"/>
      <c r="J1370" s="15"/>
      <c r="K1370" s="15"/>
      <c r="L1370"/>
      <c r="M1370"/>
      <c r="N1370"/>
    </row>
    <row r="1371" spans="9:14" x14ac:dyDescent="0.35">
      <c r="I1371" s="15"/>
      <c r="J1371" s="15"/>
      <c r="K1371" s="15"/>
      <c r="L1371"/>
      <c r="M1371"/>
      <c r="N1371"/>
    </row>
    <row r="1372" spans="9:14" x14ac:dyDescent="0.35">
      <c r="I1372" s="15"/>
      <c r="J1372" s="15"/>
      <c r="K1372" s="15"/>
      <c r="L1372"/>
      <c r="M1372"/>
      <c r="N1372"/>
    </row>
    <row r="1373" spans="9:14" x14ac:dyDescent="0.35">
      <c r="I1373" s="15"/>
      <c r="J1373" s="15"/>
      <c r="K1373" s="15"/>
      <c r="L1373"/>
      <c r="M1373"/>
      <c r="N1373"/>
    </row>
    <row r="1374" spans="9:14" x14ac:dyDescent="0.35">
      <c r="I1374" s="15"/>
      <c r="J1374" s="15"/>
      <c r="K1374" s="15"/>
      <c r="L1374"/>
      <c r="M1374"/>
      <c r="N1374"/>
    </row>
    <row r="1375" spans="9:14" x14ac:dyDescent="0.35">
      <c r="I1375" s="15"/>
      <c r="J1375" s="15"/>
      <c r="K1375" s="15"/>
      <c r="L1375"/>
      <c r="M1375"/>
      <c r="N1375"/>
    </row>
    <row r="1376" spans="9:14" x14ac:dyDescent="0.35">
      <c r="I1376" s="15"/>
      <c r="J1376" s="15"/>
      <c r="K1376" s="15"/>
      <c r="L1376"/>
      <c r="M1376"/>
      <c r="N1376"/>
    </row>
    <row r="1377" spans="9:14" x14ac:dyDescent="0.35">
      <c r="I1377" s="15"/>
      <c r="J1377" s="15"/>
      <c r="K1377" s="15"/>
      <c r="L1377"/>
      <c r="M1377"/>
      <c r="N1377"/>
    </row>
    <row r="1378" spans="9:14" x14ac:dyDescent="0.35">
      <c r="I1378" s="15"/>
      <c r="J1378" s="15"/>
      <c r="K1378" s="15"/>
      <c r="L1378"/>
      <c r="M1378"/>
      <c r="N1378"/>
    </row>
    <row r="1379" spans="9:14" x14ac:dyDescent="0.35">
      <c r="I1379" s="15"/>
      <c r="J1379" s="15"/>
      <c r="K1379" s="15"/>
      <c r="L1379"/>
      <c r="M1379"/>
      <c r="N1379"/>
    </row>
    <row r="1380" spans="9:14" x14ac:dyDescent="0.35">
      <c r="I1380" s="15"/>
      <c r="J1380" s="15"/>
      <c r="K1380" s="15"/>
      <c r="L1380"/>
      <c r="M1380"/>
      <c r="N1380"/>
    </row>
    <row r="1381" spans="9:14" x14ac:dyDescent="0.35">
      <c r="I1381" s="15"/>
      <c r="J1381" s="15"/>
      <c r="K1381" s="15"/>
      <c r="L1381"/>
      <c r="M1381"/>
      <c r="N1381"/>
    </row>
    <row r="1382" spans="9:14" x14ac:dyDescent="0.35">
      <c r="I1382" s="15"/>
      <c r="J1382" s="15"/>
      <c r="K1382" s="15"/>
      <c r="L1382"/>
      <c r="M1382"/>
      <c r="N1382"/>
    </row>
    <row r="1383" spans="9:14" x14ac:dyDescent="0.35">
      <c r="I1383" s="15"/>
      <c r="J1383" s="15"/>
      <c r="K1383" s="15"/>
      <c r="L1383"/>
      <c r="M1383"/>
      <c r="N1383"/>
    </row>
    <row r="1384" spans="9:14" x14ac:dyDescent="0.35">
      <c r="I1384" s="15"/>
      <c r="J1384" s="15"/>
      <c r="K1384" s="15"/>
      <c r="L1384"/>
      <c r="M1384"/>
      <c r="N1384"/>
    </row>
    <row r="1385" spans="9:14" x14ac:dyDescent="0.35">
      <c r="I1385" s="15"/>
      <c r="J1385" s="15"/>
      <c r="K1385" s="15"/>
      <c r="L1385"/>
      <c r="M1385"/>
      <c r="N1385"/>
    </row>
    <row r="1386" spans="9:14" x14ac:dyDescent="0.35">
      <c r="I1386" s="15"/>
      <c r="J1386" s="15"/>
      <c r="K1386" s="15"/>
      <c r="L1386"/>
      <c r="M1386"/>
      <c r="N1386"/>
    </row>
    <row r="1387" spans="9:14" x14ac:dyDescent="0.35">
      <c r="I1387" s="15"/>
      <c r="J1387" s="15"/>
      <c r="K1387" s="15"/>
      <c r="L1387"/>
      <c r="M1387"/>
      <c r="N1387"/>
    </row>
    <row r="1388" spans="9:14" x14ac:dyDescent="0.35">
      <c r="I1388" s="15"/>
      <c r="J1388" s="15"/>
      <c r="K1388" s="15"/>
      <c r="L1388"/>
      <c r="M1388"/>
      <c r="N1388"/>
    </row>
    <row r="1389" spans="9:14" x14ac:dyDescent="0.35">
      <c r="I1389" s="15"/>
      <c r="J1389" s="15"/>
      <c r="K1389" s="15"/>
      <c r="L1389"/>
      <c r="M1389"/>
      <c r="N1389"/>
    </row>
    <row r="1390" spans="9:14" x14ac:dyDescent="0.35">
      <c r="I1390" s="15"/>
      <c r="J1390" s="15"/>
      <c r="K1390" s="15"/>
      <c r="L1390"/>
      <c r="M1390"/>
      <c r="N1390"/>
    </row>
    <row r="1391" spans="9:14" x14ac:dyDescent="0.35">
      <c r="I1391" s="15"/>
      <c r="J1391" s="15"/>
      <c r="K1391" s="15"/>
      <c r="L1391"/>
      <c r="M1391"/>
      <c r="N1391"/>
    </row>
    <row r="1392" spans="9:14" x14ac:dyDescent="0.35">
      <c r="I1392" s="15"/>
      <c r="J1392" s="15"/>
      <c r="K1392" s="15"/>
      <c r="L1392"/>
      <c r="M1392"/>
      <c r="N1392"/>
    </row>
    <row r="1393" spans="9:14" x14ac:dyDescent="0.35">
      <c r="I1393" s="15"/>
      <c r="J1393" s="15"/>
      <c r="K1393" s="15"/>
      <c r="L1393"/>
      <c r="M1393"/>
      <c r="N1393"/>
    </row>
    <row r="1394" spans="9:14" x14ac:dyDescent="0.35">
      <c r="I1394" s="15"/>
      <c r="J1394" s="15"/>
      <c r="K1394" s="15"/>
      <c r="L1394"/>
      <c r="M1394"/>
      <c r="N1394"/>
    </row>
    <row r="1395" spans="9:14" x14ac:dyDescent="0.35">
      <c r="I1395" s="15"/>
      <c r="J1395" s="15"/>
      <c r="K1395" s="15"/>
      <c r="L1395"/>
      <c r="M1395"/>
      <c r="N1395"/>
    </row>
    <row r="1396" spans="9:14" x14ac:dyDescent="0.35">
      <c r="I1396" s="15"/>
      <c r="J1396" s="15"/>
      <c r="K1396" s="15"/>
      <c r="L1396"/>
      <c r="M1396"/>
      <c r="N1396"/>
    </row>
    <row r="1397" spans="9:14" x14ac:dyDescent="0.35">
      <c r="I1397" s="15"/>
      <c r="J1397" s="15"/>
      <c r="K1397" s="15"/>
      <c r="L1397"/>
      <c r="M1397"/>
      <c r="N1397"/>
    </row>
    <row r="1398" spans="9:14" x14ac:dyDescent="0.35">
      <c r="I1398" s="15"/>
      <c r="J1398" s="15"/>
      <c r="K1398" s="15"/>
      <c r="L1398"/>
      <c r="M1398"/>
      <c r="N1398"/>
    </row>
    <row r="1399" spans="9:14" x14ac:dyDescent="0.35">
      <c r="I1399" s="15"/>
      <c r="J1399" s="15"/>
      <c r="K1399" s="15"/>
      <c r="L1399"/>
      <c r="M1399"/>
      <c r="N1399"/>
    </row>
    <row r="1400" spans="9:14" x14ac:dyDescent="0.35">
      <c r="I1400" s="15"/>
      <c r="J1400" s="15"/>
      <c r="K1400" s="15"/>
      <c r="L1400"/>
      <c r="M1400"/>
      <c r="N1400"/>
    </row>
    <row r="1401" spans="9:14" x14ac:dyDescent="0.35">
      <c r="I1401" s="15"/>
      <c r="J1401" s="15"/>
      <c r="K1401" s="15"/>
      <c r="L1401"/>
      <c r="M1401"/>
      <c r="N1401"/>
    </row>
    <row r="1402" spans="9:14" x14ac:dyDescent="0.35">
      <c r="I1402" s="15"/>
      <c r="J1402" s="15"/>
      <c r="K1402" s="15"/>
      <c r="L1402"/>
      <c r="M1402"/>
      <c r="N1402"/>
    </row>
    <row r="1403" spans="9:14" x14ac:dyDescent="0.35">
      <c r="I1403" s="15"/>
      <c r="J1403" s="15"/>
      <c r="K1403" s="15"/>
      <c r="L1403"/>
      <c r="M1403"/>
      <c r="N1403"/>
    </row>
    <row r="1404" spans="9:14" x14ac:dyDescent="0.35">
      <c r="I1404" s="15"/>
      <c r="J1404" s="15"/>
      <c r="K1404" s="15"/>
      <c r="L1404"/>
      <c r="M1404"/>
      <c r="N1404"/>
    </row>
    <row r="1405" spans="9:14" x14ac:dyDescent="0.35">
      <c r="I1405" s="15"/>
      <c r="J1405" s="15"/>
      <c r="K1405" s="15"/>
      <c r="L1405"/>
      <c r="M1405"/>
      <c r="N1405"/>
    </row>
    <row r="1406" spans="9:14" x14ac:dyDescent="0.35">
      <c r="I1406" s="15"/>
      <c r="J1406" s="15"/>
      <c r="K1406" s="15"/>
      <c r="L1406"/>
      <c r="M1406"/>
      <c r="N1406"/>
    </row>
    <row r="1407" spans="9:14" x14ac:dyDescent="0.35">
      <c r="I1407" s="15"/>
      <c r="J1407" s="15"/>
      <c r="K1407" s="15"/>
      <c r="L1407"/>
      <c r="M1407"/>
      <c r="N1407"/>
    </row>
    <row r="1408" spans="9:14" x14ac:dyDescent="0.35">
      <c r="I1408" s="15"/>
      <c r="J1408" s="15"/>
      <c r="K1408" s="15"/>
      <c r="L1408"/>
      <c r="M1408"/>
      <c r="N1408"/>
    </row>
    <row r="1409" spans="9:14" x14ac:dyDescent="0.35">
      <c r="I1409" s="15"/>
      <c r="J1409" s="15"/>
      <c r="K1409" s="15"/>
      <c r="L1409"/>
      <c r="M1409"/>
      <c r="N1409"/>
    </row>
    <row r="1410" spans="9:14" x14ac:dyDescent="0.35">
      <c r="I1410" s="15"/>
      <c r="J1410" s="15"/>
      <c r="K1410" s="15"/>
      <c r="L1410"/>
      <c r="M1410"/>
      <c r="N1410"/>
    </row>
    <row r="1411" spans="9:14" x14ac:dyDescent="0.35">
      <c r="I1411" s="15"/>
      <c r="J1411" s="15"/>
      <c r="K1411" s="15"/>
      <c r="L1411"/>
      <c r="M1411"/>
      <c r="N1411"/>
    </row>
    <row r="1412" spans="9:14" x14ac:dyDescent="0.35">
      <c r="I1412" s="15"/>
      <c r="J1412" s="15"/>
      <c r="K1412" s="15"/>
      <c r="L1412"/>
      <c r="M1412"/>
      <c r="N1412"/>
    </row>
    <row r="1413" spans="9:14" x14ac:dyDescent="0.35">
      <c r="I1413" s="15"/>
      <c r="J1413" s="15"/>
      <c r="K1413" s="15"/>
      <c r="L1413"/>
      <c r="M1413"/>
      <c r="N1413"/>
    </row>
    <row r="1414" spans="9:14" x14ac:dyDescent="0.35">
      <c r="I1414" s="15"/>
      <c r="J1414" s="15"/>
      <c r="K1414" s="15"/>
      <c r="L1414"/>
      <c r="M1414"/>
      <c r="N1414"/>
    </row>
    <row r="1415" spans="9:14" x14ac:dyDescent="0.35">
      <c r="I1415" s="15"/>
      <c r="J1415" s="15"/>
      <c r="K1415" s="15"/>
      <c r="L1415"/>
      <c r="M1415"/>
      <c r="N1415"/>
    </row>
    <row r="1416" spans="9:14" x14ac:dyDescent="0.35">
      <c r="I1416" s="15"/>
      <c r="J1416" s="15"/>
      <c r="K1416" s="15"/>
      <c r="L1416"/>
      <c r="M1416"/>
      <c r="N1416"/>
    </row>
    <row r="1417" spans="9:14" x14ac:dyDescent="0.35">
      <c r="I1417" s="15"/>
      <c r="J1417" s="15"/>
      <c r="K1417" s="15"/>
      <c r="L1417"/>
      <c r="M1417"/>
      <c r="N1417"/>
    </row>
    <row r="1418" spans="9:14" x14ac:dyDescent="0.35">
      <c r="I1418" s="15"/>
      <c r="J1418" s="15"/>
      <c r="K1418" s="15"/>
      <c r="L1418"/>
      <c r="M1418"/>
      <c r="N1418"/>
    </row>
    <row r="1419" spans="9:14" x14ac:dyDescent="0.35">
      <c r="I1419" s="15"/>
      <c r="J1419" s="15"/>
      <c r="K1419" s="15"/>
      <c r="L1419"/>
      <c r="M1419"/>
      <c r="N1419"/>
    </row>
    <row r="1420" spans="9:14" x14ac:dyDescent="0.35">
      <c r="I1420" s="15"/>
      <c r="J1420" s="15"/>
      <c r="K1420" s="15"/>
      <c r="L1420"/>
      <c r="M1420"/>
      <c r="N1420"/>
    </row>
    <row r="1421" spans="9:14" x14ac:dyDescent="0.35">
      <c r="I1421" s="15"/>
      <c r="J1421" s="15"/>
      <c r="K1421" s="15"/>
      <c r="L1421"/>
      <c r="M1421"/>
      <c r="N1421"/>
    </row>
    <row r="1422" spans="9:14" x14ac:dyDescent="0.35">
      <c r="I1422" s="15"/>
      <c r="J1422" s="15"/>
      <c r="K1422" s="15"/>
      <c r="L1422"/>
      <c r="M1422"/>
      <c r="N1422"/>
    </row>
    <row r="1423" spans="9:14" x14ac:dyDescent="0.35">
      <c r="I1423" s="15"/>
      <c r="J1423" s="15"/>
      <c r="K1423" s="15"/>
      <c r="L1423"/>
      <c r="M1423"/>
      <c r="N1423"/>
    </row>
    <row r="1424" spans="9:14" x14ac:dyDescent="0.35">
      <c r="I1424" s="15"/>
      <c r="J1424" s="15"/>
      <c r="K1424" s="15"/>
      <c r="L1424"/>
      <c r="M1424"/>
      <c r="N1424"/>
    </row>
    <row r="1425" spans="9:14" x14ac:dyDescent="0.35">
      <c r="I1425" s="15"/>
      <c r="J1425" s="15"/>
      <c r="K1425" s="15"/>
      <c r="L1425"/>
      <c r="M1425"/>
      <c r="N1425"/>
    </row>
    <row r="1426" spans="9:14" x14ac:dyDescent="0.35">
      <c r="I1426" s="15"/>
      <c r="J1426" s="15"/>
      <c r="K1426" s="15"/>
      <c r="L1426"/>
      <c r="M1426"/>
      <c r="N1426"/>
    </row>
    <row r="1427" spans="9:14" x14ac:dyDescent="0.35">
      <c r="I1427" s="15"/>
      <c r="J1427" s="15"/>
      <c r="K1427" s="15"/>
      <c r="L1427"/>
      <c r="M1427"/>
      <c r="N1427"/>
    </row>
    <row r="1428" spans="9:14" x14ac:dyDescent="0.35">
      <c r="I1428" s="15"/>
      <c r="J1428" s="15"/>
      <c r="K1428" s="15"/>
      <c r="L1428"/>
      <c r="M1428"/>
      <c r="N1428"/>
    </row>
    <row r="1429" spans="9:14" x14ac:dyDescent="0.35">
      <c r="I1429" s="15"/>
      <c r="J1429" s="15"/>
      <c r="K1429" s="15"/>
      <c r="L1429"/>
      <c r="M1429"/>
      <c r="N1429"/>
    </row>
    <row r="1430" spans="9:14" x14ac:dyDescent="0.35">
      <c r="I1430" s="15"/>
      <c r="J1430" s="15"/>
      <c r="K1430" s="15"/>
      <c r="L1430"/>
      <c r="M1430"/>
      <c r="N1430"/>
    </row>
    <row r="1431" spans="9:14" x14ac:dyDescent="0.35">
      <c r="I1431" s="15"/>
      <c r="J1431" s="15"/>
      <c r="K1431" s="15"/>
      <c r="L1431"/>
      <c r="M1431"/>
      <c r="N1431"/>
    </row>
    <row r="1432" spans="9:14" x14ac:dyDescent="0.35">
      <c r="I1432" s="15"/>
      <c r="J1432" s="15"/>
      <c r="K1432" s="15"/>
      <c r="L1432"/>
      <c r="M1432"/>
      <c r="N1432"/>
    </row>
    <row r="1433" spans="9:14" x14ac:dyDescent="0.35">
      <c r="I1433" s="15"/>
      <c r="J1433" s="15"/>
      <c r="K1433" s="15"/>
      <c r="L1433"/>
      <c r="M1433"/>
      <c r="N1433"/>
    </row>
    <row r="1434" spans="9:14" x14ac:dyDescent="0.35">
      <c r="I1434" s="15"/>
      <c r="J1434" s="15"/>
      <c r="K1434" s="15"/>
      <c r="L1434"/>
      <c r="M1434"/>
      <c r="N1434"/>
    </row>
    <row r="1435" spans="9:14" x14ac:dyDescent="0.35">
      <c r="I1435" s="15"/>
      <c r="J1435" s="15"/>
      <c r="K1435" s="15"/>
      <c r="L1435"/>
      <c r="M1435"/>
      <c r="N1435"/>
    </row>
    <row r="1436" spans="9:14" x14ac:dyDescent="0.35">
      <c r="I1436" s="15"/>
      <c r="J1436" s="15"/>
      <c r="K1436" s="15"/>
      <c r="L1436"/>
      <c r="M1436"/>
      <c r="N1436"/>
    </row>
    <row r="1437" spans="9:14" x14ac:dyDescent="0.35">
      <c r="I1437" s="15"/>
      <c r="J1437" s="15"/>
      <c r="K1437" s="15"/>
      <c r="L1437"/>
      <c r="M1437"/>
      <c r="N1437"/>
    </row>
    <row r="1438" spans="9:14" x14ac:dyDescent="0.35">
      <c r="I1438" s="15"/>
      <c r="J1438" s="15"/>
      <c r="K1438" s="15"/>
      <c r="L1438"/>
      <c r="M1438"/>
      <c r="N1438"/>
    </row>
    <row r="1439" spans="9:14" x14ac:dyDescent="0.35">
      <c r="I1439" s="15"/>
      <c r="J1439" s="15"/>
      <c r="K1439" s="15"/>
      <c r="L1439"/>
      <c r="M1439"/>
      <c r="N1439"/>
    </row>
    <row r="1440" spans="9:14" x14ac:dyDescent="0.35">
      <c r="I1440" s="15"/>
      <c r="J1440" s="15"/>
      <c r="K1440" s="15"/>
      <c r="L1440"/>
      <c r="M1440"/>
      <c r="N1440"/>
    </row>
    <row r="1441" spans="9:14" x14ac:dyDescent="0.35">
      <c r="I1441" s="15"/>
      <c r="J1441" s="15"/>
      <c r="K1441" s="15"/>
      <c r="L1441"/>
      <c r="M1441"/>
      <c r="N1441"/>
    </row>
    <row r="1442" spans="9:14" x14ac:dyDescent="0.35">
      <c r="I1442" s="15"/>
      <c r="J1442" s="15"/>
      <c r="K1442" s="15"/>
      <c r="L1442"/>
      <c r="M1442"/>
      <c r="N1442"/>
    </row>
    <row r="1443" spans="9:14" x14ac:dyDescent="0.35">
      <c r="I1443" s="15"/>
      <c r="J1443" s="15"/>
      <c r="K1443" s="15"/>
      <c r="L1443"/>
      <c r="M1443"/>
      <c r="N1443"/>
    </row>
    <row r="1444" spans="9:14" x14ac:dyDescent="0.35">
      <c r="I1444" s="15"/>
      <c r="J1444" s="15"/>
      <c r="K1444" s="15"/>
      <c r="L1444"/>
      <c r="M1444"/>
      <c r="N1444"/>
    </row>
    <row r="1445" spans="9:14" x14ac:dyDescent="0.35">
      <c r="I1445" s="15"/>
      <c r="J1445" s="15"/>
      <c r="K1445" s="15"/>
      <c r="L1445"/>
      <c r="M1445"/>
      <c r="N1445"/>
    </row>
    <row r="1446" spans="9:14" x14ac:dyDescent="0.35">
      <c r="I1446" s="15"/>
      <c r="J1446" s="15"/>
      <c r="K1446" s="15"/>
      <c r="L1446"/>
      <c r="M1446"/>
      <c r="N1446"/>
    </row>
    <row r="1447" spans="9:14" x14ac:dyDescent="0.35">
      <c r="I1447" s="15"/>
      <c r="J1447" s="15"/>
      <c r="K1447" s="15"/>
      <c r="L1447"/>
      <c r="M1447"/>
      <c r="N1447"/>
    </row>
    <row r="1448" spans="9:14" x14ac:dyDescent="0.35">
      <c r="I1448" s="15"/>
      <c r="J1448" s="15"/>
      <c r="K1448" s="15"/>
      <c r="L1448"/>
      <c r="M1448"/>
      <c r="N1448"/>
    </row>
    <row r="1449" spans="9:14" x14ac:dyDescent="0.35">
      <c r="I1449" s="15"/>
      <c r="J1449" s="15"/>
      <c r="K1449" s="15"/>
      <c r="L1449"/>
      <c r="M1449"/>
      <c r="N1449"/>
    </row>
    <row r="1450" spans="9:14" x14ac:dyDescent="0.35">
      <c r="I1450" s="15"/>
      <c r="J1450" s="15"/>
      <c r="K1450" s="15"/>
      <c r="L1450"/>
      <c r="M1450"/>
      <c r="N1450"/>
    </row>
    <row r="1451" spans="9:14" x14ac:dyDescent="0.35">
      <c r="I1451" s="15"/>
      <c r="J1451" s="15"/>
      <c r="K1451" s="15"/>
      <c r="L1451"/>
      <c r="M1451"/>
      <c r="N1451"/>
    </row>
    <row r="1452" spans="9:14" x14ac:dyDescent="0.35">
      <c r="I1452" s="15"/>
      <c r="J1452" s="15"/>
      <c r="K1452" s="15"/>
      <c r="L1452"/>
      <c r="M1452"/>
      <c r="N1452"/>
    </row>
    <row r="1453" spans="9:14" x14ac:dyDescent="0.35">
      <c r="I1453" s="15"/>
      <c r="J1453" s="15"/>
      <c r="K1453" s="15"/>
      <c r="L1453"/>
      <c r="M1453"/>
      <c r="N1453"/>
    </row>
    <row r="1454" spans="9:14" x14ac:dyDescent="0.35">
      <c r="I1454" s="15"/>
      <c r="J1454" s="15"/>
      <c r="K1454" s="15"/>
      <c r="L1454"/>
      <c r="M1454"/>
      <c r="N1454"/>
    </row>
    <row r="1455" spans="9:14" x14ac:dyDescent="0.35">
      <c r="I1455" s="15"/>
      <c r="J1455" s="15"/>
      <c r="K1455" s="15"/>
      <c r="L1455"/>
      <c r="M1455"/>
      <c r="N1455"/>
    </row>
    <row r="1456" spans="9:14" x14ac:dyDescent="0.35">
      <c r="I1456" s="15"/>
      <c r="J1456" s="15"/>
      <c r="K1456" s="15"/>
      <c r="L1456"/>
      <c r="M1456"/>
      <c r="N1456"/>
    </row>
    <row r="1457" spans="9:14" x14ac:dyDescent="0.35">
      <c r="I1457" s="15"/>
      <c r="J1457" s="15"/>
      <c r="K1457" s="15"/>
      <c r="L1457"/>
      <c r="M1457"/>
      <c r="N1457"/>
    </row>
    <row r="1458" spans="9:14" x14ac:dyDescent="0.35">
      <c r="I1458" s="15"/>
      <c r="J1458" s="15"/>
      <c r="K1458" s="15"/>
      <c r="L1458"/>
      <c r="M1458"/>
      <c r="N1458"/>
    </row>
    <row r="1459" spans="9:14" x14ac:dyDescent="0.35">
      <c r="I1459" s="15"/>
      <c r="J1459" s="15"/>
      <c r="K1459" s="15"/>
      <c r="L1459"/>
      <c r="M1459"/>
      <c r="N1459"/>
    </row>
    <row r="1460" spans="9:14" x14ac:dyDescent="0.35">
      <c r="I1460" s="15"/>
      <c r="J1460" s="15"/>
      <c r="K1460" s="15"/>
      <c r="L1460"/>
      <c r="M1460"/>
      <c r="N1460"/>
    </row>
    <row r="1461" spans="9:14" x14ac:dyDescent="0.35">
      <c r="I1461" s="15"/>
      <c r="J1461" s="15"/>
      <c r="K1461" s="15"/>
      <c r="L1461"/>
      <c r="M1461"/>
      <c r="N1461"/>
    </row>
    <row r="1462" spans="9:14" x14ac:dyDescent="0.35">
      <c r="I1462" s="15"/>
      <c r="J1462" s="15"/>
      <c r="K1462" s="15"/>
      <c r="L1462"/>
      <c r="M1462"/>
      <c r="N1462"/>
    </row>
    <row r="1463" spans="9:14" x14ac:dyDescent="0.35">
      <c r="I1463" s="15"/>
      <c r="J1463" s="15"/>
      <c r="K1463" s="15"/>
      <c r="L1463"/>
      <c r="M1463"/>
      <c r="N1463"/>
    </row>
    <row r="1464" spans="9:14" x14ac:dyDescent="0.35">
      <c r="I1464" s="15"/>
      <c r="J1464" s="15"/>
      <c r="K1464" s="15"/>
      <c r="L1464"/>
      <c r="M1464"/>
      <c r="N1464"/>
    </row>
    <row r="1465" spans="9:14" x14ac:dyDescent="0.35">
      <c r="I1465" s="15"/>
      <c r="J1465" s="15"/>
      <c r="K1465" s="15"/>
      <c r="L1465"/>
      <c r="M1465"/>
      <c r="N1465"/>
    </row>
    <row r="1466" spans="9:14" x14ac:dyDescent="0.35">
      <c r="I1466" s="15"/>
      <c r="J1466" s="15"/>
      <c r="K1466" s="15"/>
      <c r="L1466"/>
      <c r="M1466"/>
      <c r="N1466"/>
    </row>
    <row r="1467" spans="9:14" x14ac:dyDescent="0.35">
      <c r="I1467" s="15"/>
      <c r="J1467" s="15"/>
      <c r="K1467" s="15"/>
      <c r="L1467"/>
      <c r="M1467"/>
      <c r="N1467"/>
    </row>
    <row r="1468" spans="9:14" x14ac:dyDescent="0.35">
      <c r="I1468" s="15"/>
      <c r="J1468" s="15"/>
      <c r="K1468" s="15"/>
      <c r="L1468"/>
      <c r="M1468"/>
      <c r="N1468"/>
    </row>
    <row r="1469" spans="9:14" x14ac:dyDescent="0.35">
      <c r="I1469" s="15"/>
      <c r="J1469" s="15"/>
      <c r="K1469" s="15"/>
      <c r="L1469"/>
      <c r="M1469"/>
      <c r="N1469"/>
    </row>
    <row r="1470" spans="9:14" x14ac:dyDescent="0.35">
      <c r="I1470" s="15"/>
      <c r="J1470" s="15"/>
      <c r="K1470" s="15"/>
      <c r="L1470"/>
      <c r="M1470"/>
      <c r="N1470"/>
    </row>
    <row r="1471" spans="9:14" x14ac:dyDescent="0.35">
      <c r="I1471" s="15"/>
      <c r="J1471" s="15"/>
      <c r="K1471" s="15"/>
      <c r="L1471"/>
      <c r="M1471"/>
      <c r="N1471"/>
    </row>
    <row r="1472" spans="9:14" x14ac:dyDescent="0.35">
      <c r="I1472" s="15"/>
      <c r="J1472" s="15"/>
      <c r="K1472" s="15"/>
      <c r="L1472"/>
      <c r="M1472"/>
      <c r="N1472"/>
    </row>
    <row r="1473" spans="9:14" x14ac:dyDescent="0.35">
      <c r="I1473" s="15"/>
      <c r="J1473" s="15"/>
      <c r="K1473" s="15"/>
      <c r="L1473"/>
      <c r="M1473"/>
      <c r="N1473"/>
    </row>
    <row r="1474" spans="9:14" x14ac:dyDescent="0.35">
      <c r="I1474" s="15"/>
      <c r="J1474" s="15"/>
      <c r="K1474" s="15"/>
      <c r="L1474"/>
      <c r="M1474"/>
      <c r="N1474"/>
    </row>
    <row r="1475" spans="9:14" x14ac:dyDescent="0.35">
      <c r="I1475" s="15"/>
      <c r="J1475" s="15"/>
      <c r="K1475" s="15"/>
      <c r="L1475"/>
      <c r="M1475"/>
      <c r="N1475"/>
    </row>
    <row r="1476" spans="9:14" x14ac:dyDescent="0.35">
      <c r="I1476" s="15"/>
      <c r="J1476" s="15"/>
      <c r="K1476" s="15"/>
      <c r="L1476"/>
      <c r="M1476"/>
      <c r="N1476"/>
    </row>
    <row r="1477" spans="9:14" x14ac:dyDescent="0.35">
      <c r="I1477" s="15"/>
      <c r="J1477" s="15"/>
      <c r="K1477" s="15"/>
      <c r="L1477"/>
      <c r="M1477"/>
      <c r="N1477"/>
    </row>
    <row r="1478" spans="9:14" x14ac:dyDescent="0.35">
      <c r="I1478" s="15"/>
      <c r="J1478" s="15"/>
      <c r="K1478" s="15"/>
      <c r="L1478"/>
      <c r="M1478"/>
      <c r="N1478"/>
    </row>
    <row r="1479" spans="9:14" x14ac:dyDescent="0.35">
      <c r="I1479" s="15"/>
      <c r="J1479" s="15"/>
      <c r="K1479" s="15"/>
      <c r="L1479"/>
      <c r="M1479"/>
      <c r="N1479"/>
    </row>
    <row r="1480" spans="9:14" x14ac:dyDescent="0.35">
      <c r="I1480" s="15"/>
      <c r="J1480" s="15"/>
      <c r="K1480" s="15"/>
      <c r="L1480"/>
      <c r="M1480"/>
      <c r="N1480"/>
    </row>
    <row r="1481" spans="9:14" x14ac:dyDescent="0.35">
      <c r="I1481" s="15"/>
      <c r="J1481" s="15"/>
      <c r="K1481" s="15"/>
      <c r="L1481"/>
      <c r="M1481"/>
      <c r="N1481"/>
    </row>
    <row r="1482" spans="9:14" x14ac:dyDescent="0.35">
      <c r="I1482" s="15"/>
      <c r="J1482" s="15"/>
      <c r="K1482" s="15"/>
      <c r="L1482"/>
      <c r="M1482"/>
      <c r="N1482"/>
    </row>
    <row r="1483" spans="9:14" x14ac:dyDescent="0.35">
      <c r="I1483" s="15"/>
      <c r="J1483" s="15"/>
      <c r="K1483" s="15"/>
      <c r="L1483"/>
      <c r="M1483"/>
      <c r="N1483"/>
    </row>
    <row r="1484" spans="9:14" x14ac:dyDescent="0.35">
      <c r="I1484" s="15"/>
      <c r="J1484" s="15"/>
      <c r="K1484" s="15"/>
      <c r="L1484"/>
      <c r="M1484"/>
      <c r="N1484"/>
    </row>
    <row r="1485" spans="9:14" x14ac:dyDescent="0.35">
      <c r="I1485" s="15"/>
      <c r="J1485" s="15"/>
      <c r="K1485" s="15"/>
      <c r="L1485"/>
      <c r="M1485"/>
      <c r="N1485"/>
    </row>
    <row r="1486" spans="9:14" x14ac:dyDescent="0.35">
      <c r="I1486" s="15"/>
      <c r="J1486" s="15"/>
      <c r="K1486" s="15"/>
      <c r="L1486"/>
      <c r="M1486"/>
      <c r="N1486"/>
    </row>
    <row r="1487" spans="9:14" x14ac:dyDescent="0.35">
      <c r="I1487" s="15"/>
      <c r="J1487" s="15"/>
      <c r="K1487" s="15"/>
      <c r="L1487"/>
      <c r="M1487"/>
      <c r="N1487"/>
    </row>
    <row r="1488" spans="9:14" x14ac:dyDescent="0.35">
      <c r="I1488" s="15"/>
      <c r="J1488" s="15"/>
      <c r="K1488" s="15"/>
      <c r="L1488"/>
      <c r="M1488"/>
      <c r="N1488"/>
    </row>
    <row r="1489" spans="9:14" x14ac:dyDescent="0.35">
      <c r="I1489" s="15"/>
      <c r="J1489" s="15"/>
      <c r="K1489" s="15"/>
      <c r="L1489"/>
      <c r="M1489"/>
      <c r="N1489"/>
    </row>
    <row r="1490" spans="9:14" x14ac:dyDescent="0.35">
      <c r="I1490" s="15"/>
      <c r="J1490" s="15"/>
      <c r="K1490" s="15"/>
      <c r="L1490"/>
      <c r="M1490"/>
      <c r="N1490"/>
    </row>
    <row r="1491" spans="9:14" x14ac:dyDescent="0.35">
      <c r="I1491" s="15"/>
      <c r="J1491" s="15"/>
      <c r="K1491" s="15"/>
      <c r="L1491"/>
      <c r="M1491"/>
      <c r="N1491"/>
    </row>
    <row r="1492" spans="9:14" x14ac:dyDescent="0.35">
      <c r="I1492" s="15"/>
      <c r="J1492" s="15"/>
      <c r="K1492" s="15"/>
      <c r="L1492"/>
      <c r="M1492"/>
      <c r="N1492"/>
    </row>
    <row r="1493" spans="9:14" x14ac:dyDescent="0.35">
      <c r="I1493" s="15"/>
      <c r="J1493" s="15"/>
      <c r="K1493" s="15"/>
      <c r="L1493"/>
      <c r="M1493"/>
      <c r="N1493"/>
    </row>
    <row r="1494" spans="9:14" x14ac:dyDescent="0.35">
      <c r="I1494" s="15"/>
      <c r="J1494" s="15"/>
      <c r="K1494" s="15"/>
      <c r="L1494"/>
      <c r="M1494"/>
      <c r="N1494"/>
    </row>
    <row r="1495" spans="9:14" x14ac:dyDescent="0.35">
      <c r="I1495" s="15"/>
      <c r="J1495" s="15"/>
      <c r="K1495" s="15"/>
      <c r="L1495"/>
      <c r="M1495"/>
      <c r="N1495"/>
    </row>
    <row r="1496" spans="9:14" x14ac:dyDescent="0.35">
      <c r="I1496" s="15"/>
      <c r="J1496" s="15"/>
      <c r="K1496" s="15"/>
      <c r="L1496"/>
      <c r="M1496"/>
      <c r="N1496"/>
    </row>
    <row r="1497" spans="9:14" x14ac:dyDescent="0.35">
      <c r="I1497" s="15"/>
      <c r="J1497" s="15"/>
      <c r="K1497" s="15"/>
      <c r="L1497"/>
      <c r="M1497"/>
      <c r="N1497"/>
    </row>
    <row r="1498" spans="9:14" x14ac:dyDescent="0.35">
      <c r="I1498" s="15"/>
      <c r="J1498" s="15"/>
      <c r="K1498" s="15"/>
      <c r="L1498"/>
      <c r="M1498"/>
      <c r="N1498"/>
    </row>
    <row r="1499" spans="9:14" x14ac:dyDescent="0.35">
      <c r="I1499" s="15"/>
      <c r="J1499" s="15"/>
      <c r="K1499" s="15"/>
      <c r="L1499"/>
      <c r="M1499"/>
      <c r="N1499"/>
    </row>
    <row r="1500" spans="9:14" x14ac:dyDescent="0.35">
      <c r="I1500" s="15"/>
      <c r="J1500" s="15"/>
      <c r="K1500" s="15"/>
      <c r="L1500"/>
      <c r="M1500"/>
      <c r="N1500"/>
    </row>
    <row r="1501" spans="9:14" x14ac:dyDescent="0.35">
      <c r="I1501" s="15"/>
      <c r="J1501" s="15"/>
      <c r="K1501" s="15"/>
      <c r="L1501"/>
      <c r="M1501"/>
      <c r="N1501"/>
    </row>
    <row r="1502" spans="9:14" x14ac:dyDescent="0.35">
      <c r="I1502" s="15"/>
      <c r="J1502" s="15"/>
      <c r="K1502" s="15"/>
      <c r="L1502"/>
      <c r="M1502"/>
      <c r="N1502"/>
    </row>
    <row r="1503" spans="9:14" x14ac:dyDescent="0.35">
      <c r="I1503" s="15"/>
      <c r="J1503" s="15"/>
      <c r="K1503" s="15"/>
      <c r="L1503"/>
      <c r="M1503"/>
      <c r="N1503"/>
    </row>
    <row r="1504" spans="9:14" x14ac:dyDescent="0.35">
      <c r="I1504" s="15"/>
      <c r="J1504" s="15"/>
      <c r="K1504" s="15"/>
      <c r="L1504"/>
      <c r="M1504"/>
      <c r="N1504"/>
    </row>
    <row r="1505" spans="9:14" x14ac:dyDescent="0.35">
      <c r="I1505" s="15"/>
      <c r="J1505" s="15"/>
      <c r="K1505" s="15"/>
      <c r="L1505"/>
      <c r="M1505"/>
      <c r="N1505"/>
    </row>
    <row r="1506" spans="9:14" x14ac:dyDescent="0.35">
      <c r="I1506" s="15"/>
      <c r="J1506" s="15"/>
      <c r="K1506" s="15"/>
      <c r="L1506"/>
      <c r="M1506"/>
      <c r="N1506"/>
    </row>
    <row r="1507" spans="9:14" x14ac:dyDescent="0.35">
      <c r="I1507" s="15"/>
      <c r="J1507" s="15"/>
      <c r="K1507" s="15"/>
      <c r="L1507"/>
      <c r="M1507"/>
      <c r="N1507"/>
    </row>
    <row r="1508" spans="9:14" x14ac:dyDescent="0.35">
      <c r="I1508" s="15"/>
      <c r="J1508" s="15"/>
      <c r="K1508" s="15"/>
      <c r="L1508"/>
      <c r="M1508"/>
      <c r="N1508"/>
    </row>
    <row r="1509" spans="9:14" x14ac:dyDescent="0.35">
      <c r="I1509" s="15"/>
      <c r="J1509" s="15"/>
      <c r="K1509" s="15"/>
      <c r="L1509"/>
      <c r="M1509"/>
      <c r="N1509"/>
    </row>
    <row r="1510" spans="9:14" x14ac:dyDescent="0.35">
      <c r="I1510" s="15"/>
      <c r="J1510" s="15"/>
      <c r="K1510" s="15"/>
      <c r="L1510"/>
      <c r="M1510"/>
      <c r="N1510"/>
    </row>
    <row r="1511" spans="9:14" x14ac:dyDescent="0.35">
      <c r="I1511" s="15"/>
      <c r="J1511" s="15"/>
      <c r="K1511" s="15"/>
      <c r="L1511"/>
      <c r="M1511"/>
      <c r="N1511"/>
    </row>
    <row r="1512" spans="9:14" x14ac:dyDescent="0.35">
      <c r="I1512" s="15"/>
      <c r="J1512" s="15"/>
      <c r="K1512" s="15"/>
      <c r="L1512"/>
      <c r="M1512"/>
      <c r="N1512"/>
    </row>
    <row r="1513" spans="9:14" x14ac:dyDescent="0.35">
      <c r="I1513" s="15"/>
      <c r="J1513" s="15"/>
      <c r="K1513" s="15"/>
      <c r="L1513"/>
      <c r="M1513"/>
      <c r="N1513"/>
    </row>
    <row r="1514" spans="9:14" x14ac:dyDescent="0.35">
      <c r="I1514" s="15"/>
      <c r="J1514" s="15"/>
      <c r="K1514" s="15"/>
      <c r="L1514"/>
      <c r="M1514"/>
      <c r="N1514"/>
    </row>
    <row r="1515" spans="9:14" x14ac:dyDescent="0.35">
      <c r="I1515" s="15"/>
      <c r="J1515" s="15"/>
      <c r="K1515" s="15"/>
      <c r="L1515"/>
      <c r="M1515"/>
      <c r="N1515"/>
    </row>
    <row r="1516" spans="9:14" x14ac:dyDescent="0.35">
      <c r="I1516" s="15"/>
      <c r="J1516" s="15"/>
      <c r="K1516" s="15"/>
      <c r="L1516"/>
      <c r="M1516"/>
      <c r="N1516"/>
    </row>
    <row r="1517" spans="9:14" x14ac:dyDescent="0.35">
      <c r="I1517" s="15"/>
      <c r="J1517" s="15"/>
      <c r="K1517" s="15"/>
      <c r="L1517"/>
      <c r="M1517"/>
      <c r="N1517"/>
    </row>
    <row r="1518" spans="9:14" x14ac:dyDescent="0.35">
      <c r="I1518" s="15"/>
      <c r="J1518" s="15"/>
      <c r="K1518" s="15"/>
      <c r="L1518"/>
      <c r="M1518"/>
      <c r="N1518"/>
    </row>
    <row r="1519" spans="9:14" x14ac:dyDescent="0.35">
      <c r="I1519" s="15"/>
      <c r="J1519" s="15"/>
      <c r="K1519" s="15"/>
      <c r="L1519"/>
      <c r="M1519"/>
      <c r="N1519"/>
    </row>
    <row r="1520" spans="9:14" x14ac:dyDescent="0.35">
      <c r="I1520" s="15"/>
      <c r="J1520" s="15"/>
      <c r="K1520" s="15"/>
      <c r="L1520"/>
      <c r="M1520"/>
      <c r="N1520"/>
    </row>
    <row r="1521" spans="9:14" x14ac:dyDescent="0.35">
      <c r="I1521" s="15"/>
      <c r="J1521" s="15"/>
      <c r="K1521" s="15"/>
      <c r="L1521"/>
      <c r="M1521"/>
      <c r="N1521"/>
    </row>
    <row r="1522" spans="9:14" x14ac:dyDescent="0.35">
      <c r="I1522" s="15"/>
      <c r="J1522" s="15"/>
      <c r="K1522" s="15"/>
      <c r="L1522"/>
      <c r="M1522"/>
      <c r="N1522"/>
    </row>
    <row r="1523" spans="9:14" x14ac:dyDescent="0.35">
      <c r="I1523" s="15"/>
      <c r="J1523" s="15"/>
      <c r="K1523" s="15"/>
      <c r="L1523"/>
      <c r="M1523"/>
      <c r="N1523"/>
    </row>
    <row r="1524" spans="9:14" x14ac:dyDescent="0.35">
      <c r="I1524" s="15"/>
      <c r="J1524" s="15"/>
      <c r="K1524" s="15"/>
      <c r="L1524"/>
      <c r="M1524"/>
      <c r="N1524"/>
    </row>
    <row r="1525" spans="9:14" x14ac:dyDescent="0.35">
      <c r="I1525" s="15"/>
      <c r="J1525" s="15"/>
      <c r="K1525" s="15"/>
      <c r="L1525"/>
      <c r="M1525"/>
      <c r="N1525"/>
    </row>
    <row r="1526" spans="9:14" x14ac:dyDescent="0.35">
      <c r="I1526" s="15"/>
      <c r="J1526" s="15"/>
      <c r="K1526" s="15"/>
      <c r="L1526"/>
      <c r="M1526"/>
      <c r="N1526"/>
    </row>
    <row r="1527" spans="9:14" x14ac:dyDescent="0.35">
      <c r="I1527" s="15"/>
      <c r="J1527" s="15"/>
      <c r="K1527" s="15"/>
      <c r="L1527"/>
      <c r="M1527"/>
      <c r="N1527"/>
    </row>
    <row r="1528" spans="9:14" x14ac:dyDescent="0.35">
      <c r="I1528" s="15"/>
      <c r="J1528" s="15"/>
      <c r="K1528" s="15"/>
      <c r="L1528"/>
      <c r="M1528"/>
      <c r="N1528"/>
    </row>
    <row r="1529" spans="9:14" x14ac:dyDescent="0.35">
      <c r="I1529" s="15"/>
      <c r="J1529" s="15"/>
      <c r="K1529" s="15"/>
      <c r="L1529"/>
      <c r="M1529"/>
      <c r="N1529"/>
    </row>
    <row r="1530" spans="9:14" x14ac:dyDescent="0.35">
      <c r="I1530" s="15"/>
      <c r="J1530" s="15"/>
      <c r="K1530" s="15"/>
      <c r="L1530"/>
      <c r="M1530"/>
      <c r="N1530"/>
    </row>
    <row r="1531" spans="9:14" x14ac:dyDescent="0.35">
      <c r="I1531" s="15"/>
      <c r="J1531" s="15"/>
      <c r="K1531" s="15"/>
      <c r="L1531"/>
      <c r="M1531"/>
      <c r="N1531"/>
    </row>
    <row r="1532" spans="9:14" x14ac:dyDescent="0.35">
      <c r="I1532" s="15"/>
      <c r="J1532" s="15"/>
      <c r="K1532" s="15"/>
      <c r="L1532"/>
      <c r="M1532"/>
      <c r="N1532"/>
    </row>
    <row r="1533" spans="9:14" x14ac:dyDescent="0.35">
      <c r="I1533" s="15"/>
      <c r="J1533" s="15"/>
      <c r="K1533" s="15"/>
      <c r="L1533"/>
      <c r="M1533"/>
      <c r="N1533"/>
    </row>
    <row r="1534" spans="9:14" x14ac:dyDescent="0.35">
      <c r="I1534" s="15"/>
      <c r="J1534" s="15"/>
      <c r="K1534" s="15"/>
      <c r="L1534"/>
      <c r="M1534"/>
      <c r="N1534"/>
    </row>
    <row r="1535" spans="9:14" x14ac:dyDescent="0.35">
      <c r="I1535" s="15"/>
      <c r="J1535" s="15"/>
      <c r="K1535" s="15"/>
      <c r="L1535"/>
      <c r="M1535"/>
      <c r="N1535"/>
    </row>
    <row r="1536" spans="9:14" x14ac:dyDescent="0.35">
      <c r="I1536" s="15"/>
      <c r="J1536" s="15"/>
      <c r="K1536" s="15"/>
      <c r="L1536"/>
      <c r="M1536"/>
      <c r="N1536"/>
    </row>
    <row r="1537" spans="9:14" x14ac:dyDescent="0.35">
      <c r="I1537" s="15"/>
      <c r="J1537" s="15"/>
      <c r="K1537" s="15"/>
      <c r="L1537"/>
      <c r="M1537"/>
      <c r="N1537"/>
    </row>
    <row r="1538" spans="9:14" x14ac:dyDescent="0.35">
      <c r="I1538" s="15"/>
      <c r="J1538" s="15"/>
      <c r="K1538" s="15"/>
      <c r="L1538"/>
      <c r="M1538"/>
      <c r="N1538"/>
    </row>
    <row r="1539" spans="9:14" x14ac:dyDescent="0.35">
      <c r="I1539" s="15"/>
      <c r="J1539" s="15"/>
      <c r="K1539" s="15"/>
      <c r="L1539"/>
      <c r="M1539"/>
      <c r="N1539"/>
    </row>
    <row r="1540" spans="9:14" x14ac:dyDescent="0.35">
      <c r="I1540" s="15"/>
      <c r="J1540" s="15"/>
      <c r="K1540" s="15"/>
      <c r="L1540"/>
      <c r="M1540"/>
      <c r="N1540"/>
    </row>
    <row r="1541" spans="9:14" x14ac:dyDescent="0.35">
      <c r="I1541" s="15"/>
      <c r="J1541" s="15"/>
      <c r="K1541" s="15"/>
      <c r="L1541"/>
      <c r="M1541"/>
      <c r="N1541"/>
    </row>
    <row r="1542" spans="9:14" x14ac:dyDescent="0.35">
      <c r="I1542" s="15"/>
      <c r="J1542" s="15"/>
      <c r="K1542" s="15"/>
      <c r="L1542"/>
      <c r="M1542"/>
      <c r="N1542"/>
    </row>
    <row r="1543" spans="9:14" x14ac:dyDescent="0.35">
      <c r="I1543" s="15"/>
      <c r="J1543" s="15"/>
      <c r="K1543" s="15"/>
      <c r="L1543"/>
      <c r="M1543"/>
      <c r="N1543"/>
    </row>
    <row r="1544" spans="9:14" x14ac:dyDescent="0.35">
      <c r="I1544" s="15"/>
      <c r="J1544" s="15"/>
      <c r="K1544" s="15"/>
      <c r="L1544"/>
      <c r="M1544"/>
      <c r="N1544"/>
    </row>
    <row r="1545" spans="9:14" x14ac:dyDescent="0.35">
      <c r="I1545" s="15"/>
      <c r="J1545" s="15"/>
      <c r="K1545" s="15"/>
      <c r="L1545"/>
      <c r="M1545"/>
      <c r="N1545"/>
    </row>
    <row r="1546" spans="9:14" x14ac:dyDescent="0.35">
      <c r="I1546" s="15"/>
      <c r="J1546" s="15"/>
      <c r="K1546" s="15"/>
      <c r="L1546"/>
      <c r="M1546"/>
      <c r="N1546"/>
    </row>
    <row r="1547" spans="9:14" x14ac:dyDescent="0.35">
      <c r="I1547" s="15"/>
      <c r="J1547" s="15"/>
      <c r="K1547" s="15"/>
      <c r="L1547"/>
      <c r="M1547"/>
      <c r="N1547"/>
    </row>
    <row r="1548" spans="9:14" x14ac:dyDescent="0.35">
      <c r="I1548" s="15"/>
      <c r="J1548" s="15"/>
      <c r="K1548" s="15"/>
      <c r="L1548"/>
      <c r="M1548"/>
      <c r="N1548"/>
    </row>
    <row r="1549" spans="9:14" x14ac:dyDescent="0.35">
      <c r="I1549" s="15"/>
      <c r="J1549" s="15"/>
      <c r="K1549" s="15"/>
      <c r="L1549"/>
      <c r="M1549"/>
      <c r="N1549"/>
    </row>
    <row r="1550" spans="9:14" x14ac:dyDescent="0.35">
      <c r="I1550" s="15"/>
      <c r="J1550" s="15"/>
      <c r="K1550" s="15"/>
      <c r="L1550"/>
      <c r="M1550"/>
      <c r="N1550"/>
    </row>
    <row r="1551" spans="9:14" x14ac:dyDescent="0.35">
      <c r="I1551" s="15"/>
      <c r="J1551" s="15"/>
      <c r="K1551" s="15"/>
      <c r="L1551"/>
      <c r="M1551"/>
      <c r="N1551"/>
    </row>
    <row r="1552" spans="9:14" x14ac:dyDescent="0.35">
      <c r="I1552" s="15"/>
      <c r="J1552" s="15"/>
      <c r="K1552" s="15"/>
      <c r="L1552"/>
      <c r="M1552"/>
      <c r="N1552"/>
    </row>
    <row r="1553" spans="9:14" x14ac:dyDescent="0.35">
      <c r="I1553" s="15"/>
      <c r="J1553" s="15"/>
      <c r="K1553" s="15"/>
      <c r="L1553"/>
      <c r="M1553"/>
      <c r="N1553"/>
    </row>
    <row r="1554" spans="9:14" x14ac:dyDescent="0.35">
      <c r="I1554" s="15"/>
      <c r="J1554" s="15"/>
      <c r="K1554" s="15"/>
      <c r="L1554"/>
      <c r="M1554"/>
      <c r="N1554"/>
    </row>
    <row r="1555" spans="9:14" x14ac:dyDescent="0.35">
      <c r="I1555" s="15"/>
      <c r="J1555" s="15"/>
      <c r="K1555" s="15"/>
      <c r="L1555"/>
      <c r="M1555"/>
      <c r="N1555"/>
    </row>
    <row r="1556" spans="9:14" x14ac:dyDescent="0.35">
      <c r="I1556" s="15"/>
      <c r="J1556" s="15"/>
      <c r="K1556" s="15"/>
      <c r="L1556"/>
      <c r="M1556"/>
      <c r="N1556"/>
    </row>
    <row r="1557" spans="9:14" x14ac:dyDescent="0.35">
      <c r="I1557" s="15"/>
      <c r="J1557" s="15"/>
      <c r="K1557" s="15"/>
      <c r="L1557"/>
      <c r="M1557"/>
      <c r="N1557"/>
    </row>
    <row r="1558" spans="9:14" x14ac:dyDescent="0.35">
      <c r="I1558" s="15"/>
      <c r="J1558" s="15"/>
      <c r="K1558" s="15"/>
      <c r="L1558"/>
      <c r="M1558"/>
      <c r="N1558"/>
    </row>
    <row r="1559" spans="9:14" x14ac:dyDescent="0.35">
      <c r="I1559" s="15"/>
      <c r="J1559" s="15"/>
      <c r="K1559" s="15"/>
      <c r="L1559"/>
      <c r="M1559"/>
      <c r="N1559"/>
    </row>
    <row r="1560" spans="9:14" x14ac:dyDescent="0.35">
      <c r="I1560" s="15"/>
      <c r="J1560" s="15"/>
      <c r="K1560" s="15"/>
      <c r="L1560"/>
      <c r="M1560"/>
      <c r="N1560"/>
    </row>
    <row r="1561" spans="9:14" x14ac:dyDescent="0.35">
      <c r="I1561" s="15"/>
      <c r="J1561" s="15"/>
      <c r="K1561" s="15"/>
      <c r="L1561"/>
      <c r="M1561"/>
      <c r="N1561"/>
    </row>
    <row r="1562" spans="9:14" x14ac:dyDescent="0.35">
      <c r="I1562" s="15"/>
      <c r="J1562" s="15"/>
      <c r="K1562" s="15"/>
      <c r="L1562"/>
      <c r="M1562"/>
      <c r="N1562"/>
    </row>
    <row r="1563" spans="9:14" x14ac:dyDescent="0.35">
      <c r="I1563" s="15"/>
      <c r="J1563" s="15"/>
      <c r="K1563" s="15"/>
      <c r="L1563"/>
      <c r="M1563"/>
      <c r="N1563"/>
    </row>
    <row r="1564" spans="9:14" x14ac:dyDescent="0.35">
      <c r="I1564" s="15"/>
      <c r="J1564" s="15"/>
      <c r="K1564" s="15"/>
      <c r="L1564"/>
      <c r="M1564"/>
      <c r="N1564"/>
    </row>
    <row r="1565" spans="9:14" x14ac:dyDescent="0.35">
      <c r="I1565" s="15"/>
      <c r="J1565" s="15"/>
      <c r="K1565" s="15"/>
      <c r="L1565"/>
      <c r="M1565"/>
      <c r="N1565"/>
    </row>
    <row r="1566" spans="9:14" x14ac:dyDescent="0.35">
      <c r="I1566" s="15"/>
      <c r="J1566" s="15"/>
      <c r="K1566" s="15"/>
      <c r="L1566"/>
      <c r="M1566"/>
      <c r="N1566"/>
    </row>
    <row r="1567" spans="9:14" x14ac:dyDescent="0.35">
      <c r="I1567" s="15"/>
      <c r="J1567" s="15"/>
      <c r="K1567" s="15"/>
      <c r="L1567"/>
      <c r="M1567"/>
      <c r="N1567"/>
    </row>
    <row r="1568" spans="9:14" x14ac:dyDescent="0.35">
      <c r="I1568" s="15"/>
      <c r="J1568" s="15"/>
      <c r="K1568" s="15"/>
      <c r="L1568"/>
      <c r="M1568"/>
      <c r="N1568"/>
    </row>
    <row r="1569" spans="9:14" x14ac:dyDescent="0.35">
      <c r="I1569" s="15"/>
      <c r="J1569" s="15"/>
      <c r="K1569" s="15"/>
      <c r="L1569"/>
      <c r="M1569"/>
      <c r="N1569"/>
    </row>
    <row r="1570" spans="9:14" x14ac:dyDescent="0.35">
      <c r="I1570" s="15"/>
      <c r="J1570" s="15"/>
      <c r="K1570" s="15"/>
      <c r="L1570"/>
      <c r="M1570"/>
      <c r="N1570"/>
    </row>
    <row r="1571" spans="9:14" x14ac:dyDescent="0.35">
      <c r="I1571" s="15"/>
      <c r="J1571" s="15"/>
      <c r="K1571" s="15"/>
      <c r="L1571"/>
      <c r="M1571"/>
      <c r="N1571"/>
    </row>
    <row r="1572" spans="9:14" x14ac:dyDescent="0.35">
      <c r="I1572" s="15"/>
      <c r="J1572" s="15"/>
      <c r="K1572" s="15"/>
      <c r="L1572"/>
      <c r="M1572"/>
      <c r="N1572"/>
    </row>
    <row r="1573" spans="9:14" x14ac:dyDescent="0.35">
      <c r="I1573" s="15"/>
      <c r="J1573" s="15"/>
      <c r="K1573" s="15"/>
      <c r="L1573"/>
      <c r="M1573"/>
      <c r="N1573"/>
    </row>
    <row r="1574" spans="9:14" x14ac:dyDescent="0.35">
      <c r="I1574" s="15"/>
      <c r="J1574" s="15"/>
      <c r="K1574" s="15"/>
      <c r="L1574"/>
      <c r="M1574"/>
      <c r="N1574"/>
    </row>
    <row r="1575" spans="9:14" x14ac:dyDescent="0.35">
      <c r="I1575" s="15"/>
      <c r="J1575" s="15"/>
      <c r="K1575" s="15"/>
      <c r="L1575"/>
      <c r="M1575"/>
      <c r="N1575"/>
    </row>
    <row r="1576" spans="9:14" x14ac:dyDescent="0.35">
      <c r="I1576" s="15"/>
      <c r="J1576" s="15"/>
      <c r="K1576" s="15"/>
      <c r="L1576"/>
      <c r="M1576"/>
      <c r="N1576"/>
    </row>
    <row r="1577" spans="9:14" x14ac:dyDescent="0.35">
      <c r="I1577" s="15"/>
      <c r="J1577" s="15"/>
      <c r="K1577" s="15"/>
      <c r="L1577"/>
      <c r="M1577"/>
      <c r="N1577"/>
    </row>
    <row r="1578" spans="9:14" x14ac:dyDescent="0.35">
      <c r="I1578" s="15"/>
      <c r="J1578" s="15"/>
      <c r="K1578" s="15"/>
      <c r="L1578"/>
      <c r="M1578"/>
      <c r="N1578"/>
    </row>
    <row r="1579" spans="9:14" x14ac:dyDescent="0.35">
      <c r="I1579" s="15"/>
      <c r="J1579" s="15"/>
      <c r="K1579" s="15"/>
      <c r="L1579"/>
      <c r="M1579"/>
      <c r="N1579"/>
    </row>
    <row r="1580" spans="9:14" x14ac:dyDescent="0.35">
      <c r="I1580" s="15"/>
      <c r="J1580" s="15"/>
      <c r="K1580" s="15"/>
      <c r="L1580"/>
      <c r="M1580"/>
      <c r="N1580"/>
    </row>
    <row r="1581" spans="9:14" x14ac:dyDescent="0.35">
      <c r="I1581" s="15"/>
      <c r="J1581" s="15"/>
      <c r="K1581" s="15"/>
      <c r="L1581"/>
      <c r="M1581"/>
      <c r="N1581"/>
    </row>
    <row r="1582" spans="9:14" x14ac:dyDescent="0.35">
      <c r="I1582" s="15"/>
      <c r="J1582" s="15"/>
      <c r="K1582" s="15"/>
      <c r="L1582"/>
      <c r="M1582"/>
      <c r="N1582"/>
    </row>
    <row r="1583" spans="9:14" x14ac:dyDescent="0.35">
      <c r="I1583" s="15"/>
      <c r="J1583" s="15"/>
      <c r="K1583" s="15"/>
      <c r="L1583"/>
      <c r="M1583"/>
      <c r="N1583"/>
    </row>
    <row r="1584" spans="9:14" x14ac:dyDescent="0.35">
      <c r="I1584" s="15"/>
      <c r="J1584" s="15"/>
      <c r="K1584" s="15"/>
      <c r="L1584"/>
      <c r="M1584"/>
      <c r="N1584"/>
    </row>
    <row r="1585" spans="9:14" x14ac:dyDescent="0.35">
      <c r="I1585" s="15"/>
      <c r="J1585" s="15"/>
      <c r="K1585" s="15"/>
      <c r="L1585"/>
      <c r="M1585"/>
      <c r="N1585"/>
    </row>
    <row r="1586" spans="9:14" x14ac:dyDescent="0.35">
      <c r="I1586" s="15"/>
      <c r="J1586" s="15"/>
      <c r="K1586" s="15"/>
      <c r="L1586"/>
      <c r="M1586"/>
      <c r="N1586"/>
    </row>
    <row r="1587" spans="9:14" x14ac:dyDescent="0.35">
      <c r="I1587" s="15"/>
      <c r="J1587" s="15"/>
      <c r="K1587" s="15"/>
      <c r="L1587"/>
      <c r="M1587"/>
      <c r="N1587"/>
    </row>
    <row r="1588" spans="9:14" x14ac:dyDescent="0.35">
      <c r="I1588" s="15"/>
      <c r="J1588" s="15"/>
      <c r="K1588" s="15"/>
      <c r="L1588"/>
      <c r="M1588"/>
      <c r="N1588"/>
    </row>
    <row r="1589" spans="9:14" x14ac:dyDescent="0.35">
      <c r="I1589" s="15"/>
      <c r="J1589" s="15"/>
      <c r="K1589" s="15"/>
      <c r="L1589"/>
      <c r="M1589"/>
      <c r="N1589"/>
    </row>
    <row r="1590" spans="9:14" x14ac:dyDescent="0.35">
      <c r="I1590" s="15"/>
      <c r="J1590" s="15"/>
      <c r="K1590" s="15"/>
      <c r="L1590"/>
      <c r="M1590"/>
      <c r="N1590"/>
    </row>
    <row r="1591" spans="9:14" x14ac:dyDescent="0.35">
      <c r="I1591" s="15"/>
      <c r="J1591" s="15"/>
      <c r="K1591" s="15"/>
      <c r="L1591"/>
      <c r="M1591"/>
      <c r="N1591"/>
    </row>
    <row r="1592" spans="9:14" x14ac:dyDescent="0.35">
      <c r="I1592" s="15"/>
      <c r="J1592" s="15"/>
      <c r="K1592" s="15"/>
      <c r="L1592"/>
      <c r="M1592"/>
      <c r="N1592"/>
    </row>
    <row r="1593" spans="9:14" x14ac:dyDescent="0.35">
      <c r="I1593" s="15"/>
      <c r="J1593" s="15"/>
      <c r="K1593" s="15"/>
      <c r="L1593"/>
      <c r="M1593"/>
      <c r="N1593"/>
    </row>
    <row r="1594" spans="9:14" x14ac:dyDescent="0.35">
      <c r="I1594" s="15"/>
      <c r="J1594" s="15"/>
      <c r="K1594" s="15"/>
      <c r="L1594"/>
      <c r="M1594"/>
      <c r="N1594"/>
    </row>
    <row r="1595" spans="9:14" x14ac:dyDescent="0.35">
      <c r="I1595" s="15"/>
      <c r="J1595" s="15"/>
      <c r="K1595" s="15"/>
      <c r="L1595"/>
      <c r="M1595"/>
      <c r="N1595"/>
    </row>
    <row r="1596" spans="9:14" x14ac:dyDescent="0.35">
      <c r="I1596" s="15"/>
      <c r="J1596" s="15"/>
      <c r="K1596" s="15"/>
      <c r="L1596"/>
      <c r="M1596"/>
      <c r="N1596"/>
    </row>
    <row r="1597" spans="9:14" x14ac:dyDescent="0.35">
      <c r="I1597" s="15"/>
      <c r="J1597" s="15"/>
      <c r="K1597" s="15"/>
      <c r="L1597"/>
      <c r="M1597"/>
      <c r="N1597"/>
    </row>
    <row r="1598" spans="9:14" x14ac:dyDescent="0.35">
      <c r="I1598" s="15"/>
      <c r="J1598" s="15"/>
      <c r="K1598" s="15"/>
      <c r="L1598"/>
      <c r="M1598"/>
      <c r="N1598"/>
    </row>
    <row r="1599" spans="9:14" x14ac:dyDescent="0.35">
      <c r="I1599" s="15"/>
      <c r="J1599" s="15"/>
      <c r="K1599" s="15"/>
      <c r="L1599"/>
      <c r="M1599"/>
      <c r="N1599"/>
    </row>
    <row r="1600" spans="9:14" x14ac:dyDescent="0.35">
      <c r="I1600" s="15"/>
      <c r="J1600" s="15"/>
      <c r="K1600" s="15"/>
      <c r="L1600"/>
      <c r="M1600"/>
      <c r="N1600"/>
    </row>
    <row r="1601" spans="9:14" x14ac:dyDescent="0.35">
      <c r="I1601" s="15"/>
      <c r="J1601" s="15"/>
      <c r="K1601" s="15"/>
      <c r="L1601"/>
      <c r="M1601"/>
      <c r="N1601"/>
    </row>
    <row r="1602" spans="9:14" x14ac:dyDescent="0.35">
      <c r="I1602" s="15"/>
      <c r="J1602" s="15"/>
      <c r="K1602" s="15"/>
      <c r="L1602"/>
      <c r="M1602"/>
      <c r="N1602"/>
    </row>
    <row r="1603" spans="9:14" x14ac:dyDescent="0.35">
      <c r="I1603" s="15"/>
      <c r="J1603" s="15"/>
      <c r="K1603" s="15"/>
      <c r="L1603"/>
      <c r="M1603"/>
      <c r="N1603"/>
    </row>
    <row r="1604" spans="9:14" x14ac:dyDescent="0.35">
      <c r="I1604" s="15"/>
      <c r="J1604" s="15"/>
      <c r="K1604" s="15"/>
      <c r="L1604"/>
      <c r="M1604"/>
      <c r="N1604"/>
    </row>
    <row r="1605" spans="9:14" x14ac:dyDescent="0.35">
      <c r="I1605" s="15"/>
      <c r="J1605" s="15"/>
      <c r="K1605" s="15"/>
      <c r="L1605"/>
      <c r="M1605"/>
      <c r="N1605"/>
    </row>
    <row r="1606" spans="9:14" x14ac:dyDescent="0.35">
      <c r="I1606" s="15"/>
      <c r="J1606" s="15"/>
      <c r="K1606" s="15"/>
      <c r="L1606"/>
      <c r="M1606"/>
      <c r="N1606"/>
    </row>
    <row r="1607" spans="9:14" x14ac:dyDescent="0.35">
      <c r="I1607" s="15"/>
      <c r="J1607" s="15"/>
      <c r="K1607" s="15"/>
      <c r="L1607"/>
      <c r="M1607"/>
      <c r="N1607"/>
    </row>
    <row r="1608" spans="9:14" x14ac:dyDescent="0.35">
      <c r="I1608" s="15"/>
      <c r="J1608" s="15"/>
      <c r="K1608" s="15"/>
      <c r="L1608"/>
      <c r="M1608"/>
      <c r="N1608"/>
    </row>
    <row r="1609" spans="9:14" x14ac:dyDescent="0.35">
      <c r="I1609" s="15"/>
      <c r="J1609" s="15"/>
      <c r="K1609" s="15"/>
      <c r="L1609"/>
      <c r="M1609"/>
      <c r="N1609"/>
    </row>
    <row r="1610" spans="9:14" x14ac:dyDescent="0.35">
      <c r="I1610" s="15"/>
      <c r="J1610" s="15"/>
      <c r="K1610" s="15"/>
      <c r="L1610"/>
      <c r="M1610"/>
      <c r="N1610"/>
    </row>
    <row r="1611" spans="9:14" x14ac:dyDescent="0.35">
      <c r="I1611" s="15"/>
      <c r="J1611" s="15"/>
      <c r="K1611" s="15"/>
      <c r="L1611"/>
      <c r="M1611"/>
      <c r="N1611"/>
    </row>
    <row r="1612" spans="9:14" x14ac:dyDescent="0.35">
      <c r="I1612" s="15"/>
      <c r="J1612" s="15"/>
      <c r="K1612" s="15"/>
      <c r="L1612"/>
      <c r="M1612"/>
      <c r="N1612"/>
    </row>
    <row r="1613" spans="9:14" x14ac:dyDescent="0.35">
      <c r="I1613" s="15"/>
      <c r="J1613" s="15"/>
      <c r="K1613" s="15"/>
      <c r="L1613"/>
      <c r="M1613"/>
      <c r="N1613"/>
    </row>
    <row r="1614" spans="9:14" x14ac:dyDescent="0.35">
      <c r="I1614" s="15"/>
      <c r="J1614" s="15"/>
      <c r="K1614" s="15"/>
      <c r="L1614"/>
      <c r="M1614"/>
      <c r="N1614"/>
    </row>
    <row r="1615" spans="9:14" x14ac:dyDescent="0.35">
      <c r="I1615" s="15"/>
      <c r="J1615" s="15"/>
      <c r="K1615" s="15"/>
      <c r="L1615"/>
      <c r="M1615"/>
      <c r="N1615"/>
    </row>
    <row r="1616" spans="9:14" x14ac:dyDescent="0.35">
      <c r="I1616" s="15"/>
      <c r="J1616" s="15"/>
      <c r="K1616" s="15"/>
      <c r="L1616"/>
      <c r="M1616"/>
      <c r="N1616"/>
    </row>
    <row r="1617" spans="9:14" x14ac:dyDescent="0.35">
      <c r="I1617" s="15"/>
      <c r="J1617" s="15"/>
      <c r="K1617" s="15"/>
      <c r="L1617"/>
      <c r="M1617"/>
      <c r="N1617"/>
    </row>
    <row r="1618" spans="9:14" x14ac:dyDescent="0.35">
      <c r="I1618" s="15"/>
      <c r="J1618" s="15"/>
      <c r="K1618" s="15"/>
      <c r="L1618"/>
      <c r="M1618"/>
      <c r="N1618"/>
    </row>
    <row r="1619" spans="9:14" x14ac:dyDescent="0.35">
      <c r="I1619" s="15"/>
      <c r="J1619" s="15"/>
      <c r="K1619" s="15"/>
      <c r="L1619"/>
      <c r="M1619"/>
      <c r="N1619"/>
    </row>
    <row r="1620" spans="9:14" x14ac:dyDescent="0.35">
      <c r="I1620" s="15"/>
      <c r="J1620" s="15"/>
      <c r="K1620" s="15"/>
      <c r="L1620"/>
      <c r="M1620"/>
      <c r="N1620"/>
    </row>
    <row r="1621" spans="9:14" x14ac:dyDescent="0.35">
      <c r="I1621" s="15"/>
      <c r="J1621" s="15"/>
      <c r="K1621" s="15"/>
      <c r="L1621"/>
      <c r="M1621"/>
      <c r="N1621"/>
    </row>
    <row r="1622" spans="9:14" x14ac:dyDescent="0.35">
      <c r="I1622" s="15"/>
      <c r="J1622" s="15"/>
      <c r="K1622" s="15"/>
      <c r="L1622"/>
      <c r="M1622"/>
      <c r="N1622"/>
    </row>
    <row r="1623" spans="9:14" x14ac:dyDescent="0.35">
      <c r="I1623" s="15"/>
      <c r="J1623" s="15"/>
      <c r="K1623" s="15"/>
      <c r="L1623"/>
      <c r="M1623"/>
      <c r="N1623"/>
    </row>
    <row r="1624" spans="9:14" x14ac:dyDescent="0.35">
      <c r="I1624" s="15"/>
      <c r="J1624" s="15"/>
      <c r="K1624" s="15"/>
      <c r="L1624"/>
      <c r="M1624"/>
      <c r="N1624"/>
    </row>
    <row r="1625" spans="9:14" x14ac:dyDescent="0.35">
      <c r="I1625" s="15"/>
      <c r="J1625" s="15"/>
      <c r="K1625" s="15"/>
      <c r="L1625"/>
      <c r="M1625"/>
      <c r="N1625"/>
    </row>
    <row r="1626" spans="9:14" x14ac:dyDescent="0.35">
      <c r="I1626" s="15"/>
      <c r="J1626" s="15"/>
      <c r="K1626" s="15"/>
      <c r="L1626"/>
      <c r="M1626"/>
      <c r="N1626"/>
    </row>
    <row r="1627" spans="9:14" x14ac:dyDescent="0.35">
      <c r="I1627" s="15"/>
      <c r="J1627" s="15"/>
      <c r="K1627" s="15"/>
      <c r="L1627"/>
      <c r="M1627"/>
      <c r="N1627"/>
    </row>
    <row r="1628" spans="9:14" x14ac:dyDescent="0.35">
      <c r="I1628" s="15"/>
      <c r="J1628" s="15"/>
      <c r="K1628" s="15"/>
      <c r="L1628"/>
      <c r="M1628"/>
      <c r="N1628"/>
    </row>
    <row r="1629" spans="9:14" x14ac:dyDescent="0.35">
      <c r="I1629" s="15"/>
      <c r="J1629" s="15"/>
      <c r="K1629" s="15"/>
      <c r="L1629"/>
      <c r="M1629"/>
      <c r="N1629"/>
    </row>
    <row r="1630" spans="9:14" x14ac:dyDescent="0.35">
      <c r="I1630" s="15"/>
      <c r="J1630" s="15"/>
      <c r="K1630" s="15"/>
      <c r="L1630"/>
      <c r="M1630"/>
      <c r="N1630"/>
    </row>
    <row r="1631" spans="9:14" x14ac:dyDescent="0.35">
      <c r="I1631" s="15"/>
      <c r="J1631" s="15"/>
      <c r="K1631" s="15"/>
      <c r="L1631"/>
      <c r="M1631"/>
      <c r="N1631"/>
    </row>
    <row r="1632" spans="9:14" x14ac:dyDescent="0.35">
      <c r="I1632" s="15"/>
      <c r="J1632" s="15"/>
      <c r="K1632" s="15"/>
      <c r="L1632"/>
      <c r="M1632"/>
      <c r="N1632"/>
    </row>
    <row r="1633" spans="9:14" x14ac:dyDescent="0.35">
      <c r="I1633" s="15"/>
      <c r="J1633" s="15"/>
      <c r="K1633" s="15"/>
      <c r="L1633"/>
      <c r="M1633"/>
      <c r="N1633"/>
    </row>
    <row r="1634" spans="9:14" x14ac:dyDescent="0.35">
      <c r="I1634" s="15"/>
      <c r="J1634" s="15"/>
      <c r="K1634" s="15"/>
      <c r="L1634"/>
      <c r="M1634"/>
      <c r="N1634"/>
    </row>
    <row r="1635" spans="9:14" x14ac:dyDescent="0.35">
      <c r="I1635" s="15"/>
      <c r="J1635" s="15"/>
      <c r="K1635" s="15"/>
      <c r="L1635"/>
      <c r="M1635"/>
      <c r="N1635"/>
    </row>
    <row r="1636" spans="9:14" x14ac:dyDescent="0.35">
      <c r="I1636" s="15"/>
      <c r="J1636" s="15"/>
      <c r="K1636" s="15"/>
      <c r="L1636"/>
      <c r="M1636"/>
      <c r="N1636"/>
    </row>
    <row r="1637" spans="9:14" x14ac:dyDescent="0.35">
      <c r="I1637" s="15"/>
      <c r="J1637" s="15"/>
      <c r="K1637" s="15"/>
      <c r="L1637"/>
      <c r="M1637"/>
      <c r="N1637"/>
    </row>
    <row r="1638" spans="9:14" x14ac:dyDescent="0.35">
      <c r="I1638" s="15"/>
      <c r="J1638" s="15"/>
      <c r="K1638" s="15"/>
      <c r="L1638"/>
      <c r="M1638"/>
      <c r="N1638"/>
    </row>
    <row r="1639" spans="9:14" x14ac:dyDescent="0.35">
      <c r="I1639" s="15"/>
      <c r="J1639" s="15"/>
      <c r="K1639" s="15"/>
      <c r="L1639"/>
      <c r="M1639"/>
      <c r="N1639"/>
    </row>
    <row r="1640" spans="9:14" x14ac:dyDescent="0.35">
      <c r="I1640" s="15"/>
      <c r="J1640" s="15"/>
      <c r="K1640" s="15"/>
      <c r="L1640"/>
      <c r="M1640"/>
      <c r="N1640"/>
    </row>
    <row r="1641" spans="9:14" x14ac:dyDescent="0.35">
      <c r="I1641" s="15"/>
      <c r="J1641" s="15"/>
      <c r="K1641" s="15"/>
      <c r="L1641"/>
      <c r="M1641"/>
      <c r="N1641"/>
    </row>
    <row r="1642" spans="9:14" x14ac:dyDescent="0.35">
      <c r="I1642" s="15"/>
      <c r="J1642" s="15"/>
      <c r="K1642" s="15"/>
      <c r="L1642"/>
      <c r="M1642"/>
      <c r="N1642"/>
    </row>
    <row r="1643" spans="9:14" x14ac:dyDescent="0.35">
      <c r="I1643" s="15"/>
      <c r="J1643" s="15"/>
      <c r="K1643" s="15"/>
      <c r="L1643"/>
      <c r="M1643"/>
      <c r="N1643"/>
    </row>
    <row r="1644" spans="9:14" x14ac:dyDescent="0.35">
      <c r="I1644" s="15"/>
      <c r="J1644" s="15"/>
      <c r="K1644" s="15"/>
      <c r="L1644"/>
      <c r="M1644"/>
      <c r="N1644"/>
    </row>
    <row r="1645" spans="9:14" x14ac:dyDescent="0.35">
      <c r="I1645" s="15"/>
      <c r="J1645" s="15"/>
      <c r="K1645" s="15"/>
      <c r="L1645"/>
      <c r="M1645"/>
      <c r="N1645"/>
    </row>
    <row r="1646" spans="9:14" x14ac:dyDescent="0.35">
      <c r="I1646" s="15"/>
      <c r="J1646" s="15"/>
      <c r="K1646" s="15"/>
      <c r="L1646"/>
      <c r="M1646"/>
      <c r="N1646"/>
    </row>
    <row r="1647" spans="9:14" x14ac:dyDescent="0.35">
      <c r="I1647" s="15"/>
      <c r="J1647" s="15"/>
      <c r="K1647" s="15"/>
      <c r="L1647"/>
      <c r="M1647"/>
      <c r="N1647"/>
    </row>
    <row r="1648" spans="9:14" x14ac:dyDescent="0.35">
      <c r="I1648" s="15"/>
      <c r="J1648" s="15"/>
      <c r="K1648" s="15"/>
      <c r="L1648"/>
      <c r="M1648"/>
      <c r="N1648"/>
    </row>
    <row r="1649" spans="9:14" x14ac:dyDescent="0.35">
      <c r="I1649" s="15"/>
      <c r="J1649" s="15"/>
      <c r="K1649" s="15"/>
      <c r="L1649"/>
      <c r="M1649"/>
      <c r="N1649"/>
    </row>
    <row r="1650" spans="9:14" x14ac:dyDescent="0.35">
      <c r="I1650" s="15"/>
      <c r="J1650" s="15"/>
      <c r="K1650" s="15"/>
      <c r="L1650"/>
      <c r="M1650"/>
      <c r="N1650"/>
    </row>
    <row r="1651" spans="9:14" x14ac:dyDescent="0.35">
      <c r="I1651" s="15"/>
      <c r="J1651" s="15"/>
      <c r="K1651" s="15"/>
      <c r="L1651"/>
      <c r="M1651"/>
      <c r="N1651"/>
    </row>
    <row r="1652" spans="9:14" x14ac:dyDescent="0.35">
      <c r="I1652" s="15"/>
      <c r="J1652" s="15"/>
      <c r="K1652" s="15"/>
      <c r="L1652"/>
      <c r="M1652"/>
      <c r="N1652"/>
    </row>
    <row r="1653" spans="9:14" x14ac:dyDescent="0.35">
      <c r="I1653" s="15"/>
      <c r="J1653" s="15"/>
      <c r="K1653" s="15"/>
      <c r="L1653"/>
      <c r="M1653"/>
      <c r="N1653"/>
    </row>
    <row r="1654" spans="9:14" x14ac:dyDescent="0.35">
      <c r="I1654" s="15"/>
      <c r="J1654" s="15"/>
      <c r="K1654" s="15"/>
      <c r="L1654"/>
      <c r="M1654"/>
      <c r="N1654"/>
    </row>
    <row r="1655" spans="9:14" x14ac:dyDescent="0.35">
      <c r="I1655" s="15"/>
      <c r="J1655" s="15"/>
      <c r="K1655" s="15"/>
      <c r="L1655"/>
      <c r="M1655"/>
      <c r="N1655"/>
    </row>
    <row r="1656" spans="9:14" x14ac:dyDescent="0.35">
      <c r="I1656" s="15"/>
      <c r="J1656" s="15"/>
      <c r="K1656" s="15"/>
      <c r="L1656"/>
      <c r="M1656"/>
      <c r="N1656"/>
    </row>
    <row r="1657" spans="9:14" x14ac:dyDescent="0.35">
      <c r="I1657" s="15"/>
      <c r="J1657" s="15"/>
      <c r="K1657" s="15"/>
      <c r="L1657"/>
      <c r="M1657"/>
      <c r="N1657"/>
    </row>
    <row r="1658" spans="9:14" x14ac:dyDescent="0.35">
      <c r="I1658" s="15"/>
      <c r="J1658" s="15"/>
      <c r="K1658" s="15"/>
      <c r="L1658"/>
      <c r="M1658"/>
      <c r="N1658"/>
    </row>
    <row r="1659" spans="9:14" x14ac:dyDescent="0.35">
      <c r="I1659" s="15"/>
      <c r="J1659" s="15"/>
      <c r="K1659" s="15"/>
      <c r="L1659"/>
      <c r="M1659"/>
      <c r="N1659"/>
    </row>
    <row r="1660" spans="9:14" x14ac:dyDescent="0.35">
      <c r="I1660" s="15"/>
      <c r="J1660" s="15"/>
      <c r="K1660" s="15"/>
      <c r="L1660"/>
      <c r="M1660"/>
      <c r="N1660"/>
    </row>
    <row r="1661" spans="9:14" x14ac:dyDescent="0.35">
      <c r="I1661" s="15"/>
      <c r="J1661" s="15"/>
      <c r="K1661" s="15"/>
      <c r="L1661"/>
      <c r="M1661"/>
      <c r="N1661"/>
    </row>
    <row r="1662" spans="9:14" x14ac:dyDescent="0.35">
      <c r="I1662" s="15"/>
      <c r="J1662" s="15"/>
      <c r="K1662" s="15"/>
      <c r="L1662"/>
      <c r="M1662"/>
      <c r="N1662"/>
    </row>
    <row r="1663" spans="9:14" x14ac:dyDescent="0.35">
      <c r="I1663" s="15"/>
      <c r="J1663" s="15"/>
      <c r="K1663" s="15"/>
      <c r="L1663"/>
      <c r="M1663"/>
      <c r="N1663"/>
    </row>
    <row r="1664" spans="9:14" x14ac:dyDescent="0.35">
      <c r="I1664" s="15"/>
      <c r="J1664" s="15"/>
      <c r="K1664" s="15"/>
      <c r="L1664"/>
      <c r="M1664"/>
      <c r="N1664"/>
    </row>
    <row r="1665" spans="9:14" x14ac:dyDescent="0.35">
      <c r="I1665" s="15"/>
      <c r="J1665" s="15"/>
      <c r="K1665" s="15"/>
      <c r="L1665"/>
      <c r="M1665"/>
      <c r="N1665"/>
    </row>
    <row r="1666" spans="9:14" x14ac:dyDescent="0.35">
      <c r="I1666" s="15"/>
      <c r="J1666" s="15"/>
      <c r="K1666" s="15"/>
      <c r="L1666"/>
      <c r="M1666"/>
      <c r="N1666"/>
    </row>
    <row r="1667" spans="9:14" x14ac:dyDescent="0.35">
      <c r="I1667" s="15"/>
      <c r="J1667" s="15"/>
      <c r="K1667" s="15"/>
      <c r="L1667"/>
      <c r="M1667"/>
      <c r="N1667"/>
    </row>
    <row r="1668" spans="9:14" x14ac:dyDescent="0.35">
      <c r="I1668" s="15"/>
      <c r="J1668" s="15"/>
      <c r="K1668" s="15"/>
      <c r="L1668"/>
      <c r="M1668"/>
      <c r="N1668"/>
    </row>
    <row r="1669" spans="9:14" x14ac:dyDescent="0.35">
      <c r="I1669" s="15"/>
      <c r="J1669" s="15"/>
      <c r="K1669" s="15"/>
      <c r="L1669"/>
      <c r="M1669"/>
      <c r="N1669"/>
    </row>
    <row r="1670" spans="9:14" x14ac:dyDescent="0.35">
      <c r="I1670" s="15"/>
      <c r="J1670" s="15"/>
      <c r="K1670" s="15"/>
      <c r="L1670"/>
      <c r="M1670"/>
      <c r="N1670"/>
    </row>
    <row r="1671" spans="9:14" x14ac:dyDescent="0.35">
      <c r="I1671" s="15"/>
      <c r="J1671" s="15"/>
      <c r="K1671" s="15"/>
      <c r="L1671"/>
      <c r="M1671"/>
      <c r="N1671"/>
    </row>
    <row r="1672" spans="9:14" x14ac:dyDescent="0.35">
      <c r="I1672" s="15"/>
      <c r="J1672" s="15"/>
      <c r="K1672" s="15"/>
      <c r="L1672"/>
      <c r="M1672"/>
      <c r="N1672"/>
    </row>
    <row r="1673" spans="9:14" x14ac:dyDescent="0.35">
      <c r="I1673" s="15"/>
      <c r="J1673" s="15"/>
      <c r="K1673" s="15"/>
      <c r="L1673"/>
      <c r="M1673"/>
      <c r="N1673"/>
    </row>
    <row r="1674" spans="9:14" x14ac:dyDescent="0.35">
      <c r="I1674" s="15"/>
      <c r="J1674" s="15"/>
      <c r="K1674" s="15"/>
      <c r="L1674"/>
      <c r="M1674"/>
      <c r="N1674"/>
    </row>
    <row r="1675" spans="9:14" x14ac:dyDescent="0.35">
      <c r="I1675" s="15"/>
      <c r="J1675" s="15"/>
      <c r="K1675" s="15"/>
      <c r="L1675"/>
      <c r="M1675"/>
      <c r="N1675"/>
    </row>
    <row r="1676" spans="9:14" x14ac:dyDescent="0.35">
      <c r="I1676" s="15"/>
      <c r="J1676" s="15"/>
      <c r="K1676" s="15"/>
      <c r="L1676"/>
      <c r="M1676"/>
      <c r="N1676"/>
    </row>
    <row r="1677" spans="9:14" x14ac:dyDescent="0.35">
      <c r="I1677" s="15"/>
      <c r="J1677" s="15"/>
      <c r="K1677" s="15"/>
      <c r="L1677"/>
      <c r="M1677"/>
      <c r="N1677"/>
    </row>
    <row r="1678" spans="9:14" x14ac:dyDescent="0.35">
      <c r="I1678" s="15"/>
      <c r="J1678" s="15"/>
      <c r="K1678" s="15"/>
      <c r="L1678"/>
      <c r="M1678"/>
      <c r="N1678"/>
    </row>
    <row r="1679" spans="9:14" x14ac:dyDescent="0.35">
      <c r="I1679" s="15"/>
      <c r="J1679" s="15"/>
      <c r="K1679" s="15"/>
      <c r="L1679"/>
      <c r="M1679"/>
      <c r="N1679"/>
    </row>
    <row r="1680" spans="9:14" x14ac:dyDescent="0.35">
      <c r="I1680" s="15"/>
      <c r="J1680" s="15"/>
      <c r="K1680" s="15"/>
      <c r="L1680"/>
      <c r="M1680"/>
      <c r="N1680"/>
    </row>
    <row r="1681" spans="9:14" x14ac:dyDescent="0.35">
      <c r="I1681" s="15"/>
      <c r="J1681" s="15"/>
      <c r="K1681" s="15"/>
      <c r="L1681"/>
      <c r="M1681"/>
      <c r="N1681"/>
    </row>
    <row r="1682" spans="9:14" x14ac:dyDescent="0.35">
      <c r="I1682" s="15"/>
      <c r="J1682" s="15"/>
      <c r="K1682" s="15"/>
      <c r="L1682"/>
      <c r="M1682"/>
      <c r="N1682"/>
    </row>
    <row r="1683" spans="9:14" x14ac:dyDescent="0.35">
      <c r="I1683" s="15"/>
      <c r="J1683" s="15"/>
      <c r="K1683" s="15"/>
      <c r="L1683"/>
      <c r="M1683"/>
      <c r="N1683"/>
    </row>
    <row r="1684" spans="9:14" x14ac:dyDescent="0.35">
      <c r="I1684" s="15"/>
      <c r="J1684" s="15"/>
      <c r="K1684" s="15"/>
      <c r="L1684"/>
      <c r="M1684"/>
      <c r="N1684"/>
    </row>
    <row r="1685" spans="9:14" x14ac:dyDescent="0.35">
      <c r="I1685" s="15"/>
      <c r="J1685" s="15"/>
      <c r="K1685" s="15"/>
      <c r="L1685"/>
      <c r="M1685"/>
      <c r="N1685"/>
    </row>
    <row r="1686" spans="9:14" x14ac:dyDescent="0.35">
      <c r="I1686" s="15"/>
      <c r="J1686" s="15"/>
      <c r="K1686" s="15"/>
      <c r="L1686"/>
      <c r="M1686"/>
      <c r="N1686"/>
    </row>
    <row r="1687" spans="9:14" x14ac:dyDescent="0.35">
      <c r="I1687" s="15"/>
      <c r="J1687" s="15"/>
      <c r="K1687" s="15"/>
      <c r="L1687"/>
      <c r="M1687"/>
      <c r="N1687"/>
    </row>
    <row r="1688" spans="9:14" x14ac:dyDescent="0.35">
      <c r="I1688" s="15"/>
      <c r="J1688" s="15"/>
      <c r="K1688" s="15"/>
      <c r="L1688"/>
      <c r="M1688"/>
      <c r="N1688"/>
    </row>
    <row r="1689" spans="9:14" x14ac:dyDescent="0.35">
      <c r="I1689" s="15"/>
      <c r="J1689" s="15"/>
      <c r="K1689" s="15"/>
      <c r="L1689"/>
      <c r="M1689"/>
      <c r="N1689"/>
    </row>
    <row r="1690" spans="9:14" x14ac:dyDescent="0.35">
      <c r="I1690" s="15"/>
      <c r="J1690" s="15"/>
      <c r="K1690" s="15"/>
      <c r="L1690"/>
      <c r="M1690"/>
      <c r="N1690"/>
    </row>
    <row r="1691" spans="9:14" x14ac:dyDescent="0.35">
      <c r="I1691" s="15"/>
      <c r="J1691" s="15"/>
      <c r="K1691" s="15"/>
      <c r="L1691"/>
      <c r="M1691"/>
      <c r="N1691"/>
    </row>
    <row r="1692" spans="9:14" x14ac:dyDescent="0.35">
      <c r="I1692" s="15"/>
      <c r="J1692" s="15"/>
      <c r="K1692" s="15"/>
      <c r="L1692"/>
      <c r="M1692"/>
      <c r="N1692"/>
    </row>
    <row r="1693" spans="9:14" x14ac:dyDescent="0.35">
      <c r="I1693" s="15"/>
      <c r="J1693" s="15"/>
      <c r="K1693" s="15"/>
      <c r="L1693"/>
      <c r="M1693"/>
      <c r="N1693"/>
    </row>
    <row r="1694" spans="9:14" x14ac:dyDescent="0.35">
      <c r="I1694" s="15"/>
      <c r="J1694" s="15"/>
      <c r="K1694" s="15"/>
      <c r="L1694"/>
      <c r="M1694"/>
      <c r="N1694"/>
    </row>
    <row r="1695" spans="9:14" x14ac:dyDescent="0.35">
      <c r="I1695" s="15"/>
      <c r="J1695" s="15"/>
      <c r="K1695" s="15"/>
      <c r="L1695"/>
      <c r="M1695"/>
      <c r="N1695"/>
    </row>
    <row r="1696" spans="9:14" x14ac:dyDescent="0.35">
      <c r="I1696" s="15"/>
      <c r="J1696" s="15"/>
      <c r="K1696" s="15"/>
      <c r="L1696"/>
      <c r="M1696"/>
      <c r="N1696"/>
    </row>
    <row r="1697" spans="9:14" x14ac:dyDescent="0.35">
      <c r="I1697" s="15"/>
      <c r="J1697" s="15"/>
      <c r="K1697" s="15"/>
      <c r="L1697"/>
      <c r="M1697"/>
      <c r="N1697"/>
    </row>
    <row r="1698" spans="9:14" x14ac:dyDescent="0.35">
      <c r="I1698" s="15"/>
      <c r="J1698" s="15"/>
      <c r="K1698" s="15"/>
      <c r="L1698"/>
      <c r="M1698"/>
      <c r="N1698"/>
    </row>
    <row r="1699" spans="9:14" x14ac:dyDescent="0.35">
      <c r="I1699" s="15"/>
      <c r="J1699" s="15"/>
      <c r="K1699" s="15"/>
      <c r="L1699"/>
      <c r="M1699"/>
      <c r="N1699"/>
    </row>
    <row r="1700" spans="9:14" x14ac:dyDescent="0.35">
      <c r="I1700" s="15"/>
      <c r="J1700" s="15"/>
      <c r="K1700" s="15"/>
      <c r="L1700"/>
      <c r="M1700"/>
      <c r="N1700"/>
    </row>
    <row r="1701" spans="9:14" x14ac:dyDescent="0.35">
      <c r="I1701" s="15"/>
      <c r="J1701" s="15"/>
      <c r="K1701" s="15"/>
      <c r="L1701"/>
      <c r="M1701"/>
      <c r="N1701"/>
    </row>
    <row r="1702" spans="9:14" x14ac:dyDescent="0.35">
      <c r="I1702" s="15"/>
      <c r="J1702" s="15"/>
      <c r="K1702" s="15"/>
      <c r="L1702"/>
      <c r="M1702"/>
      <c r="N1702"/>
    </row>
    <row r="1703" spans="9:14" x14ac:dyDescent="0.35">
      <c r="I1703" s="15"/>
      <c r="J1703" s="15"/>
      <c r="K1703" s="15"/>
      <c r="L1703"/>
      <c r="M1703"/>
      <c r="N1703"/>
    </row>
    <row r="1704" spans="9:14" x14ac:dyDescent="0.35">
      <c r="I1704" s="15"/>
      <c r="J1704" s="15"/>
      <c r="K1704" s="15"/>
      <c r="L1704"/>
      <c r="M1704"/>
      <c r="N1704"/>
    </row>
    <row r="1705" spans="9:14" x14ac:dyDescent="0.35">
      <c r="I1705" s="15"/>
      <c r="J1705" s="15"/>
      <c r="K1705" s="15"/>
      <c r="L1705"/>
      <c r="M1705"/>
      <c r="N1705"/>
    </row>
    <row r="1706" spans="9:14" x14ac:dyDescent="0.35">
      <c r="I1706" s="15"/>
      <c r="J1706" s="15"/>
      <c r="K1706" s="15"/>
      <c r="L1706"/>
      <c r="M1706"/>
      <c r="N1706"/>
    </row>
    <row r="1707" spans="9:14" x14ac:dyDescent="0.35">
      <c r="I1707" s="15"/>
      <c r="J1707" s="15"/>
      <c r="K1707" s="15"/>
      <c r="L1707"/>
      <c r="M1707"/>
      <c r="N1707"/>
    </row>
    <row r="1708" spans="9:14" x14ac:dyDescent="0.35">
      <c r="I1708" s="15"/>
      <c r="J1708" s="15"/>
      <c r="K1708" s="15"/>
      <c r="L1708"/>
      <c r="M1708"/>
      <c r="N1708"/>
    </row>
    <row r="1709" spans="9:14" x14ac:dyDescent="0.35">
      <c r="I1709" s="15"/>
      <c r="J1709" s="15"/>
      <c r="K1709" s="15"/>
      <c r="L1709"/>
      <c r="M1709"/>
      <c r="N1709"/>
    </row>
    <row r="1710" spans="9:14" x14ac:dyDescent="0.35">
      <c r="I1710" s="15"/>
      <c r="J1710" s="15"/>
      <c r="K1710" s="15"/>
      <c r="L1710"/>
      <c r="M1710"/>
      <c r="N1710"/>
    </row>
    <row r="1711" spans="9:14" x14ac:dyDescent="0.35">
      <c r="I1711" s="15"/>
      <c r="J1711" s="15"/>
      <c r="K1711" s="15"/>
      <c r="L1711"/>
      <c r="M1711"/>
      <c r="N1711"/>
    </row>
    <row r="1712" spans="9:14" x14ac:dyDescent="0.35">
      <c r="I1712" s="15"/>
      <c r="J1712" s="15"/>
      <c r="K1712" s="15"/>
      <c r="L1712"/>
      <c r="M1712"/>
      <c r="N1712"/>
    </row>
    <row r="1713" spans="9:14" x14ac:dyDescent="0.35">
      <c r="I1713" s="15"/>
      <c r="J1713" s="15"/>
      <c r="K1713" s="15"/>
      <c r="L1713"/>
      <c r="M1713"/>
      <c r="N1713"/>
    </row>
    <row r="1714" spans="9:14" x14ac:dyDescent="0.35">
      <c r="I1714" s="15"/>
      <c r="J1714" s="15"/>
      <c r="K1714" s="15"/>
      <c r="L1714"/>
      <c r="M1714"/>
      <c r="N1714"/>
    </row>
    <row r="1715" spans="9:14" x14ac:dyDescent="0.35">
      <c r="I1715" s="15"/>
      <c r="J1715" s="15"/>
      <c r="K1715" s="15"/>
      <c r="L1715"/>
      <c r="M1715"/>
      <c r="N1715"/>
    </row>
    <row r="1716" spans="9:14" x14ac:dyDescent="0.35">
      <c r="I1716" s="15"/>
      <c r="J1716" s="15"/>
      <c r="K1716" s="15"/>
      <c r="L1716"/>
      <c r="M1716"/>
      <c r="N1716"/>
    </row>
    <row r="1717" spans="9:14" x14ac:dyDescent="0.35">
      <c r="I1717" s="15"/>
      <c r="J1717" s="15"/>
      <c r="K1717" s="15"/>
      <c r="L1717"/>
      <c r="M1717"/>
      <c r="N1717"/>
    </row>
    <row r="1718" spans="9:14" x14ac:dyDescent="0.35">
      <c r="I1718" s="15"/>
      <c r="J1718" s="15"/>
      <c r="K1718" s="15"/>
      <c r="L1718"/>
      <c r="M1718"/>
      <c r="N1718"/>
    </row>
    <row r="1719" spans="9:14" x14ac:dyDescent="0.35">
      <c r="I1719" s="15"/>
      <c r="J1719" s="15"/>
      <c r="K1719" s="15"/>
      <c r="L1719"/>
      <c r="M1719"/>
      <c r="N1719"/>
    </row>
    <row r="1720" spans="9:14" x14ac:dyDescent="0.35">
      <c r="I1720" s="15"/>
      <c r="J1720" s="15"/>
      <c r="K1720" s="15"/>
      <c r="L1720"/>
      <c r="M1720"/>
      <c r="N1720"/>
    </row>
    <row r="1721" spans="9:14" x14ac:dyDescent="0.35">
      <c r="I1721" s="15"/>
      <c r="J1721" s="15"/>
      <c r="K1721" s="15"/>
      <c r="L1721"/>
      <c r="M1721"/>
      <c r="N1721"/>
    </row>
    <row r="1722" spans="9:14" x14ac:dyDescent="0.35">
      <c r="I1722" s="15"/>
      <c r="J1722" s="15"/>
      <c r="K1722" s="15"/>
      <c r="L1722"/>
      <c r="M1722"/>
      <c r="N1722"/>
    </row>
    <row r="1723" spans="9:14" x14ac:dyDescent="0.35">
      <c r="I1723" s="15"/>
      <c r="J1723" s="15"/>
      <c r="K1723" s="15"/>
      <c r="L1723"/>
      <c r="M1723"/>
      <c r="N1723"/>
    </row>
    <row r="1724" spans="9:14" x14ac:dyDescent="0.35">
      <c r="I1724" s="15"/>
      <c r="J1724" s="15"/>
      <c r="K1724" s="15"/>
      <c r="L1724"/>
      <c r="M1724"/>
      <c r="N1724"/>
    </row>
    <row r="1725" spans="9:14" x14ac:dyDescent="0.35">
      <c r="I1725" s="15"/>
      <c r="J1725" s="15"/>
      <c r="K1725" s="15"/>
      <c r="L1725"/>
      <c r="M1725"/>
      <c r="N1725"/>
    </row>
    <row r="1726" spans="9:14" x14ac:dyDescent="0.35">
      <c r="I1726" s="15"/>
      <c r="J1726" s="15"/>
      <c r="K1726" s="15"/>
      <c r="L1726"/>
      <c r="M1726"/>
      <c r="N1726"/>
    </row>
    <row r="1727" spans="9:14" x14ac:dyDescent="0.35">
      <c r="I1727" s="15"/>
      <c r="J1727" s="15"/>
      <c r="K1727" s="15"/>
      <c r="L1727"/>
      <c r="M1727"/>
      <c r="N1727"/>
    </row>
    <row r="1728" spans="9:14" x14ac:dyDescent="0.35">
      <c r="I1728" s="15"/>
      <c r="J1728" s="15"/>
      <c r="K1728" s="15"/>
      <c r="L1728"/>
      <c r="M1728"/>
      <c r="N1728"/>
    </row>
    <row r="1729" spans="9:14" x14ac:dyDescent="0.35">
      <c r="I1729" s="15"/>
      <c r="J1729" s="15"/>
      <c r="K1729" s="15"/>
      <c r="L1729"/>
      <c r="M1729"/>
      <c r="N1729"/>
    </row>
    <row r="1730" spans="9:14" x14ac:dyDescent="0.35">
      <c r="I1730" s="15"/>
      <c r="J1730" s="15"/>
      <c r="K1730" s="15"/>
      <c r="L1730"/>
      <c r="M1730"/>
      <c r="N1730"/>
    </row>
    <row r="1731" spans="9:14" x14ac:dyDescent="0.35">
      <c r="I1731" s="15"/>
      <c r="J1731" s="15"/>
      <c r="K1731" s="15"/>
      <c r="L1731"/>
      <c r="M1731"/>
      <c r="N1731"/>
    </row>
    <row r="1732" spans="9:14" x14ac:dyDescent="0.35">
      <c r="I1732" s="15"/>
      <c r="J1732" s="15"/>
      <c r="K1732" s="15"/>
      <c r="L1732"/>
      <c r="M1732"/>
      <c r="N1732"/>
    </row>
    <row r="1733" spans="9:14" x14ac:dyDescent="0.35">
      <c r="I1733" s="15"/>
      <c r="J1733" s="15"/>
      <c r="K1733" s="15"/>
      <c r="L1733"/>
      <c r="M1733"/>
      <c r="N1733"/>
    </row>
    <row r="1734" spans="9:14" x14ac:dyDescent="0.35">
      <c r="I1734" s="15"/>
      <c r="J1734" s="15"/>
      <c r="K1734" s="15"/>
      <c r="L1734"/>
      <c r="M1734"/>
      <c r="N1734"/>
    </row>
    <row r="1735" spans="9:14" x14ac:dyDescent="0.35">
      <c r="I1735" s="15"/>
      <c r="J1735" s="15"/>
      <c r="K1735" s="15"/>
      <c r="L1735"/>
      <c r="M1735"/>
      <c r="N1735"/>
    </row>
    <row r="1736" spans="9:14" x14ac:dyDescent="0.35">
      <c r="I1736" s="15"/>
      <c r="J1736" s="15"/>
      <c r="K1736" s="15"/>
      <c r="L1736"/>
      <c r="M1736"/>
      <c r="N1736"/>
    </row>
    <row r="1737" spans="9:14" x14ac:dyDescent="0.35">
      <c r="I1737" s="15"/>
      <c r="J1737" s="15"/>
      <c r="K1737" s="15"/>
      <c r="L1737"/>
      <c r="M1737"/>
      <c r="N1737"/>
    </row>
    <row r="1738" spans="9:14" x14ac:dyDescent="0.35">
      <c r="I1738" s="15"/>
      <c r="J1738" s="15"/>
      <c r="K1738" s="15"/>
      <c r="L1738"/>
      <c r="M1738"/>
      <c r="N1738"/>
    </row>
    <row r="1739" spans="9:14" x14ac:dyDescent="0.35">
      <c r="I1739" s="15"/>
      <c r="J1739" s="15"/>
      <c r="K1739" s="15"/>
      <c r="L1739"/>
      <c r="M1739"/>
      <c r="N1739"/>
    </row>
    <row r="1740" spans="9:14" x14ac:dyDescent="0.35">
      <c r="I1740" s="15"/>
      <c r="J1740" s="15"/>
      <c r="K1740" s="15"/>
      <c r="L1740"/>
      <c r="M1740"/>
      <c r="N1740"/>
    </row>
    <row r="1741" spans="9:14" x14ac:dyDescent="0.35">
      <c r="I1741" s="15"/>
      <c r="J1741" s="15"/>
      <c r="K1741" s="15"/>
      <c r="L1741"/>
      <c r="M1741"/>
      <c r="N1741"/>
    </row>
    <row r="1742" spans="9:14" x14ac:dyDescent="0.35">
      <c r="I1742" s="15"/>
      <c r="J1742" s="15"/>
      <c r="K1742" s="15"/>
      <c r="L1742"/>
      <c r="M1742"/>
      <c r="N1742"/>
    </row>
    <row r="1743" spans="9:14" x14ac:dyDescent="0.35">
      <c r="I1743" s="15"/>
      <c r="J1743" s="15"/>
      <c r="K1743" s="15"/>
      <c r="L1743"/>
      <c r="M1743"/>
      <c r="N1743"/>
    </row>
    <row r="1744" spans="9:14" x14ac:dyDescent="0.35">
      <c r="I1744" s="15"/>
      <c r="J1744" s="15"/>
      <c r="K1744" s="15"/>
      <c r="L1744"/>
      <c r="M1744"/>
      <c r="N1744"/>
    </row>
    <row r="1745" spans="9:14" x14ac:dyDescent="0.35">
      <c r="I1745" s="15"/>
      <c r="J1745" s="15"/>
      <c r="K1745" s="15"/>
      <c r="L1745"/>
      <c r="M1745"/>
      <c r="N1745"/>
    </row>
    <row r="1746" spans="9:14" x14ac:dyDescent="0.35">
      <c r="I1746" s="15"/>
      <c r="J1746" s="15"/>
      <c r="K1746" s="15"/>
      <c r="L1746"/>
      <c r="M1746"/>
      <c r="N1746"/>
    </row>
    <row r="1747" spans="9:14" x14ac:dyDescent="0.35">
      <c r="I1747" s="15"/>
      <c r="J1747" s="15"/>
      <c r="K1747" s="15"/>
      <c r="L1747"/>
      <c r="M1747"/>
      <c r="N1747"/>
    </row>
    <row r="1748" spans="9:14" x14ac:dyDescent="0.35">
      <c r="I1748" s="15"/>
      <c r="J1748" s="15"/>
      <c r="K1748" s="15"/>
      <c r="L1748"/>
      <c r="M1748"/>
      <c r="N1748"/>
    </row>
    <row r="1749" spans="9:14" x14ac:dyDescent="0.35">
      <c r="I1749" s="15"/>
      <c r="J1749" s="15"/>
      <c r="K1749" s="15"/>
      <c r="L1749"/>
      <c r="M1749"/>
      <c r="N1749"/>
    </row>
    <row r="1750" spans="9:14" x14ac:dyDescent="0.35">
      <c r="I1750" s="15"/>
      <c r="J1750" s="15"/>
      <c r="K1750" s="15"/>
      <c r="L1750"/>
      <c r="M1750"/>
      <c r="N1750"/>
    </row>
    <row r="1751" spans="9:14" x14ac:dyDescent="0.35">
      <c r="I1751" s="15"/>
      <c r="J1751" s="15"/>
      <c r="K1751" s="15"/>
      <c r="L1751"/>
      <c r="M1751"/>
      <c r="N1751"/>
    </row>
    <row r="1752" spans="9:14" x14ac:dyDescent="0.35">
      <c r="I1752" s="15"/>
      <c r="J1752" s="15"/>
      <c r="K1752" s="15"/>
      <c r="L1752"/>
      <c r="M1752"/>
      <c r="N1752"/>
    </row>
    <row r="1753" spans="9:14" x14ac:dyDescent="0.35">
      <c r="I1753" s="15"/>
      <c r="J1753" s="15"/>
      <c r="K1753" s="15"/>
      <c r="L1753"/>
      <c r="M1753"/>
      <c r="N1753"/>
    </row>
    <row r="1754" spans="9:14" x14ac:dyDescent="0.35">
      <c r="I1754" s="15"/>
      <c r="J1754" s="15"/>
      <c r="K1754" s="15"/>
      <c r="L1754"/>
      <c r="M1754"/>
      <c r="N1754"/>
    </row>
    <row r="1755" spans="9:14" x14ac:dyDescent="0.35">
      <c r="I1755" s="15"/>
      <c r="J1755" s="15"/>
      <c r="K1755" s="15"/>
      <c r="L1755"/>
      <c r="M1755"/>
      <c r="N1755"/>
    </row>
    <row r="1756" spans="9:14" x14ac:dyDescent="0.35">
      <c r="I1756" s="15"/>
      <c r="J1756" s="15"/>
      <c r="K1756" s="15"/>
      <c r="L1756"/>
      <c r="M1756"/>
      <c r="N1756"/>
    </row>
    <row r="1757" spans="9:14" x14ac:dyDescent="0.35">
      <c r="I1757" s="15"/>
      <c r="J1757" s="15"/>
      <c r="K1757" s="15"/>
      <c r="L1757"/>
      <c r="M1757"/>
      <c r="N1757"/>
    </row>
    <row r="1758" spans="9:14" x14ac:dyDescent="0.35">
      <c r="I1758" s="15"/>
      <c r="J1758" s="15"/>
      <c r="K1758" s="15"/>
      <c r="L1758"/>
      <c r="M1758"/>
      <c r="N1758"/>
    </row>
    <row r="1759" spans="9:14" x14ac:dyDescent="0.35">
      <c r="I1759" s="15"/>
      <c r="J1759" s="15"/>
      <c r="K1759" s="15"/>
      <c r="L1759"/>
      <c r="M1759"/>
      <c r="N1759"/>
    </row>
    <row r="1760" spans="9:14" x14ac:dyDescent="0.35">
      <c r="I1760" s="15"/>
      <c r="J1760" s="15"/>
      <c r="K1760" s="15"/>
      <c r="L1760"/>
      <c r="M1760"/>
      <c r="N1760"/>
    </row>
    <row r="1761" spans="9:14" x14ac:dyDescent="0.35">
      <c r="I1761" s="15"/>
      <c r="J1761" s="15"/>
      <c r="K1761" s="15"/>
      <c r="L1761"/>
      <c r="M1761"/>
      <c r="N1761"/>
    </row>
    <row r="1762" spans="9:14" x14ac:dyDescent="0.35">
      <c r="I1762" s="15"/>
      <c r="J1762" s="15"/>
      <c r="K1762" s="15"/>
      <c r="L1762"/>
      <c r="M1762"/>
      <c r="N1762"/>
    </row>
    <row r="1763" spans="9:14" x14ac:dyDescent="0.35">
      <c r="I1763" s="15"/>
      <c r="J1763" s="15"/>
      <c r="K1763" s="15"/>
      <c r="L1763"/>
      <c r="M1763"/>
      <c r="N1763"/>
    </row>
    <row r="1764" spans="9:14" x14ac:dyDescent="0.35">
      <c r="I1764" s="15"/>
      <c r="J1764" s="15"/>
      <c r="K1764" s="15"/>
      <c r="L1764"/>
      <c r="M1764"/>
      <c r="N1764"/>
    </row>
    <row r="1765" spans="9:14" x14ac:dyDescent="0.35">
      <c r="I1765" s="15"/>
      <c r="J1765" s="15"/>
      <c r="K1765" s="15"/>
      <c r="L1765"/>
      <c r="M1765"/>
      <c r="N1765"/>
    </row>
    <row r="1766" spans="9:14" x14ac:dyDescent="0.35">
      <c r="I1766" s="15"/>
      <c r="J1766" s="15"/>
      <c r="K1766" s="15"/>
      <c r="L1766"/>
      <c r="M1766"/>
      <c r="N1766"/>
    </row>
    <row r="1767" spans="9:14" x14ac:dyDescent="0.35">
      <c r="I1767" s="15"/>
      <c r="J1767" s="15"/>
      <c r="K1767" s="15"/>
      <c r="L1767"/>
      <c r="M1767"/>
      <c r="N1767"/>
    </row>
    <row r="1768" spans="9:14" x14ac:dyDescent="0.35">
      <c r="I1768" s="15"/>
      <c r="J1768" s="15"/>
      <c r="K1768" s="15"/>
      <c r="L1768"/>
      <c r="M1768"/>
      <c r="N1768"/>
    </row>
    <row r="1769" spans="9:14" x14ac:dyDescent="0.35">
      <c r="I1769" s="15"/>
      <c r="J1769" s="15"/>
      <c r="K1769" s="15"/>
      <c r="L1769"/>
      <c r="M1769"/>
      <c r="N1769"/>
    </row>
    <row r="1770" spans="9:14" x14ac:dyDescent="0.35">
      <c r="I1770" s="15"/>
      <c r="J1770" s="15"/>
      <c r="K1770" s="15"/>
      <c r="L1770"/>
      <c r="M1770"/>
      <c r="N1770"/>
    </row>
    <row r="1771" spans="9:14" x14ac:dyDescent="0.35">
      <c r="I1771" s="15"/>
      <c r="J1771" s="15"/>
      <c r="K1771" s="15"/>
      <c r="L1771"/>
      <c r="M1771"/>
      <c r="N1771"/>
    </row>
    <row r="1772" spans="9:14" x14ac:dyDescent="0.35">
      <c r="I1772" s="15"/>
      <c r="J1772" s="15"/>
      <c r="K1772" s="15"/>
      <c r="L1772"/>
      <c r="M1772"/>
      <c r="N1772"/>
    </row>
    <row r="1773" spans="9:14" x14ac:dyDescent="0.35">
      <c r="I1773" s="15"/>
      <c r="J1773" s="15"/>
      <c r="K1773" s="15"/>
      <c r="L1773"/>
      <c r="M1773"/>
      <c r="N1773"/>
    </row>
    <row r="1774" spans="9:14" x14ac:dyDescent="0.35">
      <c r="I1774" s="15"/>
      <c r="J1774" s="15"/>
      <c r="K1774" s="15"/>
      <c r="L1774"/>
      <c r="M1774"/>
      <c r="N1774"/>
    </row>
    <row r="1775" spans="9:14" x14ac:dyDescent="0.35">
      <c r="I1775" s="15"/>
      <c r="J1775" s="15"/>
      <c r="K1775" s="15"/>
      <c r="L1775"/>
      <c r="M1775"/>
      <c r="N1775"/>
    </row>
    <row r="1776" spans="9:14" x14ac:dyDescent="0.35">
      <c r="I1776" s="15"/>
      <c r="J1776" s="15"/>
      <c r="K1776" s="15"/>
      <c r="L1776"/>
      <c r="M1776"/>
      <c r="N1776"/>
    </row>
    <row r="1777" spans="9:14" x14ac:dyDescent="0.35">
      <c r="I1777" s="15"/>
      <c r="J1777" s="15"/>
      <c r="K1777" s="15"/>
      <c r="L1777"/>
      <c r="M1777"/>
      <c r="N1777"/>
    </row>
    <row r="1778" spans="9:14" x14ac:dyDescent="0.35">
      <c r="I1778" s="15"/>
      <c r="J1778" s="15"/>
      <c r="K1778" s="15"/>
      <c r="L1778"/>
      <c r="M1778"/>
      <c r="N1778"/>
    </row>
    <row r="1779" spans="9:14" x14ac:dyDescent="0.35">
      <c r="I1779" s="15"/>
      <c r="J1779" s="15"/>
      <c r="K1779" s="15"/>
      <c r="L1779"/>
      <c r="M1779"/>
      <c r="N1779"/>
    </row>
    <row r="1780" spans="9:14" x14ac:dyDescent="0.35">
      <c r="I1780" s="15"/>
      <c r="J1780" s="15"/>
      <c r="K1780" s="15"/>
      <c r="L1780"/>
      <c r="M1780"/>
      <c r="N1780"/>
    </row>
    <row r="1781" spans="9:14" x14ac:dyDescent="0.35">
      <c r="I1781" s="15"/>
      <c r="J1781" s="15"/>
      <c r="K1781" s="15"/>
      <c r="L1781"/>
      <c r="M1781"/>
      <c r="N1781"/>
    </row>
    <row r="1782" spans="9:14" x14ac:dyDescent="0.35">
      <c r="I1782" s="15"/>
      <c r="J1782" s="15"/>
      <c r="K1782" s="15"/>
      <c r="L1782"/>
      <c r="M1782"/>
      <c r="N1782"/>
    </row>
    <row r="1783" spans="9:14" x14ac:dyDescent="0.35">
      <c r="I1783" s="15"/>
      <c r="J1783" s="15"/>
      <c r="K1783" s="15"/>
      <c r="L1783"/>
      <c r="M1783"/>
      <c r="N1783"/>
    </row>
    <row r="1784" spans="9:14" x14ac:dyDescent="0.35">
      <c r="I1784" s="15"/>
      <c r="J1784" s="15"/>
      <c r="K1784" s="15"/>
      <c r="L1784"/>
      <c r="M1784"/>
      <c r="N1784"/>
    </row>
    <row r="1785" spans="9:14" x14ac:dyDescent="0.35">
      <c r="I1785" s="15"/>
      <c r="J1785" s="15"/>
      <c r="K1785" s="15"/>
      <c r="L1785"/>
      <c r="M1785"/>
      <c r="N1785"/>
    </row>
    <row r="1786" spans="9:14" x14ac:dyDescent="0.35">
      <c r="I1786" s="15"/>
      <c r="J1786" s="15"/>
      <c r="K1786" s="15"/>
      <c r="L1786"/>
      <c r="M1786"/>
      <c r="N1786"/>
    </row>
    <row r="1787" spans="9:14" x14ac:dyDescent="0.35">
      <c r="I1787" s="15"/>
      <c r="J1787" s="15"/>
      <c r="K1787" s="15"/>
      <c r="L1787"/>
      <c r="M1787"/>
      <c r="N1787"/>
    </row>
    <row r="1788" spans="9:14" x14ac:dyDescent="0.35">
      <c r="I1788" s="15"/>
      <c r="J1788" s="15"/>
      <c r="K1788" s="15"/>
      <c r="L1788"/>
      <c r="M1788"/>
      <c r="N1788"/>
    </row>
    <row r="1789" spans="9:14" x14ac:dyDescent="0.35">
      <c r="I1789" s="15"/>
      <c r="J1789" s="15"/>
      <c r="K1789" s="15"/>
      <c r="L1789"/>
      <c r="M1789"/>
      <c r="N1789"/>
    </row>
    <row r="1790" spans="9:14" x14ac:dyDescent="0.35">
      <c r="I1790" s="15"/>
      <c r="J1790" s="15"/>
      <c r="K1790" s="15"/>
      <c r="L1790"/>
      <c r="M1790"/>
      <c r="N1790"/>
    </row>
    <row r="1791" spans="9:14" x14ac:dyDescent="0.35">
      <c r="I1791" s="15"/>
      <c r="J1791" s="15"/>
      <c r="K1791" s="15"/>
      <c r="L1791"/>
      <c r="M1791"/>
      <c r="N1791"/>
    </row>
  </sheetData>
  <pageMargins left="0.70866141732283472" right="0.31496062992125984" top="0.19685039370078741" bottom="0.19685039370078741" header="0.31496062992125984" footer="0.31496062992125984"/>
  <pageSetup paperSize="9" orientation="portrait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2EB30-25A2-4EEC-867B-3D154C48E534}">
  <sheetPr codeName="Planilha2">
    <tabColor theme="4"/>
  </sheetPr>
  <dimension ref="A1:K3713"/>
  <sheetViews>
    <sheetView showGridLines="0" topLeftCell="A3683" zoomScale="70" zoomScaleNormal="70" workbookViewId="0">
      <selection activeCell="E3691" sqref="E3691"/>
    </sheetView>
  </sheetViews>
  <sheetFormatPr defaultRowHeight="14.5" x14ac:dyDescent="0.35"/>
  <cols>
    <col min="1" max="1" width="11.1796875" style="2" customWidth="1"/>
    <col min="2" max="2" width="18.453125" bestFit="1" customWidth="1"/>
    <col min="3" max="3" width="23.1796875" customWidth="1"/>
    <col min="4" max="4" width="10.54296875" bestFit="1" customWidth="1"/>
    <col min="5" max="10" width="12.81640625" customWidth="1"/>
  </cols>
  <sheetData>
    <row r="1" spans="1:11" s="1" customFormat="1" ht="47.25" customHeight="1" x14ac:dyDescent="0.35">
      <c r="A1" s="6" t="s">
        <v>0</v>
      </c>
      <c r="B1" s="4" t="s">
        <v>7</v>
      </c>
      <c r="C1" s="4" t="s">
        <v>1</v>
      </c>
      <c r="D1" s="4" t="s">
        <v>44</v>
      </c>
      <c r="E1" s="4" t="s">
        <v>2</v>
      </c>
      <c r="F1" s="4" t="s">
        <v>3</v>
      </c>
      <c r="G1" s="4" t="s">
        <v>4</v>
      </c>
      <c r="H1" s="4" t="s">
        <v>35</v>
      </c>
      <c r="I1" s="4" t="s">
        <v>5</v>
      </c>
      <c r="J1" s="4" t="s">
        <v>10</v>
      </c>
      <c r="K1" s="4" t="s">
        <v>166</v>
      </c>
    </row>
    <row r="2" spans="1:11" hidden="1" x14ac:dyDescent="0.35">
      <c r="A2" s="2">
        <v>44227</v>
      </c>
      <c r="B2" t="s">
        <v>36</v>
      </c>
      <c r="C2" t="s">
        <v>20</v>
      </c>
      <c r="E2">
        <v>45</v>
      </c>
      <c r="F2">
        <v>2</v>
      </c>
      <c r="G2">
        <v>55</v>
      </c>
      <c r="H2">
        <v>0</v>
      </c>
      <c r="I2">
        <v>19</v>
      </c>
      <c r="J2" s="52"/>
    </row>
    <row r="3" spans="1:11" hidden="1" x14ac:dyDescent="0.35">
      <c r="A3" s="2">
        <v>44227</v>
      </c>
      <c r="B3" t="s">
        <v>8</v>
      </c>
      <c r="C3" t="s">
        <v>22</v>
      </c>
      <c r="E3">
        <v>18</v>
      </c>
      <c r="F3">
        <v>3</v>
      </c>
      <c r="G3">
        <v>13</v>
      </c>
      <c r="I3">
        <v>9</v>
      </c>
      <c r="J3" s="52"/>
    </row>
    <row r="4" spans="1:11" hidden="1" x14ac:dyDescent="0.35">
      <c r="A4" s="2">
        <v>44227</v>
      </c>
      <c r="B4" t="s">
        <v>11</v>
      </c>
      <c r="C4" t="s">
        <v>18</v>
      </c>
      <c r="E4">
        <v>16</v>
      </c>
      <c r="F4">
        <v>2</v>
      </c>
      <c r="G4">
        <v>24</v>
      </c>
      <c r="H4">
        <v>10</v>
      </c>
      <c r="I4">
        <v>15</v>
      </c>
      <c r="J4" s="52"/>
    </row>
    <row r="5" spans="1:11" hidden="1" x14ac:dyDescent="0.35">
      <c r="A5" s="2">
        <v>44227</v>
      </c>
      <c r="B5" t="s">
        <v>12</v>
      </c>
      <c r="C5" t="s">
        <v>24</v>
      </c>
      <c r="E5">
        <v>19</v>
      </c>
      <c r="F5">
        <v>2</v>
      </c>
      <c r="G5">
        <v>13</v>
      </c>
      <c r="I5">
        <v>8</v>
      </c>
      <c r="J5" s="52"/>
    </row>
    <row r="6" spans="1:11" hidden="1" x14ac:dyDescent="0.35">
      <c r="A6" s="2">
        <v>44227</v>
      </c>
      <c r="B6" t="s">
        <v>12</v>
      </c>
      <c r="C6" t="s">
        <v>37</v>
      </c>
      <c r="E6">
        <v>9</v>
      </c>
      <c r="F6">
        <v>2</v>
      </c>
      <c r="G6">
        <v>11</v>
      </c>
      <c r="H6">
        <v>2</v>
      </c>
      <c r="I6">
        <v>8</v>
      </c>
      <c r="J6" s="52"/>
    </row>
    <row r="7" spans="1:11" hidden="1" x14ac:dyDescent="0.35">
      <c r="A7" s="2">
        <v>44227</v>
      </c>
      <c r="B7" t="s">
        <v>13</v>
      </c>
      <c r="C7" t="s">
        <v>25</v>
      </c>
      <c r="E7">
        <v>49</v>
      </c>
      <c r="F7">
        <v>7</v>
      </c>
      <c r="G7">
        <v>34</v>
      </c>
      <c r="H7">
        <v>0</v>
      </c>
      <c r="I7">
        <v>10</v>
      </c>
      <c r="J7" s="52"/>
    </row>
    <row r="8" spans="1:11" hidden="1" x14ac:dyDescent="0.35">
      <c r="A8" s="2">
        <v>44227</v>
      </c>
      <c r="B8" t="s">
        <v>13</v>
      </c>
      <c r="C8" t="s">
        <v>23</v>
      </c>
      <c r="E8">
        <v>31</v>
      </c>
      <c r="F8">
        <v>0</v>
      </c>
      <c r="G8">
        <v>16</v>
      </c>
      <c r="H8">
        <v>2</v>
      </c>
      <c r="I8">
        <v>6</v>
      </c>
      <c r="J8" s="52"/>
    </row>
    <row r="9" spans="1:11" hidden="1" x14ac:dyDescent="0.35">
      <c r="A9" s="2">
        <v>44227</v>
      </c>
      <c r="B9" t="s">
        <v>14</v>
      </c>
      <c r="C9" t="s">
        <v>21</v>
      </c>
      <c r="E9">
        <v>44</v>
      </c>
      <c r="F9">
        <v>13</v>
      </c>
      <c r="G9">
        <v>4</v>
      </c>
      <c r="H9">
        <v>0</v>
      </c>
      <c r="I9">
        <v>3</v>
      </c>
      <c r="J9" s="52"/>
    </row>
    <row r="10" spans="1:11" hidden="1" x14ac:dyDescent="0.35">
      <c r="A10" s="2">
        <v>44227</v>
      </c>
      <c r="B10" t="s">
        <v>15</v>
      </c>
      <c r="C10" t="s">
        <v>9</v>
      </c>
      <c r="E10">
        <v>70</v>
      </c>
      <c r="F10">
        <v>1</v>
      </c>
      <c r="G10">
        <v>59</v>
      </c>
      <c r="H10">
        <v>3</v>
      </c>
      <c r="I10">
        <v>11</v>
      </c>
      <c r="J10" s="52"/>
    </row>
    <row r="11" spans="1:11" hidden="1" x14ac:dyDescent="0.35">
      <c r="A11" s="2">
        <v>44227</v>
      </c>
      <c r="B11" t="s">
        <v>38</v>
      </c>
      <c r="C11" t="s">
        <v>18</v>
      </c>
      <c r="E11">
        <v>19</v>
      </c>
      <c r="F11">
        <v>10</v>
      </c>
      <c r="G11">
        <v>20</v>
      </c>
      <c r="H11">
        <v>6</v>
      </c>
      <c r="I11">
        <v>9</v>
      </c>
      <c r="J11" s="52"/>
    </row>
    <row r="12" spans="1:11" hidden="1" x14ac:dyDescent="0.35">
      <c r="A12" s="2">
        <v>44227</v>
      </c>
      <c r="B12" t="s">
        <v>16</v>
      </c>
      <c r="C12" t="s">
        <v>37</v>
      </c>
      <c r="E12">
        <v>27</v>
      </c>
      <c r="F12">
        <v>2</v>
      </c>
      <c r="G12">
        <v>38</v>
      </c>
      <c r="H12">
        <v>5</v>
      </c>
      <c r="I12">
        <v>19</v>
      </c>
      <c r="J12" s="52"/>
    </row>
    <row r="13" spans="1:11" hidden="1" x14ac:dyDescent="0.35">
      <c r="A13" s="2">
        <v>44227</v>
      </c>
      <c r="B13" t="s">
        <v>39</v>
      </c>
      <c r="C13" t="s">
        <v>22</v>
      </c>
      <c r="E13">
        <v>27</v>
      </c>
      <c r="F13">
        <v>3</v>
      </c>
      <c r="G13">
        <v>19</v>
      </c>
      <c r="I13">
        <v>10</v>
      </c>
      <c r="J13" s="52"/>
    </row>
    <row r="14" spans="1:11" hidden="1" x14ac:dyDescent="0.35">
      <c r="A14" s="2">
        <v>44227</v>
      </c>
      <c r="B14" t="s">
        <v>40</v>
      </c>
      <c r="C14" t="s">
        <v>19</v>
      </c>
      <c r="E14">
        <v>32</v>
      </c>
      <c r="F14">
        <v>5</v>
      </c>
      <c r="G14">
        <v>3</v>
      </c>
      <c r="H14">
        <v>0</v>
      </c>
      <c r="I14">
        <v>5</v>
      </c>
      <c r="J14" s="52"/>
    </row>
    <row r="15" spans="1:11" hidden="1" x14ac:dyDescent="0.35">
      <c r="A15" s="2">
        <v>44227</v>
      </c>
      <c r="B15" t="s">
        <v>41</v>
      </c>
      <c r="C15" t="s">
        <v>24</v>
      </c>
      <c r="E15">
        <v>28</v>
      </c>
      <c r="F15">
        <v>0</v>
      </c>
      <c r="G15">
        <v>10</v>
      </c>
      <c r="I15">
        <v>12</v>
      </c>
      <c r="J15" s="52"/>
    </row>
    <row r="16" spans="1:11" hidden="1" x14ac:dyDescent="0.35">
      <c r="A16" s="2">
        <v>44227</v>
      </c>
      <c r="B16" t="s">
        <v>41</v>
      </c>
      <c r="C16" t="s">
        <v>23</v>
      </c>
      <c r="E16">
        <v>15</v>
      </c>
      <c r="F16">
        <v>2</v>
      </c>
      <c r="G16">
        <v>4</v>
      </c>
      <c r="H16">
        <v>0</v>
      </c>
      <c r="I16">
        <v>4</v>
      </c>
      <c r="J16" s="52"/>
    </row>
    <row r="17" spans="1:10" hidden="1" x14ac:dyDescent="0.35">
      <c r="A17" s="2">
        <v>44227</v>
      </c>
      <c r="B17" t="s">
        <v>42</v>
      </c>
      <c r="C17" t="s">
        <v>19</v>
      </c>
      <c r="E17">
        <v>34</v>
      </c>
      <c r="F17">
        <v>6</v>
      </c>
      <c r="G17">
        <v>13</v>
      </c>
      <c r="H17">
        <v>0</v>
      </c>
      <c r="I17">
        <v>10</v>
      </c>
      <c r="J17" s="52"/>
    </row>
    <row r="18" spans="1:10" hidden="1" x14ac:dyDescent="0.35">
      <c r="A18" s="2">
        <v>44227</v>
      </c>
      <c r="B18" t="s">
        <v>17</v>
      </c>
      <c r="C18" t="s">
        <v>20</v>
      </c>
      <c r="E18">
        <v>25</v>
      </c>
      <c r="F18">
        <v>3</v>
      </c>
      <c r="G18">
        <v>12</v>
      </c>
      <c r="H18">
        <v>0</v>
      </c>
      <c r="I18">
        <v>7</v>
      </c>
      <c r="J18" s="52"/>
    </row>
    <row r="19" spans="1:10" hidden="1" x14ac:dyDescent="0.35">
      <c r="A19" s="2">
        <v>44227</v>
      </c>
      <c r="B19" t="s">
        <v>17</v>
      </c>
      <c r="C19" t="s">
        <v>26</v>
      </c>
      <c r="E19">
        <v>26</v>
      </c>
      <c r="F19">
        <v>20</v>
      </c>
      <c r="G19">
        <v>25</v>
      </c>
      <c r="H19">
        <v>0</v>
      </c>
      <c r="I19">
        <v>11</v>
      </c>
      <c r="J19" s="52"/>
    </row>
    <row r="20" spans="1:10" hidden="1" x14ac:dyDescent="0.35">
      <c r="A20" s="2">
        <v>44227</v>
      </c>
      <c r="B20" t="s">
        <v>43</v>
      </c>
      <c r="C20" t="s">
        <v>27</v>
      </c>
      <c r="E20">
        <v>53</v>
      </c>
      <c r="F20">
        <v>0</v>
      </c>
      <c r="G20">
        <v>37</v>
      </c>
      <c r="H20">
        <v>0</v>
      </c>
      <c r="I20">
        <v>27</v>
      </c>
      <c r="J20" s="52"/>
    </row>
    <row r="21" spans="1:10" hidden="1" x14ac:dyDescent="0.35">
      <c r="A21" s="2">
        <v>44227</v>
      </c>
      <c r="C21" t="s">
        <v>24</v>
      </c>
      <c r="D21">
        <v>517</v>
      </c>
      <c r="J21" s="52">
        <v>276150</v>
      </c>
    </row>
    <row r="22" spans="1:10" hidden="1" x14ac:dyDescent="0.35">
      <c r="A22" s="2">
        <v>44227</v>
      </c>
      <c r="C22" t="s">
        <v>9</v>
      </c>
      <c r="D22">
        <v>340</v>
      </c>
      <c r="J22" s="52">
        <v>151850</v>
      </c>
    </row>
    <row r="23" spans="1:10" hidden="1" x14ac:dyDescent="0.35">
      <c r="A23" s="2">
        <v>44227</v>
      </c>
      <c r="C23" t="s">
        <v>37</v>
      </c>
      <c r="D23">
        <v>713</v>
      </c>
      <c r="J23" s="52">
        <v>384750</v>
      </c>
    </row>
    <row r="24" spans="1:10" hidden="1" x14ac:dyDescent="0.35">
      <c r="A24" s="2">
        <v>44227</v>
      </c>
      <c r="C24" t="s">
        <v>23</v>
      </c>
      <c r="D24">
        <v>299</v>
      </c>
      <c r="J24" s="52">
        <f>14000+14450+14450+13000+13000+13000+14450+12000+14450+13000</f>
        <v>135800</v>
      </c>
    </row>
    <row r="25" spans="1:10" hidden="1" x14ac:dyDescent="0.35">
      <c r="A25" s="2">
        <v>44227</v>
      </c>
      <c r="C25" t="s">
        <v>27</v>
      </c>
      <c r="D25">
        <v>438</v>
      </c>
      <c r="J25" s="52">
        <f>14450+14000+14450+13500+14450+14450+15000+14450+14000+15500+14000+14450+14000+14000+14000+14000+14450+15900+15900+14000+6000+14450+15000+15900+14450+14000+14450</f>
        <v>383200</v>
      </c>
    </row>
    <row r="26" spans="1:10" hidden="1" x14ac:dyDescent="0.35">
      <c r="A26" s="2">
        <v>44227</v>
      </c>
      <c r="C26" t="s">
        <v>26</v>
      </c>
      <c r="D26">
        <v>277</v>
      </c>
      <c r="J26" s="52">
        <v>164500</v>
      </c>
    </row>
    <row r="27" spans="1:10" hidden="1" x14ac:dyDescent="0.35">
      <c r="A27" s="2">
        <v>44227</v>
      </c>
      <c r="C27" t="s">
        <v>20</v>
      </c>
      <c r="D27">
        <v>672</v>
      </c>
      <c r="J27" s="52">
        <v>315400</v>
      </c>
    </row>
    <row r="28" spans="1:10" hidden="1" x14ac:dyDescent="0.35">
      <c r="A28" s="2">
        <v>44227</v>
      </c>
      <c r="C28" t="s">
        <v>25</v>
      </c>
      <c r="D28">
        <v>251</v>
      </c>
      <c r="J28" s="52">
        <v>141500</v>
      </c>
    </row>
    <row r="29" spans="1:10" hidden="1" x14ac:dyDescent="0.35">
      <c r="A29" s="2">
        <v>44227</v>
      </c>
      <c r="C29" t="s">
        <v>19</v>
      </c>
      <c r="D29">
        <v>360</v>
      </c>
      <c r="J29" s="52">
        <v>199950</v>
      </c>
    </row>
    <row r="30" spans="1:10" hidden="1" x14ac:dyDescent="0.35">
      <c r="A30" s="2">
        <v>44227</v>
      </c>
      <c r="C30" t="s">
        <v>21</v>
      </c>
      <c r="D30">
        <v>436</v>
      </c>
      <c r="J30" s="52">
        <v>43400</v>
      </c>
    </row>
    <row r="31" spans="1:10" hidden="1" x14ac:dyDescent="0.35">
      <c r="A31" s="2">
        <v>44227</v>
      </c>
      <c r="C31" t="s">
        <v>18</v>
      </c>
      <c r="D31">
        <v>1000</v>
      </c>
      <c r="J31" s="52">
        <v>340100</v>
      </c>
    </row>
    <row r="32" spans="1:10" hidden="1" x14ac:dyDescent="0.35">
      <c r="A32" s="2">
        <v>44227</v>
      </c>
      <c r="C32" t="s">
        <v>22</v>
      </c>
      <c r="D32">
        <v>412</v>
      </c>
      <c r="J32" s="52">
        <v>244000</v>
      </c>
    </row>
    <row r="33" spans="1:10" hidden="1" x14ac:dyDescent="0.35">
      <c r="A33" s="2">
        <v>44255</v>
      </c>
      <c r="B33" t="s">
        <v>36</v>
      </c>
      <c r="C33" t="s">
        <v>20</v>
      </c>
      <c r="E33">
        <v>47</v>
      </c>
      <c r="F33">
        <v>8</v>
      </c>
      <c r="G33">
        <v>52</v>
      </c>
      <c r="H33">
        <v>2</v>
      </c>
      <c r="I33">
        <v>22</v>
      </c>
      <c r="J33" s="52"/>
    </row>
    <row r="34" spans="1:10" hidden="1" x14ac:dyDescent="0.35">
      <c r="A34" s="2">
        <v>44255</v>
      </c>
      <c r="B34" t="s">
        <v>17</v>
      </c>
      <c r="C34" t="s">
        <v>20</v>
      </c>
      <c r="E34">
        <v>32</v>
      </c>
      <c r="F34">
        <v>8</v>
      </c>
      <c r="G34">
        <v>23</v>
      </c>
      <c r="H34">
        <v>0</v>
      </c>
      <c r="I34">
        <v>4</v>
      </c>
      <c r="J34" s="52"/>
    </row>
    <row r="35" spans="1:10" hidden="1" x14ac:dyDescent="0.35">
      <c r="A35" s="2">
        <v>44255</v>
      </c>
      <c r="B35" t="s">
        <v>17</v>
      </c>
      <c r="C35" t="s">
        <v>26</v>
      </c>
      <c r="E35">
        <v>52</v>
      </c>
      <c r="F35">
        <v>16</v>
      </c>
      <c r="G35">
        <v>18</v>
      </c>
      <c r="H35">
        <v>0</v>
      </c>
      <c r="I35">
        <v>10</v>
      </c>
      <c r="J35" s="52"/>
    </row>
    <row r="36" spans="1:10" hidden="1" x14ac:dyDescent="0.35">
      <c r="A36" s="2">
        <v>44255</v>
      </c>
      <c r="B36" t="s">
        <v>11</v>
      </c>
      <c r="C36" t="s">
        <v>18</v>
      </c>
      <c r="E36">
        <v>19</v>
      </c>
      <c r="F36">
        <v>3</v>
      </c>
      <c r="G36">
        <v>24</v>
      </c>
      <c r="H36">
        <v>12</v>
      </c>
      <c r="I36">
        <v>12</v>
      </c>
      <c r="J36" s="52"/>
    </row>
    <row r="37" spans="1:10" hidden="1" x14ac:dyDescent="0.35">
      <c r="A37" s="2">
        <v>44255</v>
      </c>
      <c r="B37" t="s">
        <v>38</v>
      </c>
      <c r="C37" t="s">
        <v>18</v>
      </c>
      <c r="E37">
        <v>7</v>
      </c>
      <c r="F37">
        <v>3</v>
      </c>
      <c r="G37">
        <v>7</v>
      </c>
      <c r="H37">
        <v>6</v>
      </c>
      <c r="I37">
        <v>10</v>
      </c>
      <c r="J37" s="52"/>
    </row>
    <row r="38" spans="1:10" hidden="1" x14ac:dyDescent="0.35">
      <c r="A38" s="2">
        <v>44255</v>
      </c>
      <c r="B38" t="s">
        <v>13</v>
      </c>
      <c r="C38" t="s">
        <v>25</v>
      </c>
      <c r="E38">
        <v>34</v>
      </c>
      <c r="F38">
        <v>8</v>
      </c>
      <c r="G38">
        <v>26</v>
      </c>
      <c r="H38">
        <v>0</v>
      </c>
      <c r="I38">
        <v>11</v>
      </c>
      <c r="J38" s="52"/>
    </row>
    <row r="39" spans="1:10" hidden="1" x14ac:dyDescent="0.35">
      <c r="A39" s="2">
        <v>44255</v>
      </c>
      <c r="B39" t="s">
        <v>13</v>
      </c>
      <c r="C39" t="s">
        <v>23</v>
      </c>
      <c r="E39">
        <v>26</v>
      </c>
      <c r="F39">
        <v>0</v>
      </c>
      <c r="G39">
        <v>11</v>
      </c>
      <c r="H39">
        <v>1</v>
      </c>
      <c r="I39">
        <v>6</v>
      </c>
      <c r="J39" s="52"/>
    </row>
    <row r="40" spans="1:10" hidden="1" x14ac:dyDescent="0.35">
      <c r="A40" s="2">
        <v>44255</v>
      </c>
      <c r="B40" t="s">
        <v>41</v>
      </c>
      <c r="C40" t="s">
        <v>23</v>
      </c>
      <c r="E40">
        <v>21</v>
      </c>
      <c r="F40">
        <v>17</v>
      </c>
      <c r="G40">
        <v>6</v>
      </c>
      <c r="H40">
        <v>1</v>
      </c>
      <c r="I40">
        <v>7</v>
      </c>
      <c r="J40" s="52"/>
    </row>
    <row r="41" spans="1:10" hidden="1" x14ac:dyDescent="0.35">
      <c r="A41" s="2">
        <v>44255</v>
      </c>
      <c r="B41" t="s">
        <v>41</v>
      </c>
      <c r="C41" t="s">
        <v>24</v>
      </c>
      <c r="E41">
        <v>0</v>
      </c>
      <c r="F41">
        <v>0</v>
      </c>
      <c r="G41">
        <v>13</v>
      </c>
      <c r="I41">
        <v>8</v>
      </c>
      <c r="J41" s="52"/>
    </row>
    <row r="42" spans="1:10" hidden="1" x14ac:dyDescent="0.35">
      <c r="A42" s="2">
        <v>44255</v>
      </c>
      <c r="B42" t="s">
        <v>12</v>
      </c>
      <c r="C42" t="s">
        <v>24</v>
      </c>
      <c r="E42">
        <v>82</v>
      </c>
      <c r="F42">
        <v>11</v>
      </c>
      <c r="G42">
        <v>21</v>
      </c>
      <c r="I42">
        <v>12</v>
      </c>
      <c r="J42" s="52"/>
    </row>
    <row r="43" spans="1:10" hidden="1" x14ac:dyDescent="0.35">
      <c r="A43" s="2">
        <v>44255</v>
      </c>
      <c r="B43" t="s">
        <v>12</v>
      </c>
      <c r="C43" t="s">
        <v>37</v>
      </c>
      <c r="E43">
        <v>7</v>
      </c>
      <c r="F43">
        <v>0</v>
      </c>
      <c r="G43">
        <v>5</v>
      </c>
      <c r="H43">
        <v>0</v>
      </c>
      <c r="I43">
        <v>2</v>
      </c>
      <c r="J43" s="52"/>
    </row>
    <row r="44" spans="1:10" hidden="1" x14ac:dyDescent="0.35">
      <c r="A44" s="2">
        <v>44255</v>
      </c>
      <c r="B44" t="s">
        <v>16</v>
      </c>
      <c r="C44" t="s">
        <v>37</v>
      </c>
      <c r="E44">
        <v>61</v>
      </c>
      <c r="F44">
        <v>9</v>
      </c>
      <c r="G44">
        <v>63</v>
      </c>
      <c r="H44">
        <v>8</v>
      </c>
      <c r="I44">
        <v>17</v>
      </c>
      <c r="J44" s="52"/>
    </row>
    <row r="45" spans="1:10" hidden="1" x14ac:dyDescent="0.35">
      <c r="A45" s="2">
        <v>44255</v>
      </c>
      <c r="B45" t="s">
        <v>40</v>
      </c>
      <c r="C45" t="s">
        <v>19</v>
      </c>
      <c r="E45">
        <v>42</v>
      </c>
      <c r="F45">
        <v>5</v>
      </c>
      <c r="G45">
        <v>6</v>
      </c>
      <c r="H45">
        <v>0</v>
      </c>
      <c r="I45">
        <v>6</v>
      </c>
      <c r="J45" s="52"/>
    </row>
    <row r="46" spans="1:10" hidden="1" x14ac:dyDescent="0.35">
      <c r="A46" s="2">
        <v>44255</v>
      </c>
      <c r="B46" t="s">
        <v>42</v>
      </c>
      <c r="C46" t="s">
        <v>19</v>
      </c>
      <c r="E46">
        <v>29</v>
      </c>
      <c r="F46">
        <v>1</v>
      </c>
      <c r="G46">
        <v>7</v>
      </c>
      <c r="H46">
        <v>0</v>
      </c>
      <c r="I46">
        <v>10</v>
      </c>
      <c r="J46" s="52"/>
    </row>
    <row r="47" spans="1:10" hidden="1" x14ac:dyDescent="0.35">
      <c r="A47" s="2">
        <v>44255</v>
      </c>
      <c r="B47" t="s">
        <v>39</v>
      </c>
      <c r="C47" t="s">
        <v>22</v>
      </c>
      <c r="E47">
        <v>9</v>
      </c>
      <c r="F47">
        <v>8</v>
      </c>
      <c r="G47">
        <v>19</v>
      </c>
      <c r="I47">
        <v>11</v>
      </c>
      <c r="J47" s="52"/>
    </row>
    <row r="48" spans="1:10" hidden="1" x14ac:dyDescent="0.35">
      <c r="A48" s="2">
        <v>44255</v>
      </c>
      <c r="B48" t="s">
        <v>8</v>
      </c>
      <c r="C48" t="s">
        <v>22</v>
      </c>
      <c r="E48">
        <v>19</v>
      </c>
      <c r="F48">
        <v>1</v>
      </c>
      <c r="G48">
        <v>16</v>
      </c>
      <c r="I48">
        <v>8</v>
      </c>
      <c r="J48" s="52"/>
    </row>
    <row r="49" spans="1:10" hidden="1" x14ac:dyDescent="0.35">
      <c r="A49" s="2">
        <v>44255</v>
      </c>
      <c r="B49" t="s">
        <v>43</v>
      </c>
      <c r="C49" t="s">
        <v>27</v>
      </c>
      <c r="E49">
        <v>56</v>
      </c>
      <c r="F49">
        <v>0</v>
      </c>
      <c r="G49">
        <v>30</v>
      </c>
      <c r="H49">
        <v>0</v>
      </c>
      <c r="I49">
        <v>22</v>
      </c>
      <c r="J49" s="52"/>
    </row>
    <row r="50" spans="1:10" hidden="1" x14ac:dyDescent="0.35">
      <c r="A50" s="2">
        <v>44255</v>
      </c>
      <c r="B50" t="s">
        <v>15</v>
      </c>
      <c r="C50" t="s">
        <v>9</v>
      </c>
      <c r="E50">
        <v>31</v>
      </c>
      <c r="F50">
        <v>2</v>
      </c>
      <c r="G50">
        <v>55</v>
      </c>
      <c r="H50">
        <v>2</v>
      </c>
      <c r="I50">
        <v>11</v>
      </c>
      <c r="J50" s="52"/>
    </row>
    <row r="51" spans="1:10" hidden="1" x14ac:dyDescent="0.35">
      <c r="A51" s="2">
        <v>44255</v>
      </c>
      <c r="B51" t="s">
        <v>14</v>
      </c>
      <c r="C51" t="s">
        <v>21</v>
      </c>
      <c r="E51">
        <v>16</v>
      </c>
      <c r="F51">
        <v>3</v>
      </c>
      <c r="G51">
        <v>25</v>
      </c>
      <c r="H51">
        <v>11</v>
      </c>
      <c r="I51">
        <v>19</v>
      </c>
      <c r="J51" s="52"/>
    </row>
    <row r="52" spans="1:10" hidden="1" x14ac:dyDescent="0.35">
      <c r="A52" s="2">
        <v>44255</v>
      </c>
      <c r="C52" t="s">
        <v>24</v>
      </c>
      <c r="D52">
        <v>473</v>
      </c>
      <c r="J52" s="52">
        <v>280960</v>
      </c>
    </row>
    <row r="53" spans="1:10" hidden="1" x14ac:dyDescent="0.35">
      <c r="A53" s="2">
        <v>44255</v>
      </c>
      <c r="C53" t="s">
        <v>9</v>
      </c>
      <c r="D53">
        <v>320</v>
      </c>
      <c r="J53" s="52">
        <v>151800</v>
      </c>
    </row>
    <row r="54" spans="1:10" hidden="1" x14ac:dyDescent="0.35">
      <c r="A54" s="2">
        <v>44255</v>
      </c>
      <c r="C54" t="s">
        <v>37</v>
      </c>
      <c r="D54">
        <v>858</v>
      </c>
      <c r="J54" s="52">
        <v>265800</v>
      </c>
    </row>
    <row r="55" spans="1:10" hidden="1" x14ac:dyDescent="0.35">
      <c r="A55" s="2">
        <v>44255</v>
      </c>
      <c r="C55" t="s">
        <v>23</v>
      </c>
      <c r="D55">
        <v>360</v>
      </c>
      <c r="J55" s="52">
        <f>14450+14450+14000+14450+14000+13000+12000+14450+14450+14000+14450+14450+13000</f>
        <v>181150</v>
      </c>
    </row>
    <row r="56" spans="1:10" hidden="1" x14ac:dyDescent="0.35">
      <c r="A56" s="2">
        <v>44255</v>
      </c>
      <c r="C56" t="s">
        <v>27</v>
      </c>
      <c r="D56">
        <v>460</v>
      </c>
      <c r="J56" s="52">
        <v>323450</v>
      </c>
    </row>
    <row r="57" spans="1:10" hidden="1" x14ac:dyDescent="0.35">
      <c r="A57" s="2">
        <v>44255</v>
      </c>
      <c r="C57" t="s">
        <v>26</v>
      </c>
      <c r="D57">
        <v>223</v>
      </c>
      <c r="J57" s="52">
        <v>128700</v>
      </c>
    </row>
    <row r="58" spans="1:10" hidden="1" x14ac:dyDescent="0.35">
      <c r="A58" s="2">
        <v>44255</v>
      </c>
      <c r="C58" t="s">
        <v>20</v>
      </c>
      <c r="D58">
        <v>646</v>
      </c>
      <c r="J58" s="52">
        <v>340250</v>
      </c>
    </row>
    <row r="59" spans="1:10" hidden="1" x14ac:dyDescent="0.35">
      <c r="A59" s="2">
        <v>44255</v>
      </c>
      <c r="C59" t="s">
        <v>25</v>
      </c>
      <c r="D59">
        <v>282</v>
      </c>
      <c r="J59" s="52">
        <f>14450+13500+14000+13000+12000+12000+13000+12500+13000+12500+13500</f>
        <v>143450</v>
      </c>
    </row>
    <row r="60" spans="1:10" hidden="1" x14ac:dyDescent="0.35">
      <c r="A60" s="2">
        <v>44255</v>
      </c>
      <c r="C60" t="s">
        <v>19</v>
      </c>
      <c r="D60">
        <v>500</v>
      </c>
      <c r="J60" s="52">
        <v>203300</v>
      </c>
    </row>
    <row r="61" spans="1:10" hidden="1" x14ac:dyDescent="0.35">
      <c r="A61" s="2">
        <v>44255</v>
      </c>
      <c r="C61" t="s">
        <v>21</v>
      </c>
      <c r="D61">
        <v>413</v>
      </c>
      <c r="J61" s="52">
        <v>249750</v>
      </c>
    </row>
    <row r="62" spans="1:10" hidden="1" x14ac:dyDescent="0.35">
      <c r="A62" s="2">
        <v>44255</v>
      </c>
      <c r="C62" t="s">
        <v>18</v>
      </c>
      <c r="D62">
        <v>1007</v>
      </c>
      <c r="J62" s="52">
        <f>15900+14450+13000+13000+13500+13500+13500+14800+14150+13000+14450+14450+15900+14450+12500+13000+13000+12500+13000+14000+12500+13000</f>
        <v>301550</v>
      </c>
    </row>
    <row r="63" spans="1:10" hidden="1" x14ac:dyDescent="0.35">
      <c r="A63" s="2">
        <v>44255</v>
      </c>
      <c r="C63" t="s">
        <v>22</v>
      </c>
      <c r="D63">
        <v>461</v>
      </c>
      <c r="J63" s="52">
        <v>238000</v>
      </c>
    </row>
    <row r="64" spans="1:10" hidden="1" x14ac:dyDescent="0.35">
      <c r="A64" s="2">
        <v>44286</v>
      </c>
      <c r="B64" t="s">
        <v>36</v>
      </c>
      <c r="C64" t="s">
        <v>20</v>
      </c>
      <c r="E64">
        <v>37</v>
      </c>
      <c r="F64">
        <v>30</v>
      </c>
      <c r="G64">
        <v>30</v>
      </c>
      <c r="H64">
        <v>3</v>
      </c>
      <c r="I64">
        <v>21</v>
      </c>
      <c r="J64" s="52"/>
    </row>
    <row r="65" spans="1:10" hidden="1" x14ac:dyDescent="0.35">
      <c r="A65" s="2">
        <v>44286</v>
      </c>
      <c r="B65" t="s">
        <v>17</v>
      </c>
      <c r="C65" t="s">
        <v>20</v>
      </c>
      <c r="E65">
        <v>20</v>
      </c>
      <c r="F65">
        <v>22</v>
      </c>
      <c r="G65">
        <v>12</v>
      </c>
      <c r="H65">
        <v>0</v>
      </c>
      <c r="I65">
        <v>15</v>
      </c>
      <c r="J65" s="52"/>
    </row>
    <row r="66" spans="1:10" hidden="1" x14ac:dyDescent="0.35">
      <c r="A66" s="2">
        <v>44286</v>
      </c>
      <c r="B66" t="s">
        <v>17</v>
      </c>
      <c r="C66" t="s">
        <v>26</v>
      </c>
      <c r="E66">
        <v>30</v>
      </c>
      <c r="F66">
        <v>18</v>
      </c>
      <c r="G66">
        <v>32</v>
      </c>
      <c r="H66">
        <v>6</v>
      </c>
      <c r="I66">
        <v>9</v>
      </c>
      <c r="J66" s="52"/>
    </row>
    <row r="67" spans="1:10" hidden="1" x14ac:dyDescent="0.35">
      <c r="A67" s="2">
        <v>44286</v>
      </c>
      <c r="B67" t="s">
        <v>11</v>
      </c>
      <c r="C67" t="s">
        <v>18</v>
      </c>
      <c r="E67">
        <v>16</v>
      </c>
      <c r="F67">
        <v>26</v>
      </c>
      <c r="G67">
        <v>42</v>
      </c>
      <c r="H67">
        <v>30</v>
      </c>
      <c r="I67">
        <v>17</v>
      </c>
      <c r="J67" s="52"/>
    </row>
    <row r="68" spans="1:10" hidden="1" x14ac:dyDescent="0.35">
      <c r="A68" s="2">
        <v>44286</v>
      </c>
      <c r="B68" t="s">
        <v>38</v>
      </c>
      <c r="C68" t="s">
        <v>18</v>
      </c>
      <c r="E68">
        <v>45</v>
      </c>
      <c r="F68">
        <v>39</v>
      </c>
      <c r="G68">
        <v>14</v>
      </c>
      <c r="H68">
        <v>12</v>
      </c>
      <c r="I68">
        <v>13</v>
      </c>
      <c r="J68" s="52"/>
    </row>
    <row r="69" spans="1:10" hidden="1" x14ac:dyDescent="0.35">
      <c r="A69" s="2">
        <v>44286</v>
      </c>
      <c r="B69" t="s">
        <v>13</v>
      </c>
      <c r="C69" t="s">
        <v>25</v>
      </c>
      <c r="E69">
        <v>54</v>
      </c>
      <c r="F69">
        <v>11</v>
      </c>
      <c r="G69">
        <v>34</v>
      </c>
      <c r="H69">
        <v>2</v>
      </c>
      <c r="I69">
        <v>14</v>
      </c>
      <c r="J69" s="52"/>
    </row>
    <row r="70" spans="1:10" hidden="1" x14ac:dyDescent="0.35">
      <c r="A70" s="2">
        <v>44286</v>
      </c>
      <c r="B70" t="s">
        <v>13</v>
      </c>
      <c r="C70" t="s">
        <v>23</v>
      </c>
      <c r="E70">
        <v>23</v>
      </c>
      <c r="F70">
        <v>9</v>
      </c>
      <c r="G70">
        <v>20</v>
      </c>
      <c r="I70">
        <v>5</v>
      </c>
      <c r="J70" s="52"/>
    </row>
    <row r="71" spans="1:10" hidden="1" x14ac:dyDescent="0.35">
      <c r="A71" s="2">
        <v>44286</v>
      </c>
      <c r="B71" t="s">
        <v>41</v>
      </c>
      <c r="C71" t="s">
        <v>23</v>
      </c>
      <c r="E71">
        <v>33</v>
      </c>
      <c r="F71">
        <v>17</v>
      </c>
      <c r="G71">
        <v>16</v>
      </c>
      <c r="H71">
        <v>2</v>
      </c>
      <c r="I71">
        <v>5</v>
      </c>
      <c r="J71" s="52"/>
    </row>
    <row r="72" spans="1:10" hidden="1" x14ac:dyDescent="0.35">
      <c r="A72" s="2">
        <v>44286</v>
      </c>
      <c r="B72" t="s">
        <v>41</v>
      </c>
      <c r="C72" t="s">
        <v>24</v>
      </c>
      <c r="E72">
        <v>0</v>
      </c>
      <c r="F72">
        <v>0</v>
      </c>
      <c r="G72">
        <v>12</v>
      </c>
      <c r="I72">
        <v>3</v>
      </c>
      <c r="J72" s="52"/>
    </row>
    <row r="73" spans="1:10" hidden="1" x14ac:dyDescent="0.35">
      <c r="A73" s="2">
        <v>44286</v>
      </c>
      <c r="B73" t="s">
        <v>12</v>
      </c>
      <c r="C73" t="s">
        <v>24</v>
      </c>
      <c r="E73">
        <v>58</v>
      </c>
      <c r="F73">
        <v>14</v>
      </c>
      <c r="G73">
        <v>31</v>
      </c>
      <c r="I73">
        <v>19</v>
      </c>
      <c r="J73" s="52"/>
    </row>
    <row r="74" spans="1:10" hidden="1" x14ac:dyDescent="0.35">
      <c r="A74" s="2">
        <v>44286</v>
      </c>
      <c r="B74" t="s">
        <v>12</v>
      </c>
      <c r="C74" t="s">
        <v>37</v>
      </c>
      <c r="E74">
        <v>3</v>
      </c>
      <c r="F74">
        <v>0</v>
      </c>
      <c r="G74">
        <v>3</v>
      </c>
      <c r="I74">
        <v>5</v>
      </c>
      <c r="J74" s="52"/>
    </row>
    <row r="75" spans="1:10" hidden="1" x14ac:dyDescent="0.35">
      <c r="A75" s="2">
        <v>44286</v>
      </c>
      <c r="B75" t="s">
        <v>16</v>
      </c>
      <c r="C75" t="s">
        <v>37</v>
      </c>
      <c r="E75">
        <v>60</v>
      </c>
      <c r="F75">
        <v>20</v>
      </c>
      <c r="G75">
        <v>60</v>
      </c>
      <c r="H75">
        <v>17</v>
      </c>
      <c r="I75">
        <v>21</v>
      </c>
      <c r="J75" s="52"/>
    </row>
    <row r="76" spans="1:10" hidden="1" x14ac:dyDescent="0.35">
      <c r="A76" s="2">
        <v>44286</v>
      </c>
      <c r="B76" t="s">
        <v>50</v>
      </c>
      <c r="C76" t="s">
        <v>37</v>
      </c>
      <c r="E76">
        <v>70</v>
      </c>
      <c r="F76">
        <v>39</v>
      </c>
      <c r="G76">
        <v>1</v>
      </c>
      <c r="H76">
        <v>0</v>
      </c>
      <c r="I76">
        <v>0</v>
      </c>
      <c r="J76" s="52"/>
    </row>
    <row r="77" spans="1:10" hidden="1" x14ac:dyDescent="0.35">
      <c r="A77" s="2">
        <v>44286</v>
      </c>
      <c r="B77" t="s">
        <v>40</v>
      </c>
      <c r="C77" t="s">
        <v>19</v>
      </c>
      <c r="E77">
        <v>23</v>
      </c>
      <c r="F77">
        <v>8</v>
      </c>
      <c r="G77">
        <v>6</v>
      </c>
      <c r="H77">
        <v>1</v>
      </c>
      <c r="I77">
        <v>8</v>
      </c>
      <c r="J77" s="52"/>
    </row>
    <row r="78" spans="1:10" hidden="1" x14ac:dyDescent="0.35">
      <c r="A78" s="2">
        <v>44286</v>
      </c>
      <c r="B78" t="s">
        <v>42</v>
      </c>
      <c r="C78" t="s">
        <v>19</v>
      </c>
      <c r="E78">
        <v>54</v>
      </c>
      <c r="F78">
        <v>7</v>
      </c>
      <c r="G78">
        <v>11</v>
      </c>
      <c r="H78">
        <v>2</v>
      </c>
      <c r="I78">
        <v>12</v>
      </c>
      <c r="J78" s="52"/>
    </row>
    <row r="79" spans="1:10" hidden="1" x14ac:dyDescent="0.35">
      <c r="A79" s="2">
        <v>44286</v>
      </c>
      <c r="B79" t="s">
        <v>39</v>
      </c>
      <c r="C79" t="s">
        <v>22</v>
      </c>
      <c r="E79">
        <v>40</v>
      </c>
      <c r="F79">
        <v>15</v>
      </c>
      <c r="G79">
        <v>18</v>
      </c>
      <c r="I79">
        <v>9</v>
      </c>
      <c r="J79" s="52"/>
    </row>
    <row r="80" spans="1:10" hidden="1" x14ac:dyDescent="0.35">
      <c r="A80" s="2">
        <v>44286</v>
      </c>
      <c r="B80" t="s">
        <v>8</v>
      </c>
      <c r="C80" t="s">
        <v>22</v>
      </c>
      <c r="E80">
        <v>12</v>
      </c>
      <c r="F80">
        <v>8</v>
      </c>
      <c r="G80">
        <v>20</v>
      </c>
      <c r="I80">
        <v>11</v>
      </c>
      <c r="J80" s="52"/>
    </row>
    <row r="81" spans="1:10" hidden="1" x14ac:dyDescent="0.35">
      <c r="A81" s="2">
        <v>44286</v>
      </c>
      <c r="B81" t="s">
        <v>43</v>
      </c>
      <c r="C81" t="s">
        <v>27</v>
      </c>
      <c r="E81">
        <v>46</v>
      </c>
      <c r="F81">
        <v>0</v>
      </c>
      <c r="G81">
        <v>22</v>
      </c>
      <c r="H81">
        <v>0</v>
      </c>
      <c r="I81">
        <v>23</v>
      </c>
      <c r="J81" s="52"/>
    </row>
    <row r="82" spans="1:10" hidden="1" x14ac:dyDescent="0.35">
      <c r="A82" s="2">
        <v>44286</v>
      </c>
      <c r="B82" t="s">
        <v>15</v>
      </c>
      <c r="C82" t="s">
        <v>9</v>
      </c>
      <c r="E82">
        <v>0</v>
      </c>
      <c r="F82">
        <v>0</v>
      </c>
      <c r="G82">
        <v>11</v>
      </c>
      <c r="H82">
        <v>0</v>
      </c>
      <c r="I82">
        <v>0</v>
      </c>
      <c r="J82" s="52"/>
    </row>
    <row r="83" spans="1:10" hidden="1" x14ac:dyDescent="0.35">
      <c r="A83" s="2">
        <v>44286</v>
      </c>
      <c r="B83" t="s">
        <v>49</v>
      </c>
      <c r="C83" t="s">
        <v>9</v>
      </c>
      <c r="E83">
        <v>73</v>
      </c>
      <c r="F83">
        <v>4</v>
      </c>
      <c r="G83">
        <v>24</v>
      </c>
      <c r="H83">
        <v>0</v>
      </c>
      <c r="I83">
        <v>17</v>
      </c>
      <c r="J83" s="52"/>
    </row>
    <row r="84" spans="1:10" hidden="1" x14ac:dyDescent="0.35">
      <c r="A84" s="2">
        <v>44286</v>
      </c>
      <c r="B84" t="s">
        <v>14</v>
      </c>
      <c r="C84" t="s">
        <v>21</v>
      </c>
      <c r="E84">
        <v>22</v>
      </c>
      <c r="F84">
        <v>15</v>
      </c>
      <c r="G84">
        <v>9</v>
      </c>
      <c r="H84">
        <v>8</v>
      </c>
      <c r="I84">
        <v>15</v>
      </c>
      <c r="J84" s="52"/>
    </row>
    <row r="85" spans="1:10" hidden="1" x14ac:dyDescent="0.35">
      <c r="A85" s="2">
        <v>44286</v>
      </c>
      <c r="C85" t="s">
        <v>24</v>
      </c>
      <c r="D85">
        <v>448</v>
      </c>
      <c r="J85" s="52">
        <v>272950</v>
      </c>
    </row>
    <row r="86" spans="1:10" hidden="1" x14ac:dyDescent="0.35">
      <c r="A86" s="2">
        <v>44286</v>
      </c>
      <c r="C86" t="s">
        <v>9</v>
      </c>
      <c r="D86">
        <v>358</v>
      </c>
      <c r="J86" s="52">
        <v>246640</v>
      </c>
    </row>
    <row r="87" spans="1:10" hidden="1" x14ac:dyDescent="0.35">
      <c r="A87" s="2">
        <v>44286</v>
      </c>
      <c r="C87" t="s">
        <v>37</v>
      </c>
      <c r="D87">
        <v>804</v>
      </c>
      <c r="J87" s="52">
        <v>379050</v>
      </c>
    </row>
    <row r="88" spans="1:10" hidden="1" x14ac:dyDescent="0.35">
      <c r="A88" s="2">
        <v>44286</v>
      </c>
      <c r="C88" t="s">
        <v>23</v>
      </c>
      <c r="D88">
        <v>517</v>
      </c>
      <c r="J88" s="52">
        <f>14000+14450+12000+14450+14450+12000+14450+13900+12000+14450</f>
        <v>136150</v>
      </c>
    </row>
    <row r="89" spans="1:10" hidden="1" x14ac:dyDescent="0.35">
      <c r="A89" s="2">
        <v>44286</v>
      </c>
      <c r="C89" t="s">
        <v>27</v>
      </c>
      <c r="D89">
        <v>448</v>
      </c>
      <c r="J89" s="52">
        <v>308150</v>
      </c>
    </row>
    <row r="90" spans="1:10" hidden="1" x14ac:dyDescent="0.35">
      <c r="A90" s="2">
        <v>44286</v>
      </c>
      <c r="C90" t="s">
        <v>26</v>
      </c>
      <c r="D90">
        <v>283</v>
      </c>
      <c r="J90" s="52">
        <v>114950</v>
      </c>
    </row>
    <row r="91" spans="1:10" hidden="1" x14ac:dyDescent="0.35">
      <c r="A91" s="2">
        <v>44286</v>
      </c>
      <c r="C91" t="s">
        <v>20</v>
      </c>
      <c r="D91">
        <v>615</v>
      </c>
      <c r="J91" s="52">
        <v>483250</v>
      </c>
    </row>
    <row r="92" spans="1:10" hidden="1" x14ac:dyDescent="0.35">
      <c r="A92" s="2">
        <v>44286</v>
      </c>
      <c r="C92" t="s">
        <v>25</v>
      </c>
      <c r="D92">
        <v>321</v>
      </c>
      <c r="J92" s="52">
        <v>197415</v>
      </c>
    </row>
    <row r="93" spans="1:10" hidden="1" x14ac:dyDescent="0.35">
      <c r="A93" s="2">
        <v>44286</v>
      </c>
      <c r="C93" t="s">
        <v>19</v>
      </c>
      <c r="D93">
        <v>463</v>
      </c>
      <c r="J93" s="52">
        <v>280000</v>
      </c>
    </row>
    <row r="94" spans="1:10" hidden="1" x14ac:dyDescent="0.35">
      <c r="A94" s="2">
        <v>44286</v>
      </c>
      <c r="C94" t="s">
        <v>21</v>
      </c>
      <c r="D94">
        <v>438</v>
      </c>
      <c r="J94" s="52">
        <f>13000+14450+12000+13000+13000+13000+14450+15900+14450+13000+15900+14500+13000+12000+15900</f>
        <v>207550</v>
      </c>
    </row>
    <row r="95" spans="1:10" hidden="1" x14ac:dyDescent="0.35">
      <c r="A95" s="2">
        <v>44286</v>
      </c>
      <c r="C95" t="s">
        <v>18</v>
      </c>
      <c r="D95">
        <v>823</v>
      </c>
      <c r="J95" s="52">
        <v>399450</v>
      </c>
    </row>
    <row r="96" spans="1:10" hidden="1" x14ac:dyDescent="0.35">
      <c r="A96" s="2">
        <v>44286</v>
      </c>
      <c r="C96" t="s">
        <v>22</v>
      </c>
      <c r="D96">
        <v>437</v>
      </c>
      <c r="J96" s="52">
        <f>13000+13000+12000+14000+12000+13000+13000+13000+13000+13000+13000+13000+13000+13000+12000+13000+14000+13000+13000+13000</f>
        <v>259000</v>
      </c>
    </row>
    <row r="97" spans="1:10" hidden="1" x14ac:dyDescent="0.35">
      <c r="A97" s="2">
        <v>44316</v>
      </c>
      <c r="B97" t="s">
        <v>36</v>
      </c>
      <c r="C97" t="s">
        <v>20</v>
      </c>
      <c r="E97">
        <v>59</v>
      </c>
      <c r="F97">
        <v>15</v>
      </c>
      <c r="G97">
        <v>49</v>
      </c>
      <c r="H97">
        <v>6</v>
      </c>
      <c r="I97">
        <v>26</v>
      </c>
      <c r="J97" s="52"/>
    </row>
    <row r="98" spans="1:10" hidden="1" x14ac:dyDescent="0.35">
      <c r="A98" s="2">
        <v>44316</v>
      </c>
      <c r="B98" t="s">
        <v>17</v>
      </c>
      <c r="C98" t="s">
        <v>20</v>
      </c>
      <c r="E98">
        <v>22</v>
      </c>
      <c r="F98">
        <v>6</v>
      </c>
      <c r="G98">
        <v>28</v>
      </c>
      <c r="H98">
        <v>1</v>
      </c>
      <c r="I98">
        <v>8</v>
      </c>
      <c r="J98" s="52"/>
    </row>
    <row r="99" spans="1:10" hidden="1" x14ac:dyDescent="0.35">
      <c r="A99" s="2">
        <v>44316</v>
      </c>
      <c r="B99" t="s">
        <v>17</v>
      </c>
      <c r="C99" t="s">
        <v>26</v>
      </c>
      <c r="E99">
        <v>53</v>
      </c>
      <c r="F99">
        <v>6</v>
      </c>
      <c r="G99">
        <v>23</v>
      </c>
      <c r="H99">
        <v>4</v>
      </c>
      <c r="I99">
        <v>11</v>
      </c>
      <c r="J99" s="52"/>
    </row>
    <row r="100" spans="1:10" hidden="1" x14ac:dyDescent="0.35">
      <c r="A100" s="2">
        <v>44316</v>
      </c>
      <c r="B100" t="s">
        <v>11</v>
      </c>
      <c r="C100" t="s">
        <v>18</v>
      </c>
      <c r="E100">
        <v>19</v>
      </c>
      <c r="F100">
        <v>15</v>
      </c>
      <c r="G100">
        <v>41</v>
      </c>
      <c r="H100">
        <v>9</v>
      </c>
      <c r="I100">
        <v>18</v>
      </c>
      <c r="J100" s="52"/>
    </row>
    <row r="101" spans="1:10" hidden="1" x14ac:dyDescent="0.35">
      <c r="A101" s="2">
        <v>44316</v>
      </c>
      <c r="B101" t="s">
        <v>38</v>
      </c>
      <c r="C101" t="s">
        <v>18</v>
      </c>
      <c r="E101">
        <v>19</v>
      </c>
      <c r="F101">
        <v>54</v>
      </c>
      <c r="G101">
        <v>34</v>
      </c>
      <c r="H101">
        <v>2</v>
      </c>
      <c r="I101">
        <v>17</v>
      </c>
      <c r="J101" s="52"/>
    </row>
    <row r="102" spans="1:10" hidden="1" x14ac:dyDescent="0.35">
      <c r="A102" s="2">
        <v>44316</v>
      </c>
      <c r="B102" t="s">
        <v>13</v>
      </c>
      <c r="C102" t="s">
        <v>25</v>
      </c>
      <c r="E102">
        <v>31</v>
      </c>
      <c r="F102">
        <v>5</v>
      </c>
      <c r="G102">
        <v>22</v>
      </c>
      <c r="H102">
        <v>3</v>
      </c>
      <c r="I102">
        <v>11</v>
      </c>
      <c r="J102" s="52"/>
    </row>
    <row r="103" spans="1:10" hidden="1" x14ac:dyDescent="0.35">
      <c r="A103" s="2">
        <v>44316</v>
      </c>
      <c r="B103" t="s">
        <v>13</v>
      </c>
      <c r="C103" t="s">
        <v>23</v>
      </c>
      <c r="E103">
        <v>6</v>
      </c>
      <c r="F103">
        <v>0</v>
      </c>
      <c r="G103">
        <v>2</v>
      </c>
      <c r="H103">
        <v>0</v>
      </c>
      <c r="I103">
        <v>5</v>
      </c>
      <c r="J103" s="52"/>
    </row>
    <row r="104" spans="1:10" hidden="1" x14ac:dyDescent="0.35">
      <c r="A104" s="2">
        <v>44316</v>
      </c>
      <c r="B104" t="s">
        <v>41</v>
      </c>
      <c r="C104" t="s">
        <v>23</v>
      </c>
      <c r="E104">
        <v>59</v>
      </c>
      <c r="F104">
        <v>13</v>
      </c>
      <c r="G104">
        <v>11</v>
      </c>
      <c r="H104">
        <v>2</v>
      </c>
      <c r="I104">
        <v>10</v>
      </c>
      <c r="J104" s="52"/>
    </row>
    <row r="105" spans="1:10" hidden="1" x14ac:dyDescent="0.35">
      <c r="A105" s="2">
        <v>44316</v>
      </c>
      <c r="B105" t="s">
        <v>12</v>
      </c>
      <c r="C105" t="s">
        <v>24</v>
      </c>
      <c r="E105">
        <v>50</v>
      </c>
      <c r="F105">
        <v>7</v>
      </c>
      <c r="G105">
        <v>32</v>
      </c>
      <c r="H105">
        <v>3</v>
      </c>
      <c r="I105">
        <v>21</v>
      </c>
      <c r="J105" s="52"/>
    </row>
    <row r="106" spans="1:10" hidden="1" x14ac:dyDescent="0.35">
      <c r="A106" s="2">
        <v>44316</v>
      </c>
      <c r="B106" t="s">
        <v>12</v>
      </c>
      <c r="C106" t="s">
        <v>37</v>
      </c>
      <c r="E106">
        <v>0</v>
      </c>
      <c r="F106">
        <v>0</v>
      </c>
      <c r="G106">
        <v>4</v>
      </c>
      <c r="H106">
        <v>1</v>
      </c>
      <c r="I106">
        <v>2</v>
      </c>
      <c r="J106" s="52"/>
    </row>
    <row r="107" spans="1:10" hidden="1" x14ac:dyDescent="0.35">
      <c r="A107" s="2">
        <v>44316</v>
      </c>
      <c r="B107" t="s">
        <v>16</v>
      </c>
      <c r="C107" t="s">
        <v>37</v>
      </c>
      <c r="E107">
        <v>51</v>
      </c>
      <c r="F107">
        <v>11</v>
      </c>
      <c r="G107">
        <v>41</v>
      </c>
      <c r="H107">
        <v>10</v>
      </c>
      <c r="I107">
        <v>19</v>
      </c>
      <c r="J107" s="52"/>
    </row>
    <row r="108" spans="1:10" hidden="1" x14ac:dyDescent="0.35">
      <c r="A108" s="2">
        <v>44316</v>
      </c>
      <c r="B108" t="s">
        <v>50</v>
      </c>
      <c r="C108" t="s">
        <v>37</v>
      </c>
      <c r="E108">
        <v>32</v>
      </c>
      <c r="F108">
        <v>12</v>
      </c>
      <c r="G108">
        <v>10</v>
      </c>
      <c r="H108">
        <v>1</v>
      </c>
      <c r="I108">
        <v>20</v>
      </c>
      <c r="J108" s="52"/>
    </row>
    <row r="109" spans="1:10" hidden="1" x14ac:dyDescent="0.35">
      <c r="A109" s="2">
        <v>44316</v>
      </c>
      <c r="B109" t="s">
        <v>40</v>
      </c>
      <c r="C109" t="s">
        <v>19</v>
      </c>
      <c r="E109">
        <v>46</v>
      </c>
      <c r="F109">
        <v>4</v>
      </c>
      <c r="G109">
        <v>17</v>
      </c>
      <c r="H109">
        <v>1</v>
      </c>
      <c r="I109">
        <v>12</v>
      </c>
      <c r="J109" s="52"/>
    </row>
    <row r="110" spans="1:10" hidden="1" x14ac:dyDescent="0.35">
      <c r="A110" s="2">
        <v>44316</v>
      </c>
      <c r="B110" t="s">
        <v>42</v>
      </c>
      <c r="C110" t="s">
        <v>19</v>
      </c>
      <c r="E110">
        <v>36</v>
      </c>
      <c r="F110">
        <v>4</v>
      </c>
      <c r="G110">
        <v>25</v>
      </c>
      <c r="H110">
        <v>0</v>
      </c>
      <c r="I110">
        <v>10</v>
      </c>
      <c r="J110" s="52"/>
    </row>
    <row r="111" spans="1:10" hidden="1" x14ac:dyDescent="0.35">
      <c r="A111" s="2">
        <v>44316</v>
      </c>
      <c r="B111" t="s">
        <v>39</v>
      </c>
      <c r="C111" t="s">
        <v>22</v>
      </c>
      <c r="E111">
        <v>16</v>
      </c>
      <c r="F111">
        <v>6</v>
      </c>
      <c r="G111">
        <v>7</v>
      </c>
      <c r="H111">
        <v>7</v>
      </c>
      <c r="I111">
        <v>11</v>
      </c>
      <c r="J111" s="52"/>
    </row>
    <row r="112" spans="1:10" hidden="1" x14ac:dyDescent="0.35">
      <c r="A112" s="2">
        <v>44316</v>
      </c>
      <c r="B112" t="s">
        <v>8</v>
      </c>
      <c r="C112" t="s">
        <v>22</v>
      </c>
      <c r="E112">
        <v>5</v>
      </c>
      <c r="F112">
        <v>6</v>
      </c>
      <c r="G112">
        <v>1</v>
      </c>
      <c r="H112">
        <v>3</v>
      </c>
      <c r="I112">
        <v>9</v>
      </c>
      <c r="J112" s="52"/>
    </row>
    <row r="113" spans="1:10" hidden="1" x14ac:dyDescent="0.35">
      <c r="A113" s="2">
        <v>44316</v>
      </c>
      <c r="B113" t="s">
        <v>43</v>
      </c>
      <c r="C113" t="s">
        <v>27</v>
      </c>
      <c r="E113">
        <v>51</v>
      </c>
      <c r="F113">
        <v>0</v>
      </c>
      <c r="G113">
        <v>40</v>
      </c>
      <c r="H113">
        <v>0</v>
      </c>
      <c r="I113">
        <v>24</v>
      </c>
      <c r="J113" s="52"/>
    </row>
    <row r="114" spans="1:10" hidden="1" x14ac:dyDescent="0.35">
      <c r="A114" s="2">
        <v>44316</v>
      </c>
      <c r="B114" t="s">
        <v>49</v>
      </c>
      <c r="C114" t="s">
        <v>9</v>
      </c>
      <c r="E114">
        <v>63</v>
      </c>
      <c r="F114">
        <v>0</v>
      </c>
      <c r="G114">
        <v>56</v>
      </c>
      <c r="H114">
        <v>0</v>
      </c>
      <c r="I114">
        <v>11</v>
      </c>
      <c r="J114" s="52"/>
    </row>
    <row r="115" spans="1:10" hidden="1" x14ac:dyDescent="0.35">
      <c r="A115" s="2">
        <v>44316</v>
      </c>
      <c r="B115" t="s">
        <v>14</v>
      </c>
      <c r="C115" t="s">
        <v>21</v>
      </c>
      <c r="E115">
        <v>19</v>
      </c>
      <c r="F115">
        <v>13</v>
      </c>
      <c r="G115">
        <v>9</v>
      </c>
      <c r="H115">
        <v>6</v>
      </c>
      <c r="I115">
        <v>17</v>
      </c>
      <c r="J115" s="52"/>
    </row>
    <row r="116" spans="1:10" hidden="1" x14ac:dyDescent="0.35">
      <c r="A116" s="2">
        <v>44316</v>
      </c>
      <c r="C116" t="s">
        <v>24</v>
      </c>
      <c r="D116">
        <v>462</v>
      </c>
      <c r="J116" s="52">
        <v>249100</v>
      </c>
    </row>
    <row r="117" spans="1:10" hidden="1" x14ac:dyDescent="0.35">
      <c r="A117" s="2">
        <v>44316</v>
      </c>
      <c r="C117" t="s">
        <v>9</v>
      </c>
      <c r="D117">
        <v>353</v>
      </c>
      <c r="J117" s="52">
        <v>141350</v>
      </c>
    </row>
    <row r="118" spans="1:10" hidden="1" x14ac:dyDescent="0.35">
      <c r="A118" s="2">
        <v>44316</v>
      </c>
      <c r="C118" t="s">
        <v>37</v>
      </c>
      <c r="D118">
        <v>661</v>
      </c>
      <c r="J118" s="52">
        <v>552800</v>
      </c>
    </row>
    <row r="119" spans="1:10" hidden="1" x14ac:dyDescent="0.35">
      <c r="A119" s="2">
        <v>44316</v>
      </c>
      <c r="C119" t="s">
        <v>23</v>
      </c>
      <c r="D119">
        <v>467</v>
      </c>
      <c r="J119" s="52">
        <v>176150</v>
      </c>
    </row>
    <row r="120" spans="1:10" hidden="1" x14ac:dyDescent="0.35">
      <c r="A120" s="2">
        <v>44316</v>
      </c>
      <c r="C120" t="s">
        <v>27</v>
      </c>
      <c r="D120">
        <v>491</v>
      </c>
      <c r="J120" s="52">
        <v>376200</v>
      </c>
    </row>
    <row r="121" spans="1:10" hidden="1" x14ac:dyDescent="0.35">
      <c r="A121" s="2">
        <v>44316</v>
      </c>
      <c r="C121" t="s">
        <v>26</v>
      </c>
      <c r="D121">
        <v>343</v>
      </c>
      <c r="J121" s="52">
        <v>132800</v>
      </c>
    </row>
    <row r="122" spans="1:10" hidden="1" x14ac:dyDescent="0.35">
      <c r="A122" s="2">
        <v>44316</v>
      </c>
      <c r="C122" t="s">
        <v>20</v>
      </c>
      <c r="D122">
        <v>633</v>
      </c>
      <c r="J122" s="52">
        <v>387450</v>
      </c>
    </row>
    <row r="123" spans="1:10" hidden="1" x14ac:dyDescent="0.35">
      <c r="A123" s="2">
        <v>44316</v>
      </c>
      <c r="C123" t="s">
        <v>25</v>
      </c>
      <c r="D123">
        <v>300</v>
      </c>
      <c r="J123" s="52">
        <v>131450</v>
      </c>
    </row>
    <row r="124" spans="1:10" hidden="1" x14ac:dyDescent="0.35">
      <c r="A124" s="2">
        <v>44316</v>
      </c>
      <c r="C124" t="s">
        <v>19</v>
      </c>
      <c r="D124">
        <v>456</v>
      </c>
      <c r="J124" s="52">
        <f>14000+13500+13500+14450+14450+15000+14450+14000+14000+13000+12000+15000+15900+14000+15000+13500+15900+14000+14000+14450+15000+14000</f>
        <v>313100</v>
      </c>
    </row>
    <row r="125" spans="1:10" hidden="1" x14ac:dyDescent="0.35">
      <c r="A125" s="2">
        <v>44316</v>
      </c>
      <c r="C125" t="s">
        <v>21</v>
      </c>
      <c r="D125">
        <v>461</v>
      </c>
      <c r="J125" s="52">
        <v>209500</v>
      </c>
    </row>
    <row r="126" spans="1:10" hidden="1" x14ac:dyDescent="0.35">
      <c r="A126" s="2">
        <v>44316</v>
      </c>
      <c r="C126" t="s">
        <v>18</v>
      </c>
      <c r="D126">
        <v>651</v>
      </c>
      <c r="J126" s="52">
        <v>462990</v>
      </c>
    </row>
    <row r="127" spans="1:10" hidden="1" x14ac:dyDescent="0.35">
      <c r="A127" s="2">
        <v>44316</v>
      </c>
      <c r="C127" t="s">
        <v>22</v>
      </c>
      <c r="D127">
        <v>407</v>
      </c>
      <c r="J127" s="52">
        <v>255850</v>
      </c>
    </row>
    <row r="128" spans="1:10" hidden="1" x14ac:dyDescent="0.35">
      <c r="A128" s="2">
        <v>44346</v>
      </c>
      <c r="C128" t="s">
        <v>24</v>
      </c>
      <c r="D128">
        <v>452</v>
      </c>
      <c r="J128" s="52">
        <v>242050</v>
      </c>
    </row>
    <row r="129" spans="1:10" hidden="1" x14ac:dyDescent="0.35">
      <c r="A129" s="2">
        <v>44346</v>
      </c>
      <c r="C129" t="s">
        <v>9</v>
      </c>
      <c r="D129">
        <v>239</v>
      </c>
      <c r="J129" s="52">
        <v>205150</v>
      </c>
    </row>
    <row r="130" spans="1:10" hidden="1" x14ac:dyDescent="0.35">
      <c r="A130" s="2">
        <v>44346</v>
      </c>
      <c r="C130" t="s">
        <v>37</v>
      </c>
      <c r="D130">
        <v>554</v>
      </c>
      <c r="J130" s="52">
        <v>542875</v>
      </c>
    </row>
    <row r="131" spans="1:10" hidden="1" x14ac:dyDescent="0.35">
      <c r="A131" s="2">
        <v>44346</v>
      </c>
      <c r="C131" t="s">
        <v>23</v>
      </c>
      <c r="D131">
        <v>345</v>
      </c>
      <c r="J131" s="52">
        <v>202950</v>
      </c>
    </row>
    <row r="132" spans="1:10" hidden="1" x14ac:dyDescent="0.35">
      <c r="A132" s="2">
        <v>44346</v>
      </c>
      <c r="C132" t="s">
        <v>27</v>
      </c>
      <c r="D132">
        <v>345</v>
      </c>
      <c r="J132" s="52">
        <v>351200</v>
      </c>
    </row>
    <row r="133" spans="1:10" hidden="1" x14ac:dyDescent="0.35">
      <c r="A133" s="2">
        <v>44346</v>
      </c>
      <c r="C133" t="s">
        <v>26</v>
      </c>
      <c r="D133">
        <v>259</v>
      </c>
      <c r="J133" s="52">
        <v>159800</v>
      </c>
    </row>
    <row r="134" spans="1:10" hidden="1" x14ac:dyDescent="0.35">
      <c r="A134" s="2">
        <v>44346</v>
      </c>
      <c r="C134" t="s">
        <v>20</v>
      </c>
      <c r="D134">
        <v>500</v>
      </c>
      <c r="J134" s="52">
        <v>457200</v>
      </c>
    </row>
    <row r="135" spans="1:10" hidden="1" x14ac:dyDescent="0.35">
      <c r="A135" s="2">
        <v>44346</v>
      </c>
      <c r="C135" t="s">
        <v>25</v>
      </c>
      <c r="D135">
        <v>239</v>
      </c>
      <c r="J135" s="52">
        <v>145950</v>
      </c>
    </row>
    <row r="136" spans="1:10" hidden="1" x14ac:dyDescent="0.35">
      <c r="A136" s="2">
        <v>44346</v>
      </c>
      <c r="C136" t="s">
        <v>19</v>
      </c>
      <c r="D136">
        <v>361</v>
      </c>
      <c r="J136" s="52">
        <v>345540</v>
      </c>
    </row>
    <row r="137" spans="1:10" hidden="1" x14ac:dyDescent="0.35">
      <c r="A137" s="2">
        <v>44346</v>
      </c>
      <c r="C137" t="s">
        <v>21</v>
      </c>
      <c r="D137">
        <v>306</v>
      </c>
      <c r="J137" s="52">
        <v>205050</v>
      </c>
    </row>
    <row r="138" spans="1:10" hidden="1" x14ac:dyDescent="0.35">
      <c r="A138" s="2">
        <v>44346</v>
      </c>
      <c r="C138" t="s">
        <v>18</v>
      </c>
      <c r="D138">
        <v>498</v>
      </c>
      <c r="J138" s="52">
        <v>475400</v>
      </c>
    </row>
    <row r="139" spans="1:10" hidden="1" x14ac:dyDescent="0.35">
      <c r="A139" s="2">
        <v>44346</v>
      </c>
      <c r="C139" t="s">
        <v>22</v>
      </c>
      <c r="D139">
        <v>296</v>
      </c>
      <c r="J139" s="52">
        <v>220400</v>
      </c>
    </row>
    <row r="140" spans="1:10" hidden="1" x14ac:dyDescent="0.35">
      <c r="A140" s="2">
        <v>44346</v>
      </c>
      <c r="B140" t="s">
        <v>36</v>
      </c>
      <c r="C140" t="s">
        <v>20</v>
      </c>
      <c r="E140">
        <v>49</v>
      </c>
      <c r="F140">
        <v>9</v>
      </c>
      <c r="G140">
        <v>56</v>
      </c>
      <c r="H140">
        <v>5</v>
      </c>
      <c r="I140">
        <v>29</v>
      </c>
      <c r="J140" s="52"/>
    </row>
    <row r="141" spans="1:10" hidden="1" x14ac:dyDescent="0.35">
      <c r="A141" s="2">
        <v>44346</v>
      </c>
      <c r="B141" t="s">
        <v>17</v>
      </c>
      <c r="C141" t="s">
        <v>20</v>
      </c>
      <c r="E141">
        <v>32</v>
      </c>
      <c r="F141">
        <v>0</v>
      </c>
      <c r="G141">
        <v>16</v>
      </c>
      <c r="H141">
        <v>0</v>
      </c>
      <c r="I141">
        <v>9</v>
      </c>
      <c r="J141" s="52"/>
    </row>
    <row r="142" spans="1:10" hidden="1" x14ac:dyDescent="0.35">
      <c r="A142" s="2">
        <v>44346</v>
      </c>
      <c r="B142" t="s">
        <v>17</v>
      </c>
      <c r="C142" t="s">
        <v>26</v>
      </c>
      <c r="E142">
        <v>26</v>
      </c>
      <c r="F142">
        <v>1</v>
      </c>
      <c r="G142">
        <v>24</v>
      </c>
      <c r="H142">
        <v>3</v>
      </c>
      <c r="I142">
        <v>14</v>
      </c>
      <c r="J142" s="52"/>
    </row>
    <row r="143" spans="1:10" hidden="1" x14ac:dyDescent="0.35">
      <c r="A143" s="2">
        <v>44346</v>
      </c>
      <c r="B143" t="s">
        <v>11</v>
      </c>
      <c r="C143" t="s">
        <v>18</v>
      </c>
      <c r="E143">
        <v>24</v>
      </c>
      <c r="F143">
        <v>15</v>
      </c>
      <c r="G143">
        <v>42</v>
      </c>
      <c r="H143">
        <v>9</v>
      </c>
      <c r="I143">
        <v>13</v>
      </c>
      <c r="J143" s="52"/>
    </row>
    <row r="144" spans="1:10" hidden="1" x14ac:dyDescent="0.35">
      <c r="A144" s="2">
        <v>44346</v>
      </c>
      <c r="B144" t="s">
        <v>38</v>
      </c>
      <c r="C144" t="s">
        <v>18</v>
      </c>
      <c r="E144">
        <v>36</v>
      </c>
      <c r="F144">
        <v>14</v>
      </c>
      <c r="G144">
        <v>23</v>
      </c>
      <c r="H144">
        <v>6</v>
      </c>
      <c r="I144">
        <v>21</v>
      </c>
      <c r="J144" s="52"/>
    </row>
    <row r="145" spans="1:10" hidden="1" x14ac:dyDescent="0.35">
      <c r="A145" s="2">
        <v>44346</v>
      </c>
      <c r="B145" t="s">
        <v>13</v>
      </c>
      <c r="C145" t="s">
        <v>25</v>
      </c>
      <c r="E145">
        <v>49</v>
      </c>
      <c r="F145">
        <v>11</v>
      </c>
      <c r="G145">
        <v>24</v>
      </c>
      <c r="H145">
        <v>3</v>
      </c>
      <c r="I145">
        <v>11</v>
      </c>
      <c r="J145" s="52"/>
    </row>
    <row r="146" spans="1:10" hidden="1" x14ac:dyDescent="0.35">
      <c r="A146" s="2">
        <v>44346</v>
      </c>
      <c r="B146" t="s">
        <v>13</v>
      </c>
      <c r="C146" t="s">
        <v>23</v>
      </c>
      <c r="E146">
        <v>18</v>
      </c>
      <c r="F146">
        <v>3</v>
      </c>
      <c r="G146">
        <v>22</v>
      </c>
      <c r="H146">
        <v>1</v>
      </c>
      <c r="I146">
        <v>3</v>
      </c>
      <c r="J146" s="52"/>
    </row>
    <row r="147" spans="1:10" hidden="1" x14ac:dyDescent="0.35">
      <c r="A147" s="2">
        <v>44346</v>
      </c>
      <c r="B147" t="s">
        <v>41</v>
      </c>
      <c r="C147" t="s">
        <v>23</v>
      </c>
      <c r="E147">
        <v>38</v>
      </c>
      <c r="F147">
        <v>3</v>
      </c>
      <c r="G147">
        <v>11</v>
      </c>
      <c r="H147">
        <v>1</v>
      </c>
      <c r="I147">
        <v>13</v>
      </c>
      <c r="J147" s="52"/>
    </row>
    <row r="148" spans="1:10" hidden="1" x14ac:dyDescent="0.35">
      <c r="A148" s="2">
        <v>44346</v>
      </c>
      <c r="B148" t="s">
        <v>12</v>
      </c>
      <c r="C148" t="s">
        <v>24</v>
      </c>
      <c r="E148">
        <v>32</v>
      </c>
      <c r="F148">
        <v>8</v>
      </c>
      <c r="G148">
        <v>17</v>
      </c>
      <c r="H148">
        <v>0</v>
      </c>
      <c r="I148">
        <v>21</v>
      </c>
      <c r="J148" s="52"/>
    </row>
    <row r="149" spans="1:10" hidden="1" x14ac:dyDescent="0.35">
      <c r="A149" s="2">
        <v>44346</v>
      </c>
      <c r="B149" t="s">
        <v>12</v>
      </c>
      <c r="C149" t="s">
        <v>37</v>
      </c>
      <c r="E149">
        <v>0</v>
      </c>
      <c r="F149">
        <v>2</v>
      </c>
      <c r="G149">
        <v>3</v>
      </c>
      <c r="H149">
        <v>1</v>
      </c>
      <c r="I149">
        <v>0</v>
      </c>
      <c r="J149" s="52"/>
    </row>
    <row r="150" spans="1:10" hidden="1" x14ac:dyDescent="0.35">
      <c r="A150" s="2">
        <v>44346</v>
      </c>
      <c r="B150" t="s">
        <v>16</v>
      </c>
      <c r="C150" t="s">
        <v>37</v>
      </c>
      <c r="E150">
        <v>46</v>
      </c>
      <c r="F150">
        <v>11</v>
      </c>
      <c r="G150">
        <v>60</v>
      </c>
      <c r="H150">
        <v>7</v>
      </c>
      <c r="I150">
        <v>26</v>
      </c>
      <c r="J150" s="52"/>
    </row>
    <row r="151" spans="1:10" hidden="1" x14ac:dyDescent="0.35">
      <c r="A151" s="2">
        <v>44346</v>
      </c>
      <c r="B151" t="s">
        <v>50</v>
      </c>
      <c r="C151" t="s">
        <v>37</v>
      </c>
      <c r="E151">
        <v>42</v>
      </c>
      <c r="F151">
        <v>11</v>
      </c>
      <c r="G151">
        <v>16</v>
      </c>
      <c r="H151">
        <v>3</v>
      </c>
      <c r="I151">
        <v>17</v>
      </c>
      <c r="J151" s="52"/>
    </row>
    <row r="152" spans="1:10" hidden="1" x14ac:dyDescent="0.35">
      <c r="A152" s="2">
        <v>44346</v>
      </c>
      <c r="B152" t="s">
        <v>40</v>
      </c>
      <c r="C152" t="s">
        <v>19</v>
      </c>
      <c r="E152">
        <v>37</v>
      </c>
      <c r="F152">
        <v>4</v>
      </c>
      <c r="G152">
        <v>12</v>
      </c>
      <c r="H152">
        <v>2</v>
      </c>
      <c r="I152">
        <v>15</v>
      </c>
      <c r="J152" s="52"/>
    </row>
    <row r="153" spans="1:10" hidden="1" x14ac:dyDescent="0.35">
      <c r="A153" s="2">
        <v>44346</v>
      </c>
      <c r="B153" t="s">
        <v>42</v>
      </c>
      <c r="C153" t="s">
        <v>19</v>
      </c>
      <c r="E153">
        <v>44</v>
      </c>
      <c r="F153">
        <v>2</v>
      </c>
      <c r="G153">
        <v>12</v>
      </c>
      <c r="H153">
        <v>0</v>
      </c>
      <c r="I153">
        <v>10</v>
      </c>
      <c r="J153" s="52"/>
    </row>
    <row r="154" spans="1:10" hidden="1" x14ac:dyDescent="0.35">
      <c r="A154" s="2">
        <v>44346</v>
      </c>
      <c r="B154" t="s">
        <v>39</v>
      </c>
      <c r="C154" t="s">
        <v>22</v>
      </c>
      <c r="E154">
        <v>21</v>
      </c>
      <c r="F154">
        <v>16</v>
      </c>
      <c r="G154">
        <v>9</v>
      </c>
      <c r="H154">
        <v>6</v>
      </c>
      <c r="I154">
        <v>10</v>
      </c>
      <c r="J154" s="52"/>
    </row>
    <row r="155" spans="1:10" hidden="1" x14ac:dyDescent="0.35">
      <c r="A155" s="2">
        <v>44346</v>
      </c>
      <c r="B155" t="s">
        <v>8</v>
      </c>
      <c r="C155" t="s">
        <v>22</v>
      </c>
      <c r="E155">
        <v>21</v>
      </c>
      <c r="F155">
        <v>7</v>
      </c>
      <c r="G155">
        <v>9</v>
      </c>
      <c r="H155">
        <v>3</v>
      </c>
      <c r="I155">
        <v>10</v>
      </c>
      <c r="J155" s="52"/>
    </row>
    <row r="156" spans="1:10" hidden="1" x14ac:dyDescent="0.35">
      <c r="A156" s="2">
        <v>44346</v>
      </c>
      <c r="B156" t="s">
        <v>43</v>
      </c>
      <c r="C156" t="s">
        <v>27</v>
      </c>
      <c r="E156">
        <v>40</v>
      </c>
      <c r="F156">
        <v>0</v>
      </c>
      <c r="G156">
        <v>42</v>
      </c>
      <c r="H156">
        <v>0</v>
      </c>
      <c r="I156">
        <v>23</v>
      </c>
      <c r="J156" s="52"/>
    </row>
    <row r="157" spans="1:10" hidden="1" x14ac:dyDescent="0.35">
      <c r="A157" s="2">
        <v>44346</v>
      </c>
      <c r="B157" t="s">
        <v>49</v>
      </c>
      <c r="C157" t="s">
        <v>9</v>
      </c>
      <c r="E157">
        <v>62</v>
      </c>
      <c r="F157">
        <v>3</v>
      </c>
      <c r="G157">
        <v>41</v>
      </c>
      <c r="H157">
        <v>3</v>
      </c>
      <c r="I157">
        <v>15</v>
      </c>
      <c r="J157" s="52"/>
    </row>
    <row r="158" spans="1:10" hidden="1" x14ac:dyDescent="0.35">
      <c r="A158" s="2">
        <v>44346</v>
      </c>
      <c r="B158" t="s">
        <v>14</v>
      </c>
      <c r="C158" t="s">
        <v>21</v>
      </c>
      <c r="E158">
        <v>30</v>
      </c>
      <c r="F158">
        <v>26</v>
      </c>
      <c r="G158">
        <v>15</v>
      </c>
      <c r="H158">
        <v>12</v>
      </c>
      <c r="I158">
        <v>16</v>
      </c>
      <c r="J158" s="52"/>
    </row>
    <row r="159" spans="1:10" hidden="1" x14ac:dyDescent="0.35">
      <c r="A159" s="2">
        <v>44377</v>
      </c>
      <c r="C159" t="s">
        <v>24</v>
      </c>
      <c r="D159">
        <v>532</v>
      </c>
      <c r="J159" s="52">
        <v>190050</v>
      </c>
    </row>
    <row r="160" spans="1:10" hidden="1" x14ac:dyDescent="0.35">
      <c r="A160" s="2">
        <v>44377</v>
      </c>
      <c r="C160" t="s">
        <v>9</v>
      </c>
      <c r="D160">
        <v>344</v>
      </c>
      <c r="J160" s="52">
        <v>357600</v>
      </c>
    </row>
    <row r="161" spans="1:10" hidden="1" x14ac:dyDescent="0.35">
      <c r="A161" s="2">
        <v>44377</v>
      </c>
      <c r="C161" t="s">
        <v>37</v>
      </c>
      <c r="D161">
        <v>777</v>
      </c>
      <c r="J161" s="52">
        <v>667600</v>
      </c>
    </row>
    <row r="162" spans="1:10" hidden="1" x14ac:dyDescent="0.35">
      <c r="A162" s="2">
        <v>44377</v>
      </c>
      <c r="C162" t="s">
        <v>23</v>
      </c>
      <c r="D162">
        <v>445</v>
      </c>
      <c r="J162" s="52">
        <v>218050</v>
      </c>
    </row>
    <row r="163" spans="1:10" hidden="1" x14ac:dyDescent="0.35">
      <c r="A163" s="2">
        <v>44377</v>
      </c>
      <c r="C163" t="s">
        <v>27</v>
      </c>
      <c r="D163">
        <v>426</v>
      </c>
      <c r="J163" s="52">
        <v>346450</v>
      </c>
    </row>
    <row r="164" spans="1:10" hidden="1" x14ac:dyDescent="0.35">
      <c r="A164" s="2">
        <v>44377</v>
      </c>
      <c r="C164" t="s">
        <v>26</v>
      </c>
      <c r="D164">
        <v>282</v>
      </c>
      <c r="J164" s="52">
        <v>258250</v>
      </c>
    </row>
    <row r="165" spans="1:10" hidden="1" x14ac:dyDescent="0.35">
      <c r="A165" s="2">
        <v>44377</v>
      </c>
      <c r="C165" t="s">
        <v>20</v>
      </c>
      <c r="D165">
        <v>586</v>
      </c>
      <c r="J165" s="52">
        <v>371150</v>
      </c>
    </row>
    <row r="166" spans="1:10" hidden="1" x14ac:dyDescent="0.35">
      <c r="A166" s="2">
        <v>44377</v>
      </c>
      <c r="C166" t="s">
        <v>25</v>
      </c>
      <c r="D166">
        <v>316</v>
      </c>
      <c r="J166" s="52">
        <v>257950</v>
      </c>
    </row>
    <row r="167" spans="1:10" hidden="1" x14ac:dyDescent="0.35">
      <c r="A167" s="2">
        <v>44377</v>
      </c>
      <c r="C167" t="s">
        <v>19</v>
      </c>
      <c r="D167">
        <v>451</v>
      </c>
      <c r="J167" s="52">
        <v>367150</v>
      </c>
    </row>
    <row r="168" spans="1:10" hidden="1" x14ac:dyDescent="0.35">
      <c r="A168" s="2">
        <v>44377</v>
      </c>
      <c r="C168" t="s">
        <v>21</v>
      </c>
      <c r="D168">
        <v>446</v>
      </c>
      <c r="J168" s="52">
        <v>288900</v>
      </c>
    </row>
    <row r="169" spans="1:10" hidden="1" x14ac:dyDescent="0.35">
      <c r="A169" s="2">
        <v>44377</v>
      </c>
      <c r="C169" t="s">
        <v>18</v>
      </c>
      <c r="D169">
        <v>558</v>
      </c>
      <c r="J169" s="52">
        <v>498400</v>
      </c>
    </row>
    <row r="170" spans="1:10" hidden="1" x14ac:dyDescent="0.35">
      <c r="A170" s="2">
        <v>44377</v>
      </c>
      <c r="C170" t="s">
        <v>22</v>
      </c>
      <c r="D170">
        <v>303</v>
      </c>
      <c r="J170" s="52">
        <v>237950</v>
      </c>
    </row>
    <row r="171" spans="1:10" hidden="1" x14ac:dyDescent="0.35">
      <c r="A171" s="2">
        <v>44377</v>
      </c>
      <c r="C171" t="s">
        <v>54</v>
      </c>
      <c r="D171">
        <v>416</v>
      </c>
      <c r="J171" s="52">
        <v>78850</v>
      </c>
    </row>
    <row r="172" spans="1:10" hidden="1" x14ac:dyDescent="0.35">
      <c r="A172" s="2">
        <v>44377</v>
      </c>
      <c r="C172" t="s">
        <v>55</v>
      </c>
      <c r="D172">
        <v>513</v>
      </c>
      <c r="J172" s="52">
        <v>38500</v>
      </c>
    </row>
    <row r="173" spans="1:10" hidden="1" x14ac:dyDescent="0.35">
      <c r="A173" s="2">
        <v>44377</v>
      </c>
      <c r="B173" t="s">
        <v>36</v>
      </c>
      <c r="C173" t="s">
        <v>20</v>
      </c>
      <c r="E173">
        <v>23</v>
      </c>
      <c r="F173">
        <v>5</v>
      </c>
      <c r="G173">
        <v>30</v>
      </c>
      <c r="H173">
        <v>2</v>
      </c>
      <c r="I173">
        <v>21</v>
      </c>
      <c r="J173" s="52"/>
    </row>
    <row r="174" spans="1:10" hidden="1" x14ac:dyDescent="0.35">
      <c r="A174" s="2">
        <v>44377</v>
      </c>
      <c r="B174" t="s">
        <v>17</v>
      </c>
      <c r="C174" t="s">
        <v>20</v>
      </c>
      <c r="E174">
        <v>25</v>
      </c>
      <c r="F174">
        <v>1</v>
      </c>
      <c r="G174">
        <v>20</v>
      </c>
      <c r="H174">
        <v>0</v>
      </c>
      <c r="I174">
        <v>8</v>
      </c>
      <c r="J174" s="52"/>
    </row>
    <row r="175" spans="1:10" hidden="1" x14ac:dyDescent="0.35">
      <c r="A175" s="2">
        <v>44377</v>
      </c>
      <c r="B175" t="s">
        <v>17</v>
      </c>
      <c r="C175" t="s">
        <v>26</v>
      </c>
      <c r="E175">
        <v>24</v>
      </c>
      <c r="F175">
        <v>2</v>
      </c>
      <c r="G175">
        <v>36</v>
      </c>
      <c r="H175">
        <v>6</v>
      </c>
      <c r="I175">
        <v>20</v>
      </c>
      <c r="J175" s="52"/>
    </row>
    <row r="176" spans="1:10" hidden="1" x14ac:dyDescent="0.35">
      <c r="A176" s="2">
        <v>44377</v>
      </c>
      <c r="B176" t="s">
        <v>11</v>
      </c>
      <c r="C176" t="s">
        <v>18</v>
      </c>
      <c r="E176">
        <v>40</v>
      </c>
      <c r="F176">
        <v>10</v>
      </c>
      <c r="G176">
        <v>49</v>
      </c>
      <c r="H176">
        <v>11</v>
      </c>
      <c r="I176">
        <v>16</v>
      </c>
      <c r="J176" s="52"/>
    </row>
    <row r="177" spans="1:10" hidden="1" x14ac:dyDescent="0.35">
      <c r="A177" s="2">
        <v>44377</v>
      </c>
      <c r="B177" t="s">
        <v>38</v>
      </c>
      <c r="C177" t="s">
        <v>18</v>
      </c>
      <c r="E177">
        <v>47</v>
      </c>
      <c r="F177">
        <v>21</v>
      </c>
      <c r="G177">
        <v>28</v>
      </c>
      <c r="H177">
        <v>6</v>
      </c>
      <c r="I177">
        <v>19</v>
      </c>
      <c r="J177" s="52"/>
    </row>
    <row r="178" spans="1:10" hidden="1" x14ac:dyDescent="0.35">
      <c r="A178" s="2">
        <v>44377</v>
      </c>
      <c r="B178" t="s">
        <v>13</v>
      </c>
      <c r="C178" t="s">
        <v>25</v>
      </c>
      <c r="E178">
        <v>40</v>
      </c>
      <c r="F178">
        <v>9</v>
      </c>
      <c r="G178">
        <v>38</v>
      </c>
      <c r="H178">
        <v>5</v>
      </c>
      <c r="I178">
        <v>20</v>
      </c>
      <c r="J178" s="52"/>
    </row>
    <row r="179" spans="1:10" hidden="1" x14ac:dyDescent="0.35">
      <c r="A179" s="2">
        <v>44377</v>
      </c>
      <c r="B179" t="s">
        <v>13</v>
      </c>
      <c r="C179" t="s">
        <v>23</v>
      </c>
      <c r="E179">
        <v>25</v>
      </c>
      <c r="F179">
        <v>4</v>
      </c>
      <c r="G179">
        <v>17</v>
      </c>
      <c r="H179">
        <v>2</v>
      </c>
      <c r="I179">
        <v>7</v>
      </c>
      <c r="J179" s="52"/>
    </row>
    <row r="180" spans="1:10" hidden="1" x14ac:dyDescent="0.35">
      <c r="A180" s="2">
        <v>44377</v>
      </c>
      <c r="B180" t="s">
        <v>41</v>
      </c>
      <c r="C180" t="s">
        <v>23</v>
      </c>
      <c r="E180">
        <v>52</v>
      </c>
      <c r="F180">
        <v>12</v>
      </c>
      <c r="G180">
        <v>16</v>
      </c>
      <c r="H180">
        <v>3</v>
      </c>
      <c r="I180">
        <v>9</v>
      </c>
      <c r="J180" s="52"/>
    </row>
    <row r="181" spans="1:10" hidden="1" x14ac:dyDescent="0.35">
      <c r="A181" s="2">
        <v>44377</v>
      </c>
      <c r="B181" t="s">
        <v>12</v>
      </c>
      <c r="C181" t="s">
        <v>24</v>
      </c>
      <c r="E181">
        <v>77</v>
      </c>
      <c r="F181">
        <v>8</v>
      </c>
      <c r="G181">
        <v>31</v>
      </c>
      <c r="H181">
        <v>0</v>
      </c>
      <c r="I181">
        <v>14</v>
      </c>
      <c r="J181" s="52"/>
    </row>
    <row r="182" spans="1:10" hidden="1" x14ac:dyDescent="0.35">
      <c r="A182" s="2">
        <v>44377</v>
      </c>
      <c r="B182" t="s">
        <v>12</v>
      </c>
      <c r="C182" t="s">
        <v>37</v>
      </c>
      <c r="E182">
        <v>5</v>
      </c>
      <c r="F182">
        <v>1</v>
      </c>
      <c r="G182">
        <v>4</v>
      </c>
      <c r="H182">
        <v>1</v>
      </c>
      <c r="I182">
        <v>0</v>
      </c>
      <c r="J182" s="52"/>
    </row>
    <row r="183" spans="1:10" hidden="1" x14ac:dyDescent="0.35">
      <c r="A183" s="2">
        <v>44377</v>
      </c>
      <c r="B183" t="s">
        <v>16</v>
      </c>
      <c r="C183" t="s">
        <v>37</v>
      </c>
      <c r="E183">
        <v>39</v>
      </c>
      <c r="F183">
        <v>7</v>
      </c>
      <c r="G183">
        <v>63</v>
      </c>
      <c r="H183">
        <v>2</v>
      </c>
      <c r="I183">
        <v>25</v>
      </c>
      <c r="J183" s="52"/>
    </row>
    <row r="184" spans="1:10" hidden="1" x14ac:dyDescent="0.35">
      <c r="A184" s="2">
        <v>44377</v>
      </c>
      <c r="B184" t="s">
        <v>50</v>
      </c>
      <c r="C184" t="s">
        <v>37</v>
      </c>
      <c r="E184">
        <v>43</v>
      </c>
      <c r="F184">
        <v>11</v>
      </c>
      <c r="G184">
        <v>22</v>
      </c>
      <c r="H184">
        <v>1</v>
      </c>
      <c r="I184">
        <v>19</v>
      </c>
      <c r="J184" s="52"/>
    </row>
    <row r="185" spans="1:10" hidden="1" x14ac:dyDescent="0.35">
      <c r="A185" s="2">
        <v>44377</v>
      </c>
      <c r="B185" t="s">
        <v>40</v>
      </c>
      <c r="C185" t="s">
        <v>19</v>
      </c>
      <c r="E185">
        <v>27</v>
      </c>
      <c r="F185">
        <v>2</v>
      </c>
      <c r="G185">
        <v>14</v>
      </c>
      <c r="H185">
        <v>0</v>
      </c>
      <c r="I185">
        <v>11</v>
      </c>
      <c r="J185" s="52"/>
    </row>
    <row r="186" spans="1:10" hidden="1" x14ac:dyDescent="0.35">
      <c r="A186" s="2">
        <v>44377</v>
      </c>
      <c r="B186" t="s">
        <v>42</v>
      </c>
      <c r="C186" t="s">
        <v>19</v>
      </c>
      <c r="E186">
        <v>24</v>
      </c>
      <c r="F186">
        <v>11</v>
      </c>
      <c r="G186">
        <v>24</v>
      </c>
      <c r="H186">
        <v>2</v>
      </c>
      <c r="I186">
        <v>15</v>
      </c>
      <c r="J186" s="52"/>
    </row>
    <row r="187" spans="1:10" hidden="1" x14ac:dyDescent="0.35">
      <c r="A187" s="2">
        <v>44377</v>
      </c>
      <c r="B187" t="s">
        <v>39</v>
      </c>
      <c r="C187" t="s">
        <v>22</v>
      </c>
      <c r="E187">
        <v>25</v>
      </c>
      <c r="F187">
        <v>10</v>
      </c>
      <c r="G187">
        <v>17</v>
      </c>
      <c r="H187">
        <v>5</v>
      </c>
      <c r="I187">
        <v>9</v>
      </c>
      <c r="J187" s="52"/>
    </row>
    <row r="188" spans="1:10" hidden="1" x14ac:dyDescent="0.35">
      <c r="A188" s="2">
        <v>44377</v>
      </c>
      <c r="B188" t="s">
        <v>8</v>
      </c>
      <c r="C188" t="s">
        <v>22</v>
      </c>
      <c r="E188">
        <v>37</v>
      </c>
      <c r="F188">
        <v>0</v>
      </c>
      <c r="G188">
        <v>18</v>
      </c>
      <c r="H188">
        <v>4</v>
      </c>
      <c r="I188">
        <v>9</v>
      </c>
      <c r="J188" s="52"/>
    </row>
    <row r="189" spans="1:10" hidden="1" x14ac:dyDescent="0.35">
      <c r="A189" s="2">
        <v>44377</v>
      </c>
      <c r="B189" t="s">
        <v>43</v>
      </c>
      <c r="C189" t="s">
        <v>27</v>
      </c>
      <c r="E189">
        <v>60</v>
      </c>
      <c r="F189">
        <v>2</v>
      </c>
      <c r="G189">
        <v>41</v>
      </c>
      <c r="H189">
        <v>0</v>
      </c>
      <c r="I189">
        <v>24</v>
      </c>
      <c r="J189" s="52"/>
    </row>
    <row r="190" spans="1:10" hidden="1" x14ac:dyDescent="0.35">
      <c r="A190" s="2">
        <v>44377</v>
      </c>
      <c r="B190" t="s">
        <v>49</v>
      </c>
      <c r="C190" t="s">
        <v>9</v>
      </c>
      <c r="E190">
        <v>61</v>
      </c>
      <c r="F190">
        <v>2</v>
      </c>
      <c r="G190">
        <v>39</v>
      </c>
      <c r="H190">
        <v>7</v>
      </c>
      <c r="I190">
        <v>24</v>
      </c>
      <c r="J190" s="52"/>
    </row>
    <row r="191" spans="1:10" hidden="1" x14ac:dyDescent="0.35">
      <c r="A191" s="2">
        <v>44377</v>
      </c>
      <c r="B191" t="s">
        <v>14</v>
      </c>
      <c r="C191" t="s">
        <v>21</v>
      </c>
      <c r="E191">
        <v>27</v>
      </c>
      <c r="F191">
        <v>19</v>
      </c>
      <c r="G191">
        <v>16</v>
      </c>
      <c r="H191">
        <v>11</v>
      </c>
      <c r="I191">
        <v>20</v>
      </c>
      <c r="J191" s="52"/>
    </row>
    <row r="192" spans="1:10" hidden="1" x14ac:dyDescent="0.35">
      <c r="A192" s="2">
        <v>44377</v>
      </c>
      <c r="B192" t="s">
        <v>56</v>
      </c>
      <c r="C192" t="s">
        <v>54</v>
      </c>
      <c r="E192">
        <v>42</v>
      </c>
      <c r="F192">
        <v>14</v>
      </c>
      <c r="G192">
        <v>3</v>
      </c>
      <c r="H192">
        <v>1</v>
      </c>
      <c r="I192">
        <v>6</v>
      </c>
      <c r="J192" s="52"/>
    </row>
    <row r="193" spans="1:10" hidden="1" x14ac:dyDescent="0.35">
      <c r="A193" s="2">
        <v>44377</v>
      </c>
      <c r="B193" t="s">
        <v>57</v>
      </c>
      <c r="C193" t="s">
        <v>55</v>
      </c>
      <c r="E193">
        <v>22</v>
      </c>
      <c r="F193">
        <v>12</v>
      </c>
      <c r="G193">
        <v>1</v>
      </c>
      <c r="H193">
        <v>1</v>
      </c>
      <c r="I193">
        <v>3</v>
      </c>
      <c r="J193" s="52"/>
    </row>
    <row r="194" spans="1:10" hidden="1" x14ac:dyDescent="0.35">
      <c r="A194" s="2">
        <v>44408</v>
      </c>
      <c r="C194" t="s">
        <v>24</v>
      </c>
      <c r="D194">
        <v>332</v>
      </c>
      <c r="J194" s="52">
        <v>308510</v>
      </c>
    </row>
    <row r="195" spans="1:10" hidden="1" x14ac:dyDescent="0.35">
      <c r="A195" s="2">
        <v>44408</v>
      </c>
      <c r="C195" t="s">
        <v>9</v>
      </c>
      <c r="D195">
        <v>252</v>
      </c>
      <c r="J195" s="52">
        <v>252210</v>
      </c>
    </row>
    <row r="196" spans="1:10" hidden="1" x14ac:dyDescent="0.35">
      <c r="A196" s="2">
        <v>44408</v>
      </c>
      <c r="C196" t="s">
        <v>37</v>
      </c>
      <c r="D196">
        <v>535</v>
      </c>
      <c r="J196" s="52">
        <v>698680</v>
      </c>
    </row>
    <row r="197" spans="1:10" hidden="1" x14ac:dyDescent="0.35">
      <c r="A197" s="2">
        <v>44408</v>
      </c>
      <c r="C197" t="s">
        <v>23</v>
      </c>
      <c r="D197">
        <v>345</v>
      </c>
      <c r="J197" s="52">
        <v>223300</v>
      </c>
    </row>
    <row r="198" spans="1:10" hidden="1" x14ac:dyDescent="0.35">
      <c r="A198" s="2">
        <v>44408</v>
      </c>
      <c r="C198" t="s">
        <v>27</v>
      </c>
      <c r="D198">
        <v>398</v>
      </c>
      <c r="J198" s="52">
        <v>470950</v>
      </c>
    </row>
    <row r="199" spans="1:10" hidden="1" x14ac:dyDescent="0.35">
      <c r="A199" s="2">
        <v>44408</v>
      </c>
      <c r="C199" t="s">
        <v>26</v>
      </c>
      <c r="D199">
        <v>274</v>
      </c>
      <c r="J199" s="52">
        <v>119800</v>
      </c>
    </row>
    <row r="200" spans="1:10" hidden="1" x14ac:dyDescent="0.35">
      <c r="A200" s="2">
        <v>44408</v>
      </c>
      <c r="C200" t="s">
        <v>20</v>
      </c>
      <c r="D200">
        <v>427</v>
      </c>
      <c r="J200" s="52">
        <v>242200</v>
      </c>
    </row>
    <row r="201" spans="1:10" hidden="1" x14ac:dyDescent="0.35">
      <c r="A201" s="2">
        <v>44408</v>
      </c>
      <c r="C201" t="s">
        <v>25</v>
      </c>
      <c r="D201">
        <v>231</v>
      </c>
      <c r="J201" s="52">
        <v>287450</v>
      </c>
    </row>
    <row r="202" spans="1:10" hidden="1" x14ac:dyDescent="0.35">
      <c r="A202" s="2">
        <v>44408</v>
      </c>
      <c r="C202" t="s">
        <v>19</v>
      </c>
      <c r="D202">
        <v>406</v>
      </c>
      <c r="J202" s="52">
        <v>365350</v>
      </c>
    </row>
    <row r="203" spans="1:10" hidden="1" x14ac:dyDescent="0.35">
      <c r="A203" s="2">
        <v>44408</v>
      </c>
      <c r="C203" t="s">
        <v>21</v>
      </c>
      <c r="D203">
        <v>349</v>
      </c>
      <c r="J203" s="52">
        <v>237900</v>
      </c>
    </row>
    <row r="204" spans="1:10" hidden="1" x14ac:dyDescent="0.35">
      <c r="A204" s="2">
        <v>44408</v>
      </c>
      <c r="C204" t="s">
        <v>18</v>
      </c>
      <c r="D204">
        <v>490</v>
      </c>
      <c r="J204" s="52">
        <v>521551</v>
      </c>
    </row>
    <row r="205" spans="1:10" hidden="1" x14ac:dyDescent="0.35">
      <c r="A205" s="2">
        <v>44408</v>
      </c>
      <c r="C205" t="s">
        <v>22</v>
      </c>
      <c r="D205">
        <v>175</v>
      </c>
      <c r="J205" s="52">
        <v>277000</v>
      </c>
    </row>
    <row r="206" spans="1:10" hidden="1" x14ac:dyDescent="0.35">
      <c r="A206" s="2">
        <v>44408</v>
      </c>
      <c r="C206" t="s">
        <v>54</v>
      </c>
      <c r="D206">
        <v>348</v>
      </c>
      <c r="J206" s="52">
        <v>137400</v>
      </c>
    </row>
    <row r="207" spans="1:10" hidden="1" x14ac:dyDescent="0.35">
      <c r="A207" s="2">
        <v>44408</v>
      </c>
      <c r="C207" t="s">
        <v>55</v>
      </c>
      <c r="D207">
        <v>453</v>
      </c>
      <c r="J207" s="52">
        <v>68000</v>
      </c>
    </row>
    <row r="208" spans="1:10" hidden="1" x14ac:dyDescent="0.35">
      <c r="A208" s="2">
        <v>44408</v>
      </c>
      <c r="B208" t="s">
        <v>36</v>
      </c>
      <c r="C208" t="s">
        <v>20</v>
      </c>
      <c r="E208">
        <v>46</v>
      </c>
      <c r="F208">
        <v>1</v>
      </c>
      <c r="G208">
        <v>58</v>
      </c>
      <c r="H208">
        <v>6</v>
      </c>
      <c r="I208">
        <v>14</v>
      </c>
      <c r="J208" s="52"/>
    </row>
    <row r="209" spans="1:10" hidden="1" x14ac:dyDescent="0.35">
      <c r="A209" s="2">
        <v>44408</v>
      </c>
      <c r="B209" t="s">
        <v>17</v>
      </c>
      <c r="C209" t="s">
        <v>20</v>
      </c>
      <c r="E209">
        <v>39</v>
      </c>
      <c r="F209">
        <v>1</v>
      </c>
      <c r="G209">
        <v>25</v>
      </c>
      <c r="H209">
        <v>3</v>
      </c>
      <c r="I209">
        <v>8</v>
      </c>
      <c r="J209" s="52"/>
    </row>
    <row r="210" spans="1:10" hidden="1" x14ac:dyDescent="0.35">
      <c r="A210" s="2">
        <v>44408</v>
      </c>
      <c r="B210" t="s">
        <v>17</v>
      </c>
      <c r="C210" t="s">
        <v>26</v>
      </c>
      <c r="E210">
        <v>20</v>
      </c>
      <c r="F210">
        <v>8</v>
      </c>
      <c r="G210">
        <v>30</v>
      </c>
      <c r="H210">
        <v>3</v>
      </c>
      <c r="I210">
        <v>9</v>
      </c>
      <c r="J210" s="52"/>
    </row>
    <row r="211" spans="1:10" hidden="1" x14ac:dyDescent="0.35">
      <c r="A211" s="2">
        <v>44408</v>
      </c>
      <c r="B211" t="s">
        <v>11</v>
      </c>
      <c r="C211" t="s">
        <v>18</v>
      </c>
      <c r="E211">
        <v>37</v>
      </c>
      <c r="F211">
        <v>22</v>
      </c>
      <c r="G211">
        <v>47</v>
      </c>
      <c r="H211">
        <v>13</v>
      </c>
      <c r="I211">
        <v>14</v>
      </c>
      <c r="J211" s="52"/>
    </row>
    <row r="212" spans="1:10" hidden="1" x14ac:dyDescent="0.35">
      <c r="A212" s="2">
        <v>44408</v>
      </c>
      <c r="B212" t="s">
        <v>38</v>
      </c>
      <c r="C212" t="s">
        <v>18</v>
      </c>
      <c r="E212">
        <v>35</v>
      </c>
      <c r="F212">
        <v>12</v>
      </c>
      <c r="G212">
        <v>41</v>
      </c>
      <c r="H212">
        <v>11</v>
      </c>
      <c r="I212">
        <v>23</v>
      </c>
      <c r="J212" s="52"/>
    </row>
    <row r="213" spans="1:10" hidden="1" x14ac:dyDescent="0.35">
      <c r="A213" s="2">
        <v>44408</v>
      </c>
      <c r="B213" t="s">
        <v>13</v>
      </c>
      <c r="C213" t="s">
        <v>25</v>
      </c>
      <c r="E213">
        <v>55</v>
      </c>
      <c r="F213">
        <v>4</v>
      </c>
      <c r="G213">
        <v>4</v>
      </c>
      <c r="H213">
        <v>31</v>
      </c>
      <c r="I213">
        <v>22</v>
      </c>
      <c r="J213" s="52"/>
    </row>
    <row r="214" spans="1:10" hidden="1" x14ac:dyDescent="0.35">
      <c r="A214" s="2">
        <v>44408</v>
      </c>
      <c r="B214" t="s">
        <v>13</v>
      </c>
      <c r="C214" t="s">
        <v>23</v>
      </c>
      <c r="E214">
        <v>10</v>
      </c>
      <c r="F214">
        <v>4</v>
      </c>
      <c r="G214">
        <v>7</v>
      </c>
      <c r="H214">
        <v>2</v>
      </c>
      <c r="I214">
        <v>3</v>
      </c>
      <c r="J214" s="52"/>
    </row>
    <row r="215" spans="1:10" hidden="1" x14ac:dyDescent="0.35">
      <c r="A215" s="2">
        <v>44408</v>
      </c>
      <c r="B215" t="s">
        <v>41</v>
      </c>
      <c r="C215" t="s">
        <v>23</v>
      </c>
      <c r="E215">
        <v>55</v>
      </c>
      <c r="F215">
        <v>5</v>
      </c>
      <c r="G215">
        <v>18</v>
      </c>
      <c r="H215">
        <v>4</v>
      </c>
      <c r="I215">
        <v>13</v>
      </c>
      <c r="J215" s="52"/>
    </row>
    <row r="216" spans="1:10" hidden="1" x14ac:dyDescent="0.35">
      <c r="A216" s="2">
        <v>44408</v>
      </c>
      <c r="B216" t="s">
        <v>12</v>
      </c>
      <c r="C216" t="s">
        <v>24</v>
      </c>
      <c r="E216">
        <v>72</v>
      </c>
      <c r="F216">
        <v>12</v>
      </c>
      <c r="G216">
        <v>42</v>
      </c>
      <c r="H216">
        <v>2</v>
      </c>
      <c r="I216">
        <v>22</v>
      </c>
      <c r="J216" s="52"/>
    </row>
    <row r="217" spans="1:10" hidden="1" x14ac:dyDescent="0.35">
      <c r="A217" s="2">
        <v>44408</v>
      </c>
      <c r="B217" t="s">
        <v>12</v>
      </c>
      <c r="C217" t="s">
        <v>37</v>
      </c>
      <c r="E217">
        <v>9</v>
      </c>
      <c r="F217">
        <v>8</v>
      </c>
      <c r="G217">
        <v>1</v>
      </c>
      <c r="H217">
        <v>0</v>
      </c>
      <c r="I217">
        <v>2</v>
      </c>
      <c r="J217" s="52"/>
    </row>
    <row r="218" spans="1:10" hidden="1" x14ac:dyDescent="0.35">
      <c r="A218" s="2">
        <v>44408</v>
      </c>
      <c r="B218" t="s">
        <v>16</v>
      </c>
      <c r="C218" t="s">
        <v>37</v>
      </c>
      <c r="E218">
        <v>13</v>
      </c>
      <c r="F218">
        <v>1</v>
      </c>
      <c r="G218">
        <v>33</v>
      </c>
      <c r="H218">
        <v>5</v>
      </c>
      <c r="I218">
        <v>35</v>
      </c>
      <c r="J218" s="52"/>
    </row>
    <row r="219" spans="1:10" hidden="1" x14ac:dyDescent="0.35">
      <c r="A219" s="2">
        <v>44408</v>
      </c>
      <c r="B219" t="s">
        <v>50</v>
      </c>
      <c r="C219" t="s">
        <v>37</v>
      </c>
      <c r="E219">
        <v>45</v>
      </c>
      <c r="F219">
        <v>9</v>
      </c>
      <c r="G219">
        <v>15</v>
      </c>
      <c r="H219">
        <v>4</v>
      </c>
      <c r="I219">
        <v>12</v>
      </c>
      <c r="J219" s="52"/>
    </row>
    <row r="220" spans="1:10" hidden="1" x14ac:dyDescent="0.35">
      <c r="A220" s="2">
        <v>44408</v>
      </c>
      <c r="B220" t="s">
        <v>40</v>
      </c>
      <c r="C220" t="s">
        <v>19</v>
      </c>
      <c r="E220">
        <v>51</v>
      </c>
      <c r="F220">
        <v>3</v>
      </c>
      <c r="G220">
        <v>23</v>
      </c>
      <c r="H220">
        <v>1</v>
      </c>
      <c r="I220">
        <v>13</v>
      </c>
      <c r="J220" s="52"/>
    </row>
    <row r="221" spans="1:10" hidden="1" x14ac:dyDescent="0.35">
      <c r="A221" s="2">
        <v>44408</v>
      </c>
      <c r="B221" t="s">
        <v>42</v>
      </c>
      <c r="C221" t="s">
        <v>19</v>
      </c>
      <c r="E221">
        <v>29</v>
      </c>
      <c r="F221">
        <v>3</v>
      </c>
      <c r="G221">
        <v>15</v>
      </c>
      <c r="H221">
        <v>0</v>
      </c>
      <c r="I221">
        <v>12</v>
      </c>
      <c r="J221" s="52"/>
    </row>
    <row r="222" spans="1:10" hidden="1" x14ac:dyDescent="0.35">
      <c r="A222" s="2">
        <v>44408</v>
      </c>
      <c r="B222" t="s">
        <v>39</v>
      </c>
      <c r="C222" t="s">
        <v>22</v>
      </c>
      <c r="E222">
        <v>14</v>
      </c>
      <c r="F222">
        <v>10</v>
      </c>
      <c r="G222">
        <v>8</v>
      </c>
      <c r="H222">
        <v>8</v>
      </c>
      <c r="I222">
        <v>10</v>
      </c>
      <c r="J222" s="52"/>
    </row>
    <row r="223" spans="1:10" hidden="1" x14ac:dyDescent="0.35">
      <c r="A223" s="2">
        <v>44408</v>
      </c>
      <c r="B223" t="s">
        <v>8</v>
      </c>
      <c r="C223" t="s">
        <v>22</v>
      </c>
      <c r="E223">
        <v>24</v>
      </c>
      <c r="F223">
        <v>5</v>
      </c>
      <c r="G223">
        <v>6</v>
      </c>
      <c r="H223">
        <v>3</v>
      </c>
      <c r="I223">
        <v>12</v>
      </c>
      <c r="J223" s="52"/>
    </row>
    <row r="224" spans="1:10" hidden="1" x14ac:dyDescent="0.35">
      <c r="A224" s="2">
        <v>44408</v>
      </c>
      <c r="B224" t="s">
        <v>43</v>
      </c>
      <c r="C224" t="s">
        <v>27</v>
      </c>
      <c r="E224">
        <v>62</v>
      </c>
      <c r="F224">
        <v>0</v>
      </c>
      <c r="G224">
        <v>42</v>
      </c>
      <c r="H224">
        <v>0</v>
      </c>
      <c r="I224">
        <v>33</v>
      </c>
      <c r="J224" s="52"/>
    </row>
    <row r="225" spans="1:10" hidden="1" x14ac:dyDescent="0.35">
      <c r="A225" s="2">
        <v>44408</v>
      </c>
      <c r="B225" t="s">
        <v>49</v>
      </c>
      <c r="C225" t="s">
        <v>9</v>
      </c>
      <c r="E225">
        <v>91</v>
      </c>
      <c r="F225">
        <v>1</v>
      </c>
      <c r="G225">
        <v>58</v>
      </c>
      <c r="H225">
        <v>2</v>
      </c>
      <c r="I225">
        <v>19</v>
      </c>
      <c r="J225" s="52"/>
    </row>
    <row r="226" spans="1:10" hidden="1" x14ac:dyDescent="0.35">
      <c r="A226" s="2">
        <v>44408</v>
      </c>
      <c r="B226" t="s">
        <v>14</v>
      </c>
      <c r="C226" t="s">
        <v>21</v>
      </c>
      <c r="E226">
        <v>23</v>
      </c>
      <c r="F226">
        <v>37</v>
      </c>
      <c r="G226">
        <v>17</v>
      </c>
      <c r="H226">
        <v>15</v>
      </c>
      <c r="I226">
        <v>23</v>
      </c>
      <c r="J226" s="52"/>
    </row>
    <row r="227" spans="1:10" hidden="1" x14ac:dyDescent="0.35">
      <c r="A227" s="2">
        <v>44408</v>
      </c>
      <c r="B227" t="s">
        <v>56</v>
      </c>
      <c r="C227" t="s">
        <v>54</v>
      </c>
      <c r="E227">
        <v>34</v>
      </c>
      <c r="F227">
        <v>7</v>
      </c>
      <c r="G227">
        <v>3</v>
      </c>
      <c r="H227">
        <v>5</v>
      </c>
      <c r="I227">
        <v>10</v>
      </c>
      <c r="J227" s="52"/>
    </row>
    <row r="228" spans="1:10" hidden="1" x14ac:dyDescent="0.35">
      <c r="A228" s="2">
        <v>44408</v>
      </c>
      <c r="B228" t="s">
        <v>57</v>
      </c>
      <c r="C228" t="s">
        <v>55</v>
      </c>
      <c r="E228">
        <v>45</v>
      </c>
      <c r="F228">
        <v>10</v>
      </c>
      <c r="G228">
        <v>4</v>
      </c>
      <c r="H228">
        <v>4</v>
      </c>
      <c r="I228">
        <v>5</v>
      </c>
      <c r="J228" s="52"/>
    </row>
    <row r="229" spans="1:10" hidden="1" x14ac:dyDescent="0.35">
      <c r="A229" s="2">
        <v>44439</v>
      </c>
      <c r="C229" t="s">
        <v>24</v>
      </c>
      <c r="D229">
        <v>306</v>
      </c>
      <c r="J229" s="52">
        <v>351900</v>
      </c>
    </row>
    <row r="230" spans="1:10" hidden="1" x14ac:dyDescent="0.35">
      <c r="A230" s="2">
        <v>44439</v>
      </c>
      <c r="C230" t="s">
        <v>9</v>
      </c>
      <c r="D230">
        <v>317</v>
      </c>
      <c r="J230" s="52">
        <v>217400</v>
      </c>
    </row>
    <row r="231" spans="1:10" hidden="1" x14ac:dyDescent="0.35">
      <c r="A231" s="2">
        <v>44439</v>
      </c>
      <c r="C231" t="s">
        <v>37</v>
      </c>
      <c r="D231">
        <v>356</v>
      </c>
      <c r="J231" s="52">
        <v>592900</v>
      </c>
    </row>
    <row r="232" spans="1:10" hidden="1" x14ac:dyDescent="0.35">
      <c r="A232" s="2">
        <v>44439</v>
      </c>
      <c r="C232" t="s">
        <v>23</v>
      </c>
      <c r="D232">
        <v>339</v>
      </c>
      <c r="J232" s="52">
        <v>213250</v>
      </c>
    </row>
    <row r="233" spans="1:10" hidden="1" x14ac:dyDescent="0.35">
      <c r="A233" s="2">
        <v>44439</v>
      </c>
      <c r="C233" t="s">
        <v>27</v>
      </c>
      <c r="D233">
        <v>398</v>
      </c>
      <c r="J233" s="52">
        <v>411200</v>
      </c>
    </row>
    <row r="234" spans="1:10" hidden="1" x14ac:dyDescent="0.35">
      <c r="A234" s="2">
        <v>44439</v>
      </c>
      <c r="C234" t="s">
        <v>26</v>
      </c>
      <c r="D234">
        <v>254</v>
      </c>
      <c r="J234" s="52">
        <v>161800</v>
      </c>
    </row>
    <row r="235" spans="1:10" hidden="1" x14ac:dyDescent="0.35">
      <c r="A235" s="2">
        <v>44439</v>
      </c>
      <c r="C235" t="s">
        <v>20</v>
      </c>
      <c r="D235">
        <v>415</v>
      </c>
      <c r="J235" s="52">
        <v>428200</v>
      </c>
    </row>
    <row r="236" spans="1:10" hidden="1" x14ac:dyDescent="0.35">
      <c r="A236" s="2">
        <v>44439</v>
      </c>
      <c r="C236" t="s">
        <v>25</v>
      </c>
      <c r="D236">
        <v>228</v>
      </c>
      <c r="J236" s="52">
        <v>244200</v>
      </c>
    </row>
    <row r="237" spans="1:10" hidden="1" x14ac:dyDescent="0.35">
      <c r="A237" s="2">
        <v>44439</v>
      </c>
      <c r="C237" t="s">
        <v>19</v>
      </c>
      <c r="D237">
        <v>360</v>
      </c>
      <c r="J237" s="52">
        <v>455350</v>
      </c>
    </row>
    <row r="238" spans="1:10" hidden="1" x14ac:dyDescent="0.35">
      <c r="A238" s="2">
        <v>44439</v>
      </c>
      <c r="C238" t="s">
        <v>21</v>
      </c>
      <c r="D238">
        <v>330</v>
      </c>
      <c r="J238" s="52">
        <v>248550</v>
      </c>
    </row>
    <row r="239" spans="1:10" hidden="1" x14ac:dyDescent="0.35">
      <c r="A239" s="2">
        <v>44439</v>
      </c>
      <c r="C239" t="s">
        <v>18</v>
      </c>
      <c r="D239">
        <v>528</v>
      </c>
      <c r="J239" s="52">
        <v>493885</v>
      </c>
    </row>
    <row r="240" spans="1:10" hidden="1" x14ac:dyDescent="0.35">
      <c r="A240" s="2">
        <v>44439</v>
      </c>
      <c r="C240" t="s">
        <v>22</v>
      </c>
      <c r="D240">
        <v>303</v>
      </c>
      <c r="J240" s="52">
        <v>264500</v>
      </c>
    </row>
    <row r="241" spans="1:10" hidden="1" x14ac:dyDescent="0.35">
      <c r="A241" s="2">
        <v>44439</v>
      </c>
      <c r="C241" t="s">
        <v>54</v>
      </c>
      <c r="D241">
        <v>353</v>
      </c>
      <c r="J241" s="52">
        <v>141200</v>
      </c>
    </row>
    <row r="242" spans="1:10" hidden="1" x14ac:dyDescent="0.35">
      <c r="A242" s="2">
        <v>44439</v>
      </c>
      <c r="C242" t="s">
        <v>55</v>
      </c>
      <c r="D242">
        <v>458</v>
      </c>
      <c r="J242" s="52">
        <v>133000</v>
      </c>
    </row>
    <row r="243" spans="1:10" hidden="1" x14ac:dyDescent="0.35">
      <c r="A243" s="2">
        <v>44439</v>
      </c>
      <c r="C243" t="s">
        <v>58</v>
      </c>
      <c r="D243">
        <v>265</v>
      </c>
      <c r="J243" s="52">
        <v>26000</v>
      </c>
    </row>
    <row r="244" spans="1:10" hidden="1" x14ac:dyDescent="0.35">
      <c r="A244" s="2">
        <v>44439</v>
      </c>
      <c r="B244" t="s">
        <v>36</v>
      </c>
      <c r="C244" t="s">
        <v>20</v>
      </c>
      <c r="E244">
        <v>50</v>
      </c>
      <c r="F244">
        <v>4</v>
      </c>
      <c r="G244">
        <v>54</v>
      </c>
      <c r="H244">
        <v>5</v>
      </c>
      <c r="I244">
        <v>23</v>
      </c>
      <c r="J244" s="52"/>
    </row>
    <row r="245" spans="1:10" hidden="1" x14ac:dyDescent="0.35">
      <c r="A245" s="2">
        <v>44439</v>
      </c>
      <c r="B245" t="s">
        <v>17</v>
      </c>
      <c r="C245" t="s">
        <v>20</v>
      </c>
      <c r="E245">
        <v>29</v>
      </c>
      <c r="F245">
        <v>1</v>
      </c>
      <c r="G245">
        <v>35</v>
      </c>
      <c r="H245">
        <v>1</v>
      </c>
      <c r="I245">
        <v>11</v>
      </c>
      <c r="J245" s="52"/>
    </row>
    <row r="246" spans="1:10" hidden="1" x14ac:dyDescent="0.35">
      <c r="A246" s="2">
        <v>44439</v>
      </c>
      <c r="B246" t="s">
        <v>17</v>
      </c>
      <c r="C246" t="s">
        <v>26</v>
      </c>
      <c r="E246">
        <v>24</v>
      </c>
      <c r="F246">
        <v>0</v>
      </c>
      <c r="G246">
        <v>27</v>
      </c>
      <c r="H246">
        <v>4</v>
      </c>
      <c r="I246">
        <v>12</v>
      </c>
      <c r="J246" s="52"/>
    </row>
    <row r="247" spans="1:10" hidden="1" x14ac:dyDescent="0.35">
      <c r="A247" s="2">
        <v>44439</v>
      </c>
      <c r="B247" t="s">
        <v>11</v>
      </c>
      <c r="C247" t="s">
        <v>18</v>
      </c>
      <c r="E247">
        <v>30</v>
      </c>
      <c r="F247">
        <v>16</v>
      </c>
      <c r="G247">
        <v>50</v>
      </c>
      <c r="H247">
        <v>10</v>
      </c>
      <c r="I247">
        <v>16</v>
      </c>
      <c r="J247" s="52"/>
    </row>
    <row r="248" spans="1:10" hidden="1" x14ac:dyDescent="0.35">
      <c r="A248" s="2">
        <v>44439</v>
      </c>
      <c r="B248" t="s">
        <v>38</v>
      </c>
      <c r="C248" t="s">
        <v>18</v>
      </c>
      <c r="E248">
        <v>40</v>
      </c>
      <c r="F248">
        <v>15</v>
      </c>
      <c r="G248">
        <v>35</v>
      </c>
      <c r="H248">
        <v>8</v>
      </c>
      <c r="I248">
        <v>19</v>
      </c>
      <c r="J248" s="52"/>
    </row>
    <row r="249" spans="1:10" hidden="1" x14ac:dyDescent="0.35">
      <c r="A249" s="2">
        <v>44439</v>
      </c>
      <c r="B249" t="s">
        <v>13</v>
      </c>
      <c r="C249" t="s">
        <v>25</v>
      </c>
      <c r="E249">
        <v>58</v>
      </c>
      <c r="F249">
        <v>6</v>
      </c>
      <c r="G249">
        <v>40</v>
      </c>
      <c r="H249">
        <v>9</v>
      </c>
      <c r="I249">
        <v>18</v>
      </c>
      <c r="J249" s="52"/>
    </row>
    <row r="250" spans="1:10" hidden="1" x14ac:dyDescent="0.35">
      <c r="A250" s="2">
        <v>44439</v>
      </c>
      <c r="B250" t="s">
        <v>13</v>
      </c>
      <c r="C250" t="s">
        <v>23</v>
      </c>
      <c r="E250">
        <v>27</v>
      </c>
      <c r="F250">
        <v>3</v>
      </c>
      <c r="G250">
        <v>20</v>
      </c>
      <c r="H250">
        <v>0</v>
      </c>
      <c r="I250">
        <v>9</v>
      </c>
      <c r="J250" s="52"/>
    </row>
    <row r="251" spans="1:10" hidden="1" x14ac:dyDescent="0.35">
      <c r="A251" s="2">
        <v>44439</v>
      </c>
      <c r="B251" t="s">
        <v>41</v>
      </c>
      <c r="C251" t="s">
        <v>23</v>
      </c>
      <c r="E251">
        <v>16</v>
      </c>
      <c r="F251">
        <v>8</v>
      </c>
      <c r="G251">
        <v>12</v>
      </c>
      <c r="H251">
        <v>0</v>
      </c>
      <c r="I251">
        <v>7</v>
      </c>
      <c r="J251" s="52"/>
    </row>
    <row r="252" spans="1:10" hidden="1" x14ac:dyDescent="0.35">
      <c r="A252" s="2">
        <v>44439</v>
      </c>
      <c r="B252" t="s">
        <v>12</v>
      </c>
      <c r="C252" t="s">
        <v>24</v>
      </c>
      <c r="E252">
        <v>32</v>
      </c>
      <c r="F252">
        <v>1</v>
      </c>
      <c r="G252">
        <v>24</v>
      </c>
      <c r="H252">
        <v>0</v>
      </c>
      <c r="I252">
        <v>25</v>
      </c>
      <c r="J252" s="52"/>
    </row>
    <row r="253" spans="1:10" hidden="1" x14ac:dyDescent="0.35">
      <c r="A253" s="2">
        <v>44439</v>
      </c>
      <c r="B253" t="s">
        <v>12</v>
      </c>
      <c r="C253" t="s">
        <v>37</v>
      </c>
      <c r="E253">
        <v>8</v>
      </c>
      <c r="F253">
        <v>28</v>
      </c>
      <c r="G253">
        <v>12</v>
      </c>
      <c r="H253">
        <v>3</v>
      </c>
      <c r="I253">
        <v>13</v>
      </c>
      <c r="J253" s="52"/>
    </row>
    <row r="254" spans="1:10" hidden="1" x14ac:dyDescent="0.35">
      <c r="A254" s="2">
        <v>44439</v>
      </c>
      <c r="B254" t="s">
        <v>16</v>
      </c>
      <c r="C254" t="s">
        <v>37</v>
      </c>
      <c r="E254">
        <v>10</v>
      </c>
      <c r="F254">
        <v>3</v>
      </c>
      <c r="G254">
        <v>43</v>
      </c>
      <c r="H254">
        <v>5</v>
      </c>
      <c r="I254">
        <v>10</v>
      </c>
      <c r="J254" s="52"/>
    </row>
    <row r="255" spans="1:10" hidden="1" x14ac:dyDescent="0.35">
      <c r="A255" s="2">
        <v>44439</v>
      </c>
      <c r="B255" t="s">
        <v>50</v>
      </c>
      <c r="C255" t="s">
        <v>37</v>
      </c>
      <c r="E255">
        <v>45</v>
      </c>
      <c r="F255">
        <v>14</v>
      </c>
      <c r="G255">
        <v>41</v>
      </c>
      <c r="H255">
        <v>11</v>
      </c>
      <c r="I255">
        <v>17</v>
      </c>
      <c r="J255" s="52"/>
    </row>
    <row r="256" spans="1:10" hidden="1" x14ac:dyDescent="0.35">
      <c r="A256" s="2">
        <v>44439</v>
      </c>
      <c r="B256" t="s">
        <v>40</v>
      </c>
      <c r="C256" t="s">
        <v>19</v>
      </c>
      <c r="E256">
        <v>25</v>
      </c>
      <c r="F256">
        <v>5</v>
      </c>
      <c r="G256">
        <v>22</v>
      </c>
      <c r="H256">
        <v>1</v>
      </c>
      <c r="I256">
        <v>13</v>
      </c>
      <c r="J256" s="52"/>
    </row>
    <row r="257" spans="1:10" hidden="1" x14ac:dyDescent="0.35">
      <c r="A257" s="2">
        <v>44439</v>
      </c>
      <c r="B257" t="s">
        <v>42</v>
      </c>
      <c r="C257" t="s">
        <v>19</v>
      </c>
      <c r="E257">
        <v>35</v>
      </c>
      <c r="F257">
        <v>2</v>
      </c>
      <c r="G257">
        <v>31</v>
      </c>
      <c r="H257">
        <v>1</v>
      </c>
      <c r="I257">
        <v>19</v>
      </c>
      <c r="J257" s="52"/>
    </row>
    <row r="258" spans="1:10" hidden="1" x14ac:dyDescent="0.35">
      <c r="A258" s="2">
        <v>44439</v>
      </c>
      <c r="B258" t="s">
        <v>39</v>
      </c>
      <c r="C258" t="s">
        <v>22</v>
      </c>
      <c r="E258">
        <v>26</v>
      </c>
      <c r="F258">
        <v>17</v>
      </c>
      <c r="G258">
        <v>19</v>
      </c>
      <c r="H258">
        <v>8</v>
      </c>
      <c r="I258">
        <v>10</v>
      </c>
      <c r="J258" s="52"/>
    </row>
    <row r="259" spans="1:10" hidden="1" x14ac:dyDescent="0.35">
      <c r="A259" s="2">
        <v>44439</v>
      </c>
      <c r="B259" t="s">
        <v>8</v>
      </c>
      <c r="C259" t="s">
        <v>22</v>
      </c>
      <c r="E259">
        <v>17</v>
      </c>
      <c r="F259">
        <v>7</v>
      </c>
      <c r="G259">
        <v>13</v>
      </c>
      <c r="H259">
        <v>2</v>
      </c>
      <c r="I259">
        <v>10</v>
      </c>
      <c r="J259" s="52"/>
    </row>
    <row r="260" spans="1:10" hidden="1" x14ac:dyDescent="0.35">
      <c r="A260" s="2">
        <v>44439</v>
      </c>
      <c r="B260" t="s">
        <v>43</v>
      </c>
      <c r="C260" t="s">
        <v>27</v>
      </c>
      <c r="E260">
        <v>44</v>
      </c>
      <c r="F260">
        <v>0</v>
      </c>
      <c r="G260">
        <v>43</v>
      </c>
      <c r="H260">
        <v>0</v>
      </c>
      <c r="I260">
        <v>28</v>
      </c>
      <c r="J260" s="52"/>
    </row>
    <row r="261" spans="1:10" hidden="1" x14ac:dyDescent="0.35">
      <c r="A261" s="2">
        <v>44439</v>
      </c>
      <c r="B261" t="s">
        <v>49</v>
      </c>
      <c r="C261" t="s">
        <v>9</v>
      </c>
      <c r="E261">
        <v>77</v>
      </c>
      <c r="F261">
        <v>2</v>
      </c>
      <c r="G261">
        <v>51</v>
      </c>
      <c r="H261">
        <v>2</v>
      </c>
      <c r="I261">
        <v>15</v>
      </c>
      <c r="J261" s="52"/>
    </row>
    <row r="262" spans="1:10" hidden="1" x14ac:dyDescent="0.35">
      <c r="A262" s="2">
        <v>44439</v>
      </c>
      <c r="B262" t="s">
        <v>14</v>
      </c>
      <c r="C262" t="s">
        <v>21</v>
      </c>
      <c r="E262">
        <v>23</v>
      </c>
      <c r="F262">
        <v>21</v>
      </c>
      <c r="G262">
        <v>18</v>
      </c>
      <c r="H262">
        <v>22</v>
      </c>
      <c r="I262">
        <v>18</v>
      </c>
      <c r="J262" s="52"/>
    </row>
    <row r="263" spans="1:10" hidden="1" x14ac:dyDescent="0.35">
      <c r="A263" s="2">
        <v>44439</v>
      </c>
      <c r="B263" t="s">
        <v>56</v>
      </c>
      <c r="C263" t="s">
        <v>54</v>
      </c>
      <c r="E263">
        <v>23</v>
      </c>
      <c r="F263">
        <v>6</v>
      </c>
      <c r="G263">
        <v>10</v>
      </c>
      <c r="H263">
        <v>4</v>
      </c>
      <c r="I263">
        <v>10</v>
      </c>
      <c r="J263" s="52"/>
    </row>
    <row r="264" spans="1:10" hidden="1" x14ac:dyDescent="0.35">
      <c r="A264" s="2">
        <v>44439</v>
      </c>
      <c r="B264" t="s">
        <v>57</v>
      </c>
      <c r="C264" t="s">
        <v>55</v>
      </c>
      <c r="E264">
        <v>22</v>
      </c>
      <c r="F264">
        <v>6</v>
      </c>
      <c r="G264">
        <v>8</v>
      </c>
      <c r="H264">
        <v>3</v>
      </c>
      <c r="I264">
        <v>10</v>
      </c>
      <c r="J264" s="52"/>
    </row>
    <row r="265" spans="1:10" hidden="1" x14ac:dyDescent="0.35">
      <c r="A265" s="2">
        <v>44439</v>
      </c>
      <c r="B265" t="s">
        <v>59</v>
      </c>
      <c r="C265" t="s">
        <v>58</v>
      </c>
      <c r="E265">
        <v>17</v>
      </c>
      <c r="F265">
        <v>19</v>
      </c>
      <c r="G265">
        <v>2</v>
      </c>
      <c r="H265">
        <v>0</v>
      </c>
      <c r="I265">
        <v>2</v>
      </c>
      <c r="J265" s="52"/>
    </row>
    <row r="266" spans="1:10" hidden="1" x14ac:dyDescent="0.35">
      <c r="A266" s="2">
        <v>44469</v>
      </c>
      <c r="C266" t="s">
        <v>24</v>
      </c>
      <c r="D266">
        <v>393</v>
      </c>
      <c r="J266" s="52">
        <v>385550</v>
      </c>
    </row>
    <row r="267" spans="1:10" hidden="1" x14ac:dyDescent="0.35">
      <c r="A267" s="2">
        <v>44469</v>
      </c>
      <c r="C267" t="s">
        <v>9</v>
      </c>
      <c r="D267">
        <v>339</v>
      </c>
      <c r="J267" s="52">
        <v>357900</v>
      </c>
    </row>
    <row r="268" spans="1:10" hidden="1" x14ac:dyDescent="0.35">
      <c r="A268" s="2">
        <v>44469</v>
      </c>
      <c r="C268" t="s">
        <v>37</v>
      </c>
      <c r="D268">
        <v>484</v>
      </c>
      <c r="J268" s="52">
        <v>458320</v>
      </c>
    </row>
    <row r="269" spans="1:10" hidden="1" x14ac:dyDescent="0.35">
      <c r="A269" s="2">
        <v>44469</v>
      </c>
      <c r="C269" t="s">
        <v>23</v>
      </c>
      <c r="D269">
        <v>417</v>
      </c>
      <c r="J269" s="52">
        <v>224450</v>
      </c>
    </row>
    <row r="270" spans="1:10" hidden="1" x14ac:dyDescent="0.35">
      <c r="A270" s="2">
        <v>44469</v>
      </c>
      <c r="C270" t="s">
        <v>27</v>
      </c>
      <c r="D270">
        <v>481</v>
      </c>
      <c r="J270" s="52">
        <v>328350</v>
      </c>
    </row>
    <row r="271" spans="1:10" hidden="1" x14ac:dyDescent="0.35">
      <c r="A271" s="2">
        <v>44469</v>
      </c>
      <c r="C271" t="s">
        <v>26</v>
      </c>
      <c r="D271">
        <v>325</v>
      </c>
      <c r="J271" s="52">
        <v>228950</v>
      </c>
    </row>
    <row r="272" spans="1:10" hidden="1" x14ac:dyDescent="0.35">
      <c r="A272" s="2">
        <v>44469</v>
      </c>
      <c r="C272" t="s">
        <v>20</v>
      </c>
      <c r="D272">
        <v>579</v>
      </c>
      <c r="J272" s="52">
        <v>405050</v>
      </c>
    </row>
    <row r="273" spans="1:10" hidden="1" x14ac:dyDescent="0.35">
      <c r="A273" s="2">
        <v>44469</v>
      </c>
      <c r="C273" t="s">
        <v>25</v>
      </c>
      <c r="D273">
        <v>259</v>
      </c>
      <c r="J273" s="52">
        <v>349650</v>
      </c>
    </row>
    <row r="274" spans="1:10" hidden="1" x14ac:dyDescent="0.35">
      <c r="A274" s="2">
        <v>44469</v>
      </c>
      <c r="C274" t="s">
        <v>19</v>
      </c>
      <c r="D274">
        <v>521</v>
      </c>
      <c r="J274" s="52">
        <v>317700</v>
      </c>
    </row>
    <row r="275" spans="1:10" hidden="1" x14ac:dyDescent="0.35">
      <c r="A275" s="2">
        <v>44469</v>
      </c>
      <c r="C275" t="s">
        <v>21</v>
      </c>
      <c r="D275">
        <v>455</v>
      </c>
      <c r="J275" s="52">
        <v>282850</v>
      </c>
    </row>
    <row r="276" spans="1:10" hidden="1" x14ac:dyDescent="0.35">
      <c r="A276" s="2">
        <v>44469</v>
      </c>
      <c r="C276" t="s">
        <v>18</v>
      </c>
      <c r="D276">
        <v>675</v>
      </c>
      <c r="J276" s="52">
        <v>437150</v>
      </c>
    </row>
    <row r="277" spans="1:10" hidden="1" x14ac:dyDescent="0.35">
      <c r="A277" s="2">
        <v>44469</v>
      </c>
      <c r="C277" t="s">
        <v>22</v>
      </c>
      <c r="D277">
        <v>353</v>
      </c>
      <c r="J277" s="52">
        <v>296000</v>
      </c>
    </row>
    <row r="278" spans="1:10" hidden="1" x14ac:dyDescent="0.35">
      <c r="A278" s="2">
        <v>44469</v>
      </c>
      <c r="C278" t="s">
        <v>54</v>
      </c>
      <c r="D278">
        <v>444</v>
      </c>
      <c r="J278" s="52">
        <v>100750</v>
      </c>
    </row>
    <row r="279" spans="1:10" hidden="1" x14ac:dyDescent="0.35">
      <c r="A279" s="2">
        <v>44469</v>
      </c>
      <c r="C279" t="s">
        <v>55</v>
      </c>
      <c r="D279">
        <v>641</v>
      </c>
      <c r="J279" s="52">
        <v>149850</v>
      </c>
    </row>
    <row r="280" spans="1:10" hidden="1" x14ac:dyDescent="0.35">
      <c r="A280" s="2">
        <v>44469</v>
      </c>
      <c r="C280" t="s">
        <v>58</v>
      </c>
      <c r="D280">
        <v>405</v>
      </c>
      <c r="J280" s="52">
        <v>98600</v>
      </c>
    </row>
    <row r="281" spans="1:10" hidden="1" x14ac:dyDescent="0.35">
      <c r="A281" s="2">
        <v>44469</v>
      </c>
      <c r="B281" t="s">
        <v>36</v>
      </c>
      <c r="C281" t="s">
        <v>20</v>
      </c>
      <c r="E281">
        <v>55</v>
      </c>
      <c r="F281">
        <v>8</v>
      </c>
      <c r="G281">
        <v>75</v>
      </c>
      <c r="H281">
        <v>8</v>
      </c>
      <c r="I281">
        <v>21</v>
      </c>
      <c r="J281" s="52"/>
    </row>
    <row r="282" spans="1:10" hidden="1" x14ac:dyDescent="0.35">
      <c r="A282" s="2">
        <v>44469</v>
      </c>
      <c r="B282" t="s">
        <v>17</v>
      </c>
      <c r="C282" t="s">
        <v>20</v>
      </c>
      <c r="E282">
        <v>20</v>
      </c>
      <c r="F282">
        <v>2</v>
      </c>
      <c r="G282">
        <v>18</v>
      </c>
      <c r="H282">
        <v>1</v>
      </c>
      <c r="I282">
        <v>10</v>
      </c>
      <c r="J282" s="52"/>
    </row>
    <row r="283" spans="1:10" hidden="1" x14ac:dyDescent="0.35">
      <c r="A283" s="2">
        <v>44469</v>
      </c>
      <c r="B283" t="s">
        <v>17</v>
      </c>
      <c r="C283" t="s">
        <v>26</v>
      </c>
      <c r="E283">
        <v>26</v>
      </c>
      <c r="F283">
        <v>0</v>
      </c>
      <c r="G283">
        <v>44</v>
      </c>
      <c r="H283">
        <v>6</v>
      </c>
      <c r="I283">
        <v>17</v>
      </c>
      <c r="J283" s="52"/>
    </row>
    <row r="284" spans="1:10" hidden="1" x14ac:dyDescent="0.35">
      <c r="A284" s="2">
        <v>44469</v>
      </c>
      <c r="B284" t="s">
        <v>11</v>
      </c>
      <c r="C284" t="s">
        <v>18</v>
      </c>
      <c r="E284">
        <v>35</v>
      </c>
      <c r="F284">
        <v>15</v>
      </c>
      <c r="G284">
        <v>57</v>
      </c>
      <c r="H284">
        <v>6</v>
      </c>
      <c r="I284">
        <v>13</v>
      </c>
      <c r="J284" s="52"/>
    </row>
    <row r="285" spans="1:10" hidden="1" x14ac:dyDescent="0.35">
      <c r="A285" s="2">
        <v>44469</v>
      </c>
      <c r="B285" t="s">
        <v>38</v>
      </c>
      <c r="C285" t="s">
        <v>18</v>
      </c>
      <c r="E285">
        <v>35</v>
      </c>
      <c r="F285">
        <v>19</v>
      </c>
      <c r="G285">
        <v>40</v>
      </c>
      <c r="H285">
        <v>10</v>
      </c>
      <c r="I285">
        <v>18</v>
      </c>
      <c r="J285" s="52"/>
    </row>
    <row r="286" spans="1:10" hidden="1" x14ac:dyDescent="0.35">
      <c r="A286" s="2">
        <v>44469</v>
      </c>
      <c r="B286" t="s">
        <v>13</v>
      </c>
      <c r="C286" t="s">
        <v>25</v>
      </c>
      <c r="E286">
        <v>22</v>
      </c>
      <c r="F286">
        <v>6</v>
      </c>
      <c r="G286">
        <v>24</v>
      </c>
      <c r="H286">
        <v>5</v>
      </c>
      <c r="I286">
        <v>26</v>
      </c>
      <c r="J286" s="52"/>
    </row>
    <row r="287" spans="1:10" hidden="1" x14ac:dyDescent="0.35">
      <c r="A287" s="2">
        <v>44469</v>
      </c>
      <c r="B287" t="s">
        <v>13</v>
      </c>
      <c r="C287" t="s">
        <v>23</v>
      </c>
      <c r="E287">
        <v>27</v>
      </c>
      <c r="F287">
        <v>1</v>
      </c>
      <c r="G287">
        <v>15</v>
      </c>
      <c r="H287">
        <v>0</v>
      </c>
      <c r="I287">
        <v>9</v>
      </c>
      <c r="J287" s="52"/>
    </row>
    <row r="288" spans="1:10" hidden="1" x14ac:dyDescent="0.35">
      <c r="A288" s="2">
        <v>44469</v>
      </c>
      <c r="B288" t="s">
        <v>41</v>
      </c>
      <c r="C288" t="s">
        <v>23</v>
      </c>
      <c r="E288">
        <v>44</v>
      </c>
      <c r="F288">
        <v>6</v>
      </c>
      <c r="G288">
        <v>27</v>
      </c>
      <c r="H288">
        <v>2</v>
      </c>
      <c r="I288">
        <v>8</v>
      </c>
      <c r="J288" s="52"/>
    </row>
    <row r="289" spans="1:10" hidden="1" x14ac:dyDescent="0.35">
      <c r="A289" s="2">
        <v>44469</v>
      </c>
      <c r="B289" t="s">
        <v>12</v>
      </c>
      <c r="C289" t="s">
        <v>24</v>
      </c>
      <c r="E289">
        <v>49</v>
      </c>
      <c r="F289">
        <v>8</v>
      </c>
      <c r="G289">
        <v>40</v>
      </c>
      <c r="H289">
        <v>4</v>
      </c>
      <c r="I289">
        <v>27</v>
      </c>
      <c r="J289" s="52"/>
    </row>
    <row r="290" spans="1:10" hidden="1" x14ac:dyDescent="0.35">
      <c r="A290" s="2">
        <v>44469</v>
      </c>
      <c r="B290" t="s">
        <v>12</v>
      </c>
      <c r="C290" t="s">
        <v>37</v>
      </c>
      <c r="E290">
        <v>51</v>
      </c>
      <c r="F290">
        <v>9</v>
      </c>
      <c r="G290">
        <v>37</v>
      </c>
      <c r="H290">
        <v>7</v>
      </c>
      <c r="I290">
        <v>17</v>
      </c>
      <c r="J290" s="52"/>
    </row>
    <row r="291" spans="1:10" hidden="1" x14ac:dyDescent="0.35">
      <c r="A291" s="2">
        <v>44469</v>
      </c>
      <c r="B291" t="s">
        <v>50</v>
      </c>
      <c r="C291" t="s">
        <v>37</v>
      </c>
      <c r="E291">
        <v>33</v>
      </c>
      <c r="F291">
        <v>7</v>
      </c>
      <c r="G291">
        <v>50</v>
      </c>
      <c r="H291">
        <v>4</v>
      </c>
      <c r="I291">
        <v>14</v>
      </c>
      <c r="J291" s="52"/>
    </row>
    <row r="292" spans="1:10" hidden="1" x14ac:dyDescent="0.35">
      <c r="A292" s="2">
        <v>44469</v>
      </c>
      <c r="B292" t="s">
        <v>40</v>
      </c>
      <c r="C292" t="s">
        <v>19</v>
      </c>
      <c r="E292">
        <v>41</v>
      </c>
      <c r="F292">
        <v>5</v>
      </c>
      <c r="G292">
        <v>30</v>
      </c>
      <c r="H292">
        <v>2</v>
      </c>
      <c r="I292">
        <v>12</v>
      </c>
      <c r="J292" s="52"/>
    </row>
    <row r="293" spans="1:10" hidden="1" x14ac:dyDescent="0.35">
      <c r="A293" s="2">
        <v>44469</v>
      </c>
      <c r="B293" t="s">
        <v>42</v>
      </c>
      <c r="C293" t="s">
        <v>19</v>
      </c>
      <c r="E293">
        <v>54</v>
      </c>
      <c r="F293">
        <v>3</v>
      </c>
      <c r="G293">
        <v>30</v>
      </c>
      <c r="H293">
        <v>3</v>
      </c>
      <c r="I293">
        <v>10</v>
      </c>
      <c r="J293" s="52"/>
    </row>
    <row r="294" spans="1:10" hidden="1" x14ac:dyDescent="0.35">
      <c r="A294" s="2">
        <v>44469</v>
      </c>
      <c r="B294" t="s">
        <v>39</v>
      </c>
      <c r="C294" t="s">
        <v>22</v>
      </c>
      <c r="E294">
        <v>12</v>
      </c>
      <c r="F294">
        <v>6</v>
      </c>
      <c r="G294">
        <v>13</v>
      </c>
      <c r="H294">
        <v>4</v>
      </c>
      <c r="I294">
        <v>13</v>
      </c>
      <c r="J294" s="52"/>
    </row>
    <row r="295" spans="1:10" hidden="1" x14ac:dyDescent="0.35">
      <c r="A295" s="2">
        <v>44469</v>
      </c>
      <c r="B295" t="s">
        <v>8</v>
      </c>
      <c r="C295" t="s">
        <v>22</v>
      </c>
      <c r="E295">
        <v>18</v>
      </c>
      <c r="F295">
        <v>1</v>
      </c>
      <c r="G295">
        <v>10</v>
      </c>
      <c r="H295">
        <v>2</v>
      </c>
      <c r="I295">
        <v>9</v>
      </c>
      <c r="J295" s="52"/>
    </row>
    <row r="296" spans="1:10" hidden="1" x14ac:dyDescent="0.35">
      <c r="A296" s="2">
        <v>44469</v>
      </c>
      <c r="B296" t="s">
        <v>43</v>
      </c>
      <c r="C296" t="s">
        <v>27</v>
      </c>
      <c r="E296">
        <v>48</v>
      </c>
      <c r="F296">
        <v>2</v>
      </c>
      <c r="G296">
        <v>38</v>
      </c>
      <c r="H296">
        <v>0</v>
      </c>
      <c r="I296">
        <v>23</v>
      </c>
      <c r="J296" s="52"/>
    </row>
    <row r="297" spans="1:10" hidden="1" x14ac:dyDescent="0.35">
      <c r="A297" s="2">
        <v>44469</v>
      </c>
      <c r="B297" t="s">
        <v>49</v>
      </c>
      <c r="C297" t="s">
        <v>9</v>
      </c>
      <c r="E297">
        <v>18</v>
      </c>
      <c r="F297">
        <v>1</v>
      </c>
      <c r="G297">
        <v>37</v>
      </c>
      <c r="H297">
        <v>2</v>
      </c>
      <c r="I297">
        <v>25</v>
      </c>
      <c r="J297" s="52"/>
    </row>
    <row r="298" spans="1:10" hidden="1" x14ac:dyDescent="0.35">
      <c r="A298" s="2">
        <v>44469</v>
      </c>
      <c r="B298" t="s">
        <v>14</v>
      </c>
      <c r="C298" t="s">
        <v>21</v>
      </c>
      <c r="E298">
        <v>24</v>
      </c>
      <c r="F298">
        <v>23</v>
      </c>
      <c r="G298">
        <v>20</v>
      </c>
      <c r="H298">
        <v>10</v>
      </c>
      <c r="I298">
        <v>20</v>
      </c>
      <c r="J298" s="52"/>
    </row>
    <row r="299" spans="1:10" hidden="1" x14ac:dyDescent="0.35">
      <c r="A299" s="2">
        <v>44469</v>
      </c>
      <c r="B299" t="s">
        <v>56</v>
      </c>
      <c r="C299" t="s">
        <v>54</v>
      </c>
      <c r="E299">
        <v>15</v>
      </c>
      <c r="F299">
        <v>2</v>
      </c>
      <c r="G299">
        <v>9</v>
      </c>
      <c r="H299">
        <v>0</v>
      </c>
      <c r="I299">
        <v>7</v>
      </c>
      <c r="J299" s="52"/>
    </row>
    <row r="300" spans="1:10" hidden="1" x14ac:dyDescent="0.35">
      <c r="A300" s="2">
        <v>44469</v>
      </c>
      <c r="B300" t="s">
        <v>57</v>
      </c>
      <c r="C300" t="s">
        <v>55</v>
      </c>
      <c r="E300">
        <v>24</v>
      </c>
      <c r="F300">
        <v>3</v>
      </c>
      <c r="G300">
        <v>11</v>
      </c>
      <c r="H300">
        <v>5</v>
      </c>
      <c r="I300">
        <v>11</v>
      </c>
      <c r="J300" s="52"/>
    </row>
    <row r="301" spans="1:10" hidden="1" x14ac:dyDescent="0.35">
      <c r="A301" s="2">
        <v>44469</v>
      </c>
      <c r="B301" t="s">
        <v>59</v>
      </c>
      <c r="C301" t="s">
        <v>58</v>
      </c>
      <c r="E301">
        <v>11</v>
      </c>
      <c r="F301">
        <v>6</v>
      </c>
      <c r="G301">
        <v>5</v>
      </c>
      <c r="H301">
        <v>1</v>
      </c>
      <c r="I301">
        <v>8</v>
      </c>
      <c r="J301" s="52"/>
    </row>
    <row r="302" spans="1:10" hidden="1" x14ac:dyDescent="0.35">
      <c r="A302" s="2">
        <v>44499</v>
      </c>
      <c r="C302" t="s">
        <v>24</v>
      </c>
      <c r="D302">
        <v>385</v>
      </c>
      <c r="J302" s="52">
        <v>368924.2</v>
      </c>
    </row>
    <row r="303" spans="1:10" hidden="1" x14ac:dyDescent="0.35">
      <c r="A303" s="2">
        <v>44499</v>
      </c>
      <c r="C303" t="s">
        <v>9</v>
      </c>
      <c r="D303">
        <v>343</v>
      </c>
      <c r="J303" s="52">
        <v>141730</v>
      </c>
    </row>
    <row r="304" spans="1:10" hidden="1" x14ac:dyDescent="0.35">
      <c r="A304" s="2">
        <v>44499</v>
      </c>
      <c r="C304" t="s">
        <v>37</v>
      </c>
      <c r="D304">
        <v>597</v>
      </c>
      <c r="J304" s="52">
        <v>692800</v>
      </c>
    </row>
    <row r="305" spans="1:10" hidden="1" x14ac:dyDescent="0.35">
      <c r="A305" s="2">
        <v>44499</v>
      </c>
      <c r="C305" t="s">
        <v>23</v>
      </c>
      <c r="D305">
        <v>445</v>
      </c>
      <c r="J305" s="52">
        <v>224900</v>
      </c>
    </row>
    <row r="306" spans="1:10" hidden="1" x14ac:dyDescent="0.35">
      <c r="A306" s="2">
        <v>44499</v>
      </c>
      <c r="C306" t="s">
        <v>27</v>
      </c>
      <c r="D306">
        <v>477</v>
      </c>
      <c r="J306" s="52">
        <v>399250</v>
      </c>
    </row>
    <row r="307" spans="1:10" hidden="1" x14ac:dyDescent="0.35">
      <c r="A307" s="2">
        <v>44499</v>
      </c>
      <c r="C307" t="s">
        <v>26</v>
      </c>
      <c r="D307">
        <v>325</v>
      </c>
      <c r="J307" s="52">
        <v>223750</v>
      </c>
    </row>
    <row r="308" spans="1:10" hidden="1" x14ac:dyDescent="0.35">
      <c r="A308" s="2">
        <v>44499</v>
      </c>
      <c r="C308" t="s">
        <v>20</v>
      </c>
      <c r="D308">
        <v>587</v>
      </c>
      <c r="J308" s="52">
        <v>578900</v>
      </c>
    </row>
    <row r="309" spans="1:10" hidden="1" x14ac:dyDescent="0.35">
      <c r="A309" s="2">
        <v>44499</v>
      </c>
      <c r="C309" t="s">
        <v>25</v>
      </c>
      <c r="D309">
        <v>329</v>
      </c>
      <c r="J309" s="52">
        <v>171850</v>
      </c>
    </row>
    <row r="310" spans="1:10" hidden="1" x14ac:dyDescent="0.35">
      <c r="A310" s="2">
        <v>44499</v>
      </c>
      <c r="C310" t="s">
        <v>19</v>
      </c>
      <c r="D310">
        <v>464</v>
      </c>
      <c r="J310" s="52">
        <v>362850</v>
      </c>
    </row>
    <row r="311" spans="1:10" hidden="1" x14ac:dyDescent="0.35">
      <c r="A311" s="2">
        <v>44499</v>
      </c>
      <c r="C311" t="s">
        <v>21</v>
      </c>
      <c r="D311">
        <v>379</v>
      </c>
      <c r="J311" s="52">
        <v>267250</v>
      </c>
    </row>
    <row r="312" spans="1:10" hidden="1" x14ac:dyDescent="0.35">
      <c r="A312" s="2">
        <v>44499</v>
      </c>
      <c r="C312" t="s">
        <v>18</v>
      </c>
      <c r="D312">
        <v>669</v>
      </c>
      <c r="J312" s="52">
        <v>419960</v>
      </c>
    </row>
    <row r="313" spans="1:10" hidden="1" x14ac:dyDescent="0.35">
      <c r="A313" s="2">
        <v>44499</v>
      </c>
      <c r="C313" t="s">
        <v>22</v>
      </c>
      <c r="D313">
        <v>341</v>
      </c>
      <c r="J313" s="52">
        <v>328000</v>
      </c>
    </row>
    <row r="314" spans="1:10" hidden="1" x14ac:dyDescent="0.35">
      <c r="A314" s="2">
        <v>44499</v>
      </c>
      <c r="C314" t="s">
        <v>54</v>
      </c>
      <c r="D314">
        <v>379</v>
      </c>
      <c r="J314" s="52">
        <v>110570</v>
      </c>
    </row>
    <row r="315" spans="1:10" hidden="1" x14ac:dyDescent="0.35">
      <c r="A315" s="2">
        <v>44499</v>
      </c>
      <c r="C315" t="s">
        <v>55</v>
      </c>
      <c r="D315">
        <v>560</v>
      </c>
      <c r="J315" s="52">
        <v>152900</v>
      </c>
    </row>
    <row r="316" spans="1:10" hidden="1" x14ac:dyDescent="0.35">
      <c r="A316" s="2">
        <v>44499</v>
      </c>
      <c r="C316" t="s">
        <v>58</v>
      </c>
      <c r="D316">
        <v>400</v>
      </c>
      <c r="J316" s="52">
        <v>128000</v>
      </c>
    </row>
    <row r="317" spans="1:10" hidden="1" x14ac:dyDescent="0.35">
      <c r="A317" s="2">
        <v>44499</v>
      </c>
      <c r="C317" t="s">
        <v>62</v>
      </c>
      <c r="D317">
        <v>334</v>
      </c>
      <c r="J317" s="52">
        <v>42450</v>
      </c>
    </row>
    <row r="318" spans="1:10" hidden="1" x14ac:dyDescent="0.35">
      <c r="A318" s="2">
        <v>44499</v>
      </c>
      <c r="C318" t="s">
        <v>61</v>
      </c>
      <c r="D318">
        <v>561</v>
      </c>
      <c r="J318" s="52">
        <v>0</v>
      </c>
    </row>
    <row r="319" spans="1:10" hidden="1" x14ac:dyDescent="0.35">
      <c r="A319" s="2">
        <v>44499</v>
      </c>
      <c r="B319" t="s">
        <v>36</v>
      </c>
      <c r="C319" t="s">
        <v>20</v>
      </c>
      <c r="E319">
        <v>60</v>
      </c>
      <c r="F319">
        <v>9</v>
      </c>
      <c r="G319">
        <v>55</v>
      </c>
      <c r="H319">
        <v>3</v>
      </c>
      <c r="I319">
        <v>31</v>
      </c>
      <c r="J319" s="52"/>
    </row>
    <row r="320" spans="1:10" hidden="1" x14ac:dyDescent="0.35">
      <c r="A320" s="2">
        <v>44499</v>
      </c>
      <c r="B320" t="s">
        <v>17</v>
      </c>
      <c r="C320" t="s">
        <v>20</v>
      </c>
      <c r="E320">
        <v>22</v>
      </c>
      <c r="F320">
        <v>1</v>
      </c>
      <c r="G320">
        <v>31</v>
      </c>
      <c r="H320">
        <v>1</v>
      </c>
      <c r="I320">
        <v>12</v>
      </c>
      <c r="J320" s="52"/>
    </row>
    <row r="321" spans="1:10" hidden="1" x14ac:dyDescent="0.35">
      <c r="A321" s="2">
        <v>44499</v>
      </c>
      <c r="B321" t="s">
        <v>17</v>
      </c>
      <c r="C321" t="s">
        <v>26</v>
      </c>
      <c r="E321">
        <v>30</v>
      </c>
      <c r="F321">
        <v>0</v>
      </c>
      <c r="G321">
        <v>24</v>
      </c>
      <c r="H321">
        <v>7</v>
      </c>
      <c r="I321">
        <v>17</v>
      </c>
      <c r="J321" s="52"/>
    </row>
    <row r="322" spans="1:10" hidden="1" x14ac:dyDescent="0.35">
      <c r="A322" s="2">
        <v>44499</v>
      </c>
      <c r="B322" t="s">
        <v>11</v>
      </c>
      <c r="C322" t="s">
        <v>18</v>
      </c>
      <c r="E322">
        <v>28</v>
      </c>
      <c r="F322">
        <v>14</v>
      </c>
      <c r="G322">
        <v>50</v>
      </c>
      <c r="H322">
        <v>15</v>
      </c>
      <c r="I322">
        <v>15</v>
      </c>
      <c r="J322" s="52"/>
    </row>
    <row r="323" spans="1:10" hidden="1" x14ac:dyDescent="0.35">
      <c r="A323" s="2">
        <v>44499</v>
      </c>
      <c r="B323" t="s">
        <v>38</v>
      </c>
      <c r="C323" t="s">
        <v>18</v>
      </c>
      <c r="E323">
        <v>28</v>
      </c>
      <c r="F323">
        <v>11</v>
      </c>
      <c r="G323">
        <v>24</v>
      </c>
      <c r="H323">
        <v>14</v>
      </c>
      <c r="I323">
        <v>15</v>
      </c>
      <c r="J323" s="52"/>
    </row>
    <row r="324" spans="1:10" hidden="1" x14ac:dyDescent="0.35">
      <c r="A324" s="2">
        <v>44499</v>
      </c>
      <c r="B324" t="s">
        <v>13</v>
      </c>
      <c r="C324" t="s">
        <v>25</v>
      </c>
      <c r="E324">
        <v>43</v>
      </c>
      <c r="F324">
        <v>9</v>
      </c>
      <c r="G324">
        <v>36</v>
      </c>
      <c r="H324">
        <v>9</v>
      </c>
      <c r="I324">
        <v>13</v>
      </c>
      <c r="J324" s="52"/>
    </row>
    <row r="325" spans="1:10" hidden="1" x14ac:dyDescent="0.35">
      <c r="A325" s="2">
        <v>44499</v>
      </c>
      <c r="B325" t="s">
        <v>13</v>
      </c>
      <c r="C325" t="s">
        <v>23</v>
      </c>
      <c r="E325">
        <v>28</v>
      </c>
      <c r="F325">
        <v>6</v>
      </c>
      <c r="G325">
        <v>17</v>
      </c>
      <c r="H325">
        <v>1</v>
      </c>
      <c r="I325">
        <v>9</v>
      </c>
      <c r="J325" s="52"/>
    </row>
    <row r="326" spans="1:10" hidden="1" x14ac:dyDescent="0.35">
      <c r="A326" s="2">
        <v>44499</v>
      </c>
      <c r="B326" t="s">
        <v>41</v>
      </c>
      <c r="C326" t="s">
        <v>23</v>
      </c>
      <c r="E326">
        <v>42</v>
      </c>
      <c r="F326">
        <v>10</v>
      </c>
      <c r="G326">
        <v>19</v>
      </c>
      <c r="H326">
        <v>1</v>
      </c>
      <c r="I326">
        <v>8</v>
      </c>
      <c r="J326" s="52"/>
    </row>
    <row r="327" spans="1:10" hidden="1" x14ac:dyDescent="0.35">
      <c r="A327" s="2">
        <v>44499</v>
      </c>
      <c r="B327" t="s">
        <v>12</v>
      </c>
      <c r="C327" t="s">
        <v>24</v>
      </c>
      <c r="E327">
        <v>59</v>
      </c>
      <c r="F327">
        <v>11</v>
      </c>
      <c r="G327">
        <v>44</v>
      </c>
      <c r="H327">
        <v>6</v>
      </c>
      <c r="I327">
        <v>26</v>
      </c>
      <c r="J327" s="52"/>
    </row>
    <row r="328" spans="1:10" hidden="1" x14ac:dyDescent="0.35">
      <c r="A328" s="2">
        <v>44499</v>
      </c>
      <c r="B328" t="s">
        <v>12</v>
      </c>
      <c r="C328" t="s">
        <v>37</v>
      </c>
      <c r="E328">
        <v>18</v>
      </c>
      <c r="F328">
        <v>10</v>
      </c>
      <c r="G328">
        <v>40</v>
      </c>
      <c r="H328">
        <v>9</v>
      </c>
      <c r="I328">
        <v>26</v>
      </c>
      <c r="J328" s="52"/>
    </row>
    <row r="329" spans="1:10" hidden="1" x14ac:dyDescent="0.35">
      <c r="A329" s="2">
        <v>44499</v>
      </c>
      <c r="B329" t="s">
        <v>50</v>
      </c>
      <c r="C329" t="s">
        <v>37</v>
      </c>
      <c r="E329">
        <v>35</v>
      </c>
      <c r="F329">
        <v>14</v>
      </c>
      <c r="G329">
        <v>29</v>
      </c>
      <c r="H329">
        <v>4</v>
      </c>
      <c r="I329">
        <v>21</v>
      </c>
      <c r="J329" s="52"/>
    </row>
    <row r="330" spans="1:10" hidden="1" x14ac:dyDescent="0.35">
      <c r="A330" s="2">
        <v>44499</v>
      </c>
      <c r="B330" t="s">
        <v>40</v>
      </c>
      <c r="C330" t="s">
        <v>19</v>
      </c>
      <c r="E330">
        <v>48</v>
      </c>
      <c r="F330">
        <v>1</v>
      </c>
      <c r="G330">
        <v>11</v>
      </c>
      <c r="H330">
        <v>5</v>
      </c>
      <c r="I330">
        <v>10</v>
      </c>
      <c r="J330" s="52"/>
    </row>
    <row r="331" spans="1:10" hidden="1" x14ac:dyDescent="0.35">
      <c r="A331" s="2">
        <v>44499</v>
      </c>
      <c r="B331" t="s">
        <v>42</v>
      </c>
      <c r="C331" t="s">
        <v>19</v>
      </c>
      <c r="E331">
        <v>26</v>
      </c>
      <c r="F331">
        <v>7</v>
      </c>
      <c r="G331">
        <v>37</v>
      </c>
      <c r="H331">
        <v>1</v>
      </c>
      <c r="I331">
        <v>15</v>
      </c>
      <c r="J331" s="52"/>
    </row>
    <row r="332" spans="1:10" hidden="1" x14ac:dyDescent="0.35">
      <c r="A332" s="2">
        <v>44499</v>
      </c>
      <c r="B332" t="s">
        <v>39</v>
      </c>
      <c r="C332" t="s">
        <v>22</v>
      </c>
      <c r="E332">
        <v>14</v>
      </c>
      <c r="F332">
        <v>9</v>
      </c>
      <c r="G332">
        <v>12</v>
      </c>
      <c r="H332">
        <v>6</v>
      </c>
      <c r="I332">
        <v>10</v>
      </c>
      <c r="J332" s="52"/>
    </row>
    <row r="333" spans="1:10" hidden="1" x14ac:dyDescent="0.35">
      <c r="A333" s="2">
        <v>44499</v>
      </c>
      <c r="B333" t="s">
        <v>8</v>
      </c>
      <c r="C333" t="s">
        <v>22</v>
      </c>
      <c r="E333">
        <v>16</v>
      </c>
      <c r="F333">
        <v>12</v>
      </c>
      <c r="G333">
        <v>4</v>
      </c>
      <c r="H333">
        <v>7</v>
      </c>
      <c r="I333">
        <v>15</v>
      </c>
      <c r="J333" s="52"/>
    </row>
    <row r="334" spans="1:10" hidden="1" x14ac:dyDescent="0.35">
      <c r="A334" s="2">
        <v>44499</v>
      </c>
      <c r="B334" t="s">
        <v>43</v>
      </c>
      <c r="C334" t="s">
        <v>27</v>
      </c>
      <c r="E334">
        <v>55</v>
      </c>
      <c r="F334">
        <v>6</v>
      </c>
      <c r="G334">
        <v>38</v>
      </c>
      <c r="H334">
        <v>0</v>
      </c>
      <c r="I334">
        <v>28</v>
      </c>
      <c r="J334" s="52"/>
    </row>
    <row r="335" spans="1:10" hidden="1" x14ac:dyDescent="0.35">
      <c r="A335" s="2">
        <v>44499</v>
      </c>
      <c r="B335" t="s">
        <v>49</v>
      </c>
      <c r="C335" t="s">
        <v>9</v>
      </c>
      <c r="E335">
        <v>44</v>
      </c>
      <c r="F335">
        <v>4</v>
      </c>
      <c r="G335">
        <v>53</v>
      </c>
      <c r="H335">
        <v>0</v>
      </c>
      <c r="I335">
        <v>11</v>
      </c>
      <c r="J335" s="52"/>
    </row>
    <row r="336" spans="1:10" hidden="1" x14ac:dyDescent="0.35">
      <c r="A336" s="2">
        <v>44499</v>
      </c>
      <c r="B336" t="s">
        <v>14</v>
      </c>
      <c r="C336" t="s">
        <v>21</v>
      </c>
      <c r="E336">
        <v>26</v>
      </c>
      <c r="F336">
        <v>30</v>
      </c>
      <c r="G336">
        <v>30</v>
      </c>
      <c r="H336">
        <v>23</v>
      </c>
      <c r="I336">
        <v>19</v>
      </c>
      <c r="J336" s="52"/>
    </row>
    <row r="337" spans="1:10" hidden="1" x14ac:dyDescent="0.35">
      <c r="A337" s="2">
        <v>44499</v>
      </c>
      <c r="B337" t="s">
        <v>56</v>
      </c>
      <c r="C337" t="s">
        <v>54</v>
      </c>
      <c r="E337">
        <v>38</v>
      </c>
      <c r="F337">
        <v>11</v>
      </c>
      <c r="G337">
        <v>14</v>
      </c>
      <c r="H337">
        <v>2</v>
      </c>
      <c r="I337">
        <v>8</v>
      </c>
      <c r="J337" s="52"/>
    </row>
    <row r="338" spans="1:10" hidden="1" x14ac:dyDescent="0.35">
      <c r="A338" s="2">
        <v>44499</v>
      </c>
      <c r="B338" t="s">
        <v>57</v>
      </c>
      <c r="C338" t="s">
        <v>55</v>
      </c>
      <c r="E338">
        <v>32</v>
      </c>
      <c r="F338">
        <v>3</v>
      </c>
      <c r="G338">
        <v>10</v>
      </c>
      <c r="H338">
        <v>9</v>
      </c>
      <c r="I338">
        <v>11</v>
      </c>
      <c r="J338" s="52"/>
    </row>
    <row r="339" spans="1:10" hidden="1" x14ac:dyDescent="0.35">
      <c r="A339" s="2">
        <v>44499</v>
      </c>
      <c r="B339" t="s">
        <v>59</v>
      </c>
      <c r="C339" t="s">
        <v>58</v>
      </c>
      <c r="E339">
        <v>18</v>
      </c>
      <c r="F339">
        <v>27</v>
      </c>
      <c r="G339">
        <v>8</v>
      </c>
      <c r="H339">
        <v>1</v>
      </c>
      <c r="I339">
        <v>10</v>
      </c>
      <c r="J339" s="52"/>
    </row>
    <row r="340" spans="1:10" hidden="1" x14ac:dyDescent="0.35">
      <c r="A340" s="2">
        <v>44499</v>
      </c>
      <c r="B340" t="s">
        <v>64</v>
      </c>
      <c r="C340" t="s">
        <v>62</v>
      </c>
      <c r="E340">
        <v>37</v>
      </c>
      <c r="F340">
        <v>14</v>
      </c>
      <c r="G340">
        <v>0</v>
      </c>
      <c r="H340">
        <v>0</v>
      </c>
      <c r="I340">
        <v>3</v>
      </c>
      <c r="J340" s="52"/>
    </row>
    <row r="341" spans="1:10" hidden="1" x14ac:dyDescent="0.35">
      <c r="A341" s="2">
        <v>44499</v>
      </c>
      <c r="B341" t="s">
        <v>75</v>
      </c>
      <c r="C341" t="s">
        <v>61</v>
      </c>
      <c r="E341">
        <v>45</v>
      </c>
      <c r="F341">
        <v>17</v>
      </c>
      <c r="G341">
        <v>0</v>
      </c>
      <c r="H341">
        <v>0</v>
      </c>
      <c r="I341">
        <v>0</v>
      </c>
      <c r="J341" s="52"/>
    </row>
    <row r="342" spans="1:10" hidden="1" x14ac:dyDescent="0.35">
      <c r="A342" s="2">
        <v>44530</v>
      </c>
      <c r="C342" t="s">
        <v>24</v>
      </c>
      <c r="D342">
        <v>399</v>
      </c>
      <c r="J342" s="52">
        <v>331700</v>
      </c>
    </row>
    <row r="343" spans="1:10" hidden="1" x14ac:dyDescent="0.35">
      <c r="A343" s="2">
        <v>44530</v>
      </c>
      <c r="C343" t="s">
        <v>9</v>
      </c>
      <c r="D343">
        <v>292</v>
      </c>
      <c r="J343" s="52">
        <v>137780</v>
      </c>
    </row>
    <row r="344" spans="1:10" hidden="1" x14ac:dyDescent="0.35">
      <c r="A344" s="2">
        <v>44530</v>
      </c>
      <c r="C344" t="s">
        <v>37</v>
      </c>
      <c r="D344">
        <v>628</v>
      </c>
      <c r="J344" s="52">
        <v>539500</v>
      </c>
    </row>
    <row r="345" spans="1:10" hidden="1" x14ac:dyDescent="0.35">
      <c r="A345" s="2">
        <v>44530</v>
      </c>
      <c r="C345" t="s">
        <v>23</v>
      </c>
      <c r="D345">
        <v>475</v>
      </c>
      <c r="J345" s="52">
        <v>222800</v>
      </c>
    </row>
    <row r="346" spans="1:10" hidden="1" x14ac:dyDescent="0.35">
      <c r="A346" s="2">
        <v>44530</v>
      </c>
      <c r="C346" t="s">
        <v>27</v>
      </c>
      <c r="D346">
        <v>445</v>
      </c>
      <c r="J346" s="52">
        <v>472100</v>
      </c>
    </row>
    <row r="347" spans="1:10" hidden="1" x14ac:dyDescent="0.35">
      <c r="A347" s="2">
        <v>44530</v>
      </c>
      <c r="C347" t="s">
        <v>26</v>
      </c>
      <c r="D347">
        <v>178</v>
      </c>
      <c r="J347" s="52">
        <v>53000</v>
      </c>
    </row>
    <row r="348" spans="1:10" hidden="1" x14ac:dyDescent="0.35">
      <c r="A348" s="2">
        <v>44530</v>
      </c>
      <c r="C348" t="s">
        <v>20</v>
      </c>
      <c r="D348">
        <v>357</v>
      </c>
      <c r="J348" s="52">
        <v>577100</v>
      </c>
    </row>
    <row r="349" spans="1:10" hidden="1" x14ac:dyDescent="0.35">
      <c r="A349" s="2">
        <v>44530</v>
      </c>
      <c r="C349" t="s">
        <v>25</v>
      </c>
      <c r="D349">
        <v>325</v>
      </c>
      <c r="J349" s="52">
        <v>228300</v>
      </c>
    </row>
    <row r="350" spans="1:10" hidden="1" x14ac:dyDescent="0.35">
      <c r="A350" s="2">
        <v>44530</v>
      </c>
      <c r="C350" t="s">
        <v>19</v>
      </c>
      <c r="D350">
        <v>510</v>
      </c>
      <c r="J350" s="52">
        <v>385200</v>
      </c>
    </row>
    <row r="351" spans="1:10" hidden="1" x14ac:dyDescent="0.35">
      <c r="A351" s="2">
        <v>44530</v>
      </c>
      <c r="C351" t="s">
        <v>21</v>
      </c>
      <c r="D351">
        <v>419</v>
      </c>
      <c r="J351" s="52">
        <v>297200</v>
      </c>
    </row>
    <row r="352" spans="1:10" hidden="1" x14ac:dyDescent="0.35">
      <c r="A352" s="2">
        <v>44530</v>
      </c>
      <c r="C352" t="s">
        <v>18</v>
      </c>
      <c r="D352">
        <v>646</v>
      </c>
      <c r="J352" s="52">
        <v>385600</v>
      </c>
    </row>
    <row r="353" spans="1:10" hidden="1" x14ac:dyDescent="0.35">
      <c r="A353" s="2">
        <v>44530</v>
      </c>
      <c r="C353" t="s">
        <v>22</v>
      </c>
      <c r="D353">
        <v>278</v>
      </c>
      <c r="J353" s="52">
        <v>264500</v>
      </c>
    </row>
    <row r="354" spans="1:10" hidden="1" x14ac:dyDescent="0.35">
      <c r="A354" s="2">
        <v>44530</v>
      </c>
      <c r="C354" t="s">
        <v>54</v>
      </c>
      <c r="D354">
        <v>313</v>
      </c>
      <c r="J354" s="52">
        <v>157400</v>
      </c>
    </row>
    <row r="355" spans="1:10" hidden="1" x14ac:dyDescent="0.35">
      <c r="A355" s="2">
        <v>44530</v>
      </c>
      <c r="C355" t="s">
        <v>55</v>
      </c>
      <c r="D355">
        <v>565</v>
      </c>
      <c r="J355" s="52">
        <v>160600</v>
      </c>
    </row>
    <row r="356" spans="1:10" hidden="1" x14ac:dyDescent="0.35">
      <c r="A356" s="2">
        <v>44530</v>
      </c>
      <c r="C356" t="s">
        <v>58</v>
      </c>
      <c r="D356">
        <v>340</v>
      </c>
      <c r="J356" s="52">
        <v>162900</v>
      </c>
    </row>
    <row r="357" spans="1:10" hidden="1" x14ac:dyDescent="0.35">
      <c r="A357" s="2">
        <v>44530</v>
      </c>
      <c r="C357" t="s">
        <v>62</v>
      </c>
      <c r="D357">
        <v>357</v>
      </c>
      <c r="J357" s="52">
        <v>81650</v>
      </c>
    </row>
    <row r="358" spans="1:10" hidden="1" x14ac:dyDescent="0.35">
      <c r="A358" s="2">
        <v>44530</v>
      </c>
      <c r="C358" t="s">
        <v>61</v>
      </c>
      <c r="D358">
        <v>477</v>
      </c>
      <c r="J358" s="52">
        <v>159500</v>
      </c>
    </row>
    <row r="359" spans="1:10" hidden="1" x14ac:dyDescent="0.35">
      <c r="A359" s="2">
        <v>44530</v>
      </c>
      <c r="B359" t="s">
        <v>36</v>
      </c>
      <c r="C359" t="s">
        <v>20</v>
      </c>
      <c r="E359">
        <v>43</v>
      </c>
      <c r="F359">
        <v>8</v>
      </c>
      <c r="G359">
        <v>53</v>
      </c>
      <c r="H359">
        <v>3</v>
      </c>
      <c r="I359">
        <v>35</v>
      </c>
      <c r="J359" s="52"/>
    </row>
    <row r="360" spans="1:10" hidden="1" x14ac:dyDescent="0.35">
      <c r="A360" s="2">
        <v>44530</v>
      </c>
      <c r="B360" t="s">
        <v>17</v>
      </c>
      <c r="C360" t="s">
        <v>20</v>
      </c>
      <c r="E360">
        <v>21</v>
      </c>
      <c r="F360">
        <v>0</v>
      </c>
      <c r="G360">
        <v>23</v>
      </c>
      <c r="H360">
        <v>1</v>
      </c>
      <c r="I360">
        <v>5</v>
      </c>
      <c r="J360" s="52"/>
    </row>
    <row r="361" spans="1:10" hidden="1" x14ac:dyDescent="0.35">
      <c r="A361" s="2">
        <v>44530</v>
      </c>
      <c r="B361" t="s">
        <v>17</v>
      </c>
      <c r="C361" t="s">
        <v>26</v>
      </c>
      <c r="E361">
        <v>1</v>
      </c>
      <c r="F361">
        <v>1</v>
      </c>
      <c r="G361">
        <v>1</v>
      </c>
      <c r="H361">
        <v>3</v>
      </c>
      <c r="I361">
        <v>4</v>
      </c>
      <c r="J361" s="52"/>
    </row>
    <row r="362" spans="1:10" hidden="1" x14ac:dyDescent="0.35">
      <c r="A362" s="2">
        <v>44530</v>
      </c>
      <c r="B362" t="s">
        <v>11</v>
      </c>
      <c r="C362" t="s">
        <v>18</v>
      </c>
      <c r="E362">
        <v>17</v>
      </c>
      <c r="F362">
        <v>11</v>
      </c>
      <c r="G362">
        <v>44</v>
      </c>
      <c r="H362">
        <v>14</v>
      </c>
      <c r="I362">
        <v>13</v>
      </c>
      <c r="J362" s="52"/>
    </row>
    <row r="363" spans="1:10" hidden="1" x14ac:dyDescent="0.35">
      <c r="A363" s="2">
        <v>44530</v>
      </c>
      <c r="B363" t="s">
        <v>38</v>
      </c>
      <c r="C363" t="s">
        <v>18</v>
      </c>
      <c r="E363">
        <v>37</v>
      </c>
      <c r="F363">
        <v>16</v>
      </c>
      <c r="G363">
        <v>25</v>
      </c>
      <c r="H363">
        <v>21</v>
      </c>
      <c r="I363">
        <v>15</v>
      </c>
      <c r="J363" s="52"/>
    </row>
    <row r="364" spans="1:10" hidden="1" x14ac:dyDescent="0.35">
      <c r="A364" s="2">
        <v>44530</v>
      </c>
      <c r="B364" t="s">
        <v>13</v>
      </c>
      <c r="C364" t="s">
        <v>25</v>
      </c>
      <c r="E364">
        <v>48</v>
      </c>
      <c r="F364">
        <v>6</v>
      </c>
      <c r="G364">
        <v>27</v>
      </c>
      <c r="H364">
        <v>1</v>
      </c>
      <c r="I364">
        <v>17</v>
      </c>
      <c r="J364" s="52"/>
    </row>
    <row r="365" spans="1:10" hidden="1" x14ac:dyDescent="0.35">
      <c r="A365" s="2">
        <v>44530</v>
      </c>
      <c r="B365" t="s">
        <v>13</v>
      </c>
      <c r="C365" t="s">
        <v>23</v>
      </c>
      <c r="E365">
        <v>24</v>
      </c>
      <c r="F365">
        <v>3</v>
      </c>
      <c r="G365">
        <v>20</v>
      </c>
      <c r="H365">
        <v>0</v>
      </c>
      <c r="I365">
        <v>10</v>
      </c>
      <c r="J365" s="52"/>
    </row>
    <row r="366" spans="1:10" hidden="1" x14ac:dyDescent="0.35">
      <c r="A366" s="2">
        <v>44530</v>
      </c>
      <c r="B366" t="s">
        <v>41</v>
      </c>
      <c r="C366" t="s">
        <v>23</v>
      </c>
      <c r="E366">
        <v>36</v>
      </c>
      <c r="F366">
        <v>12</v>
      </c>
      <c r="G366">
        <v>13</v>
      </c>
      <c r="H366">
        <v>1</v>
      </c>
      <c r="I366">
        <v>7</v>
      </c>
      <c r="J366" s="52"/>
    </row>
    <row r="367" spans="1:10" hidden="1" x14ac:dyDescent="0.35">
      <c r="A367" s="2">
        <v>44530</v>
      </c>
      <c r="B367" t="s">
        <v>41</v>
      </c>
      <c r="C367" t="s">
        <v>24</v>
      </c>
      <c r="E367">
        <v>2</v>
      </c>
      <c r="F367">
        <v>1</v>
      </c>
      <c r="G367">
        <v>2</v>
      </c>
      <c r="H367">
        <v>0</v>
      </c>
      <c r="I367">
        <v>1</v>
      </c>
      <c r="J367" s="52"/>
    </row>
    <row r="368" spans="1:10" hidden="1" x14ac:dyDescent="0.35">
      <c r="A368" s="2">
        <v>44530</v>
      </c>
      <c r="B368" t="s">
        <v>12</v>
      </c>
      <c r="C368" t="s">
        <v>24</v>
      </c>
      <c r="E368">
        <v>35</v>
      </c>
      <c r="F368">
        <v>3</v>
      </c>
      <c r="G368">
        <v>24</v>
      </c>
      <c r="H368">
        <v>1</v>
      </c>
      <c r="I368">
        <v>23</v>
      </c>
      <c r="J368" s="52"/>
    </row>
    <row r="369" spans="1:10" hidden="1" x14ac:dyDescent="0.35">
      <c r="A369" s="2">
        <v>44530</v>
      </c>
      <c r="B369" t="s">
        <v>12</v>
      </c>
      <c r="C369" t="s">
        <v>37</v>
      </c>
      <c r="E369">
        <v>45</v>
      </c>
      <c r="F369">
        <v>13</v>
      </c>
      <c r="G369">
        <v>35</v>
      </c>
      <c r="H369">
        <v>13</v>
      </c>
      <c r="I369">
        <v>16</v>
      </c>
      <c r="J369" s="52"/>
    </row>
    <row r="370" spans="1:10" hidden="1" x14ac:dyDescent="0.35">
      <c r="A370" s="2">
        <v>44530</v>
      </c>
      <c r="B370" t="s">
        <v>50</v>
      </c>
      <c r="C370" t="s">
        <v>37</v>
      </c>
      <c r="E370">
        <v>37</v>
      </c>
      <c r="F370">
        <v>7</v>
      </c>
      <c r="G370">
        <v>46</v>
      </c>
      <c r="H370">
        <v>9</v>
      </c>
      <c r="I370">
        <v>20</v>
      </c>
      <c r="J370" s="52"/>
    </row>
    <row r="371" spans="1:10" hidden="1" x14ac:dyDescent="0.35">
      <c r="A371" s="2">
        <v>44530</v>
      </c>
      <c r="B371" t="s">
        <v>40</v>
      </c>
      <c r="C371" t="s">
        <v>19</v>
      </c>
      <c r="E371">
        <v>27</v>
      </c>
      <c r="F371">
        <v>1</v>
      </c>
      <c r="G371">
        <v>34</v>
      </c>
      <c r="H371">
        <v>5</v>
      </c>
      <c r="I371">
        <v>14</v>
      </c>
      <c r="J371" s="52"/>
    </row>
    <row r="372" spans="1:10" hidden="1" x14ac:dyDescent="0.35">
      <c r="A372" s="2">
        <v>44530</v>
      </c>
      <c r="B372" t="s">
        <v>42</v>
      </c>
      <c r="C372" t="s">
        <v>19</v>
      </c>
      <c r="E372">
        <v>36</v>
      </c>
      <c r="F372">
        <v>0</v>
      </c>
      <c r="G372">
        <v>32</v>
      </c>
      <c r="H372">
        <v>3</v>
      </c>
      <c r="I372">
        <v>13</v>
      </c>
      <c r="J372" s="52"/>
    </row>
    <row r="373" spans="1:10" hidden="1" x14ac:dyDescent="0.35">
      <c r="A373" s="2">
        <v>44530</v>
      </c>
      <c r="B373" t="s">
        <v>39</v>
      </c>
      <c r="C373" t="s">
        <v>22</v>
      </c>
      <c r="E373">
        <v>8</v>
      </c>
      <c r="F373">
        <v>1</v>
      </c>
      <c r="G373">
        <v>10</v>
      </c>
      <c r="H373">
        <v>0</v>
      </c>
      <c r="I373">
        <v>8</v>
      </c>
      <c r="J373" s="52"/>
    </row>
    <row r="374" spans="1:10" hidden="1" x14ac:dyDescent="0.35">
      <c r="A374" s="2">
        <v>44530</v>
      </c>
      <c r="B374" t="s">
        <v>8</v>
      </c>
      <c r="C374" t="s">
        <v>22</v>
      </c>
      <c r="E374">
        <v>11</v>
      </c>
      <c r="F374">
        <v>2</v>
      </c>
      <c r="G374">
        <v>9</v>
      </c>
      <c r="H374">
        <v>2</v>
      </c>
      <c r="I374">
        <v>12</v>
      </c>
      <c r="J374" s="52"/>
    </row>
    <row r="375" spans="1:10" hidden="1" x14ac:dyDescent="0.35">
      <c r="A375" s="2">
        <v>44530</v>
      </c>
      <c r="B375" t="s">
        <v>66</v>
      </c>
      <c r="C375" t="s">
        <v>22</v>
      </c>
      <c r="E375">
        <v>15</v>
      </c>
      <c r="F375">
        <v>20</v>
      </c>
      <c r="G375">
        <v>0</v>
      </c>
      <c r="H375">
        <v>0</v>
      </c>
      <c r="I375">
        <v>0</v>
      </c>
      <c r="J375" s="52"/>
    </row>
    <row r="376" spans="1:10" hidden="1" x14ac:dyDescent="0.35">
      <c r="A376" s="2">
        <v>44530</v>
      </c>
      <c r="B376" t="s">
        <v>43</v>
      </c>
      <c r="C376" t="s">
        <v>27</v>
      </c>
      <c r="E376">
        <v>38</v>
      </c>
      <c r="F376">
        <v>0</v>
      </c>
      <c r="G376">
        <v>46</v>
      </c>
      <c r="H376">
        <v>0</v>
      </c>
      <c r="I376">
        <v>32</v>
      </c>
      <c r="J376" s="52"/>
    </row>
    <row r="377" spans="1:10" hidden="1" x14ac:dyDescent="0.35">
      <c r="A377" s="2">
        <v>44530</v>
      </c>
      <c r="B377" t="s">
        <v>49</v>
      </c>
      <c r="C377" t="s">
        <v>9</v>
      </c>
      <c r="E377">
        <v>60</v>
      </c>
      <c r="F377">
        <v>3</v>
      </c>
      <c r="G377">
        <v>46</v>
      </c>
      <c r="H377">
        <v>0</v>
      </c>
      <c r="I377">
        <v>10</v>
      </c>
      <c r="J377" s="52"/>
    </row>
    <row r="378" spans="1:10" hidden="1" x14ac:dyDescent="0.35">
      <c r="A378" s="2">
        <v>44530</v>
      </c>
      <c r="B378" t="s">
        <v>14</v>
      </c>
      <c r="C378" t="s">
        <v>21</v>
      </c>
      <c r="E378">
        <v>20</v>
      </c>
      <c r="F378">
        <v>25</v>
      </c>
      <c r="G378">
        <v>35</v>
      </c>
      <c r="H378">
        <v>20</v>
      </c>
      <c r="I378">
        <v>21</v>
      </c>
      <c r="J378" s="52"/>
    </row>
    <row r="379" spans="1:10" hidden="1" x14ac:dyDescent="0.35">
      <c r="A379" s="2">
        <v>44530</v>
      </c>
      <c r="B379" t="s">
        <v>56</v>
      </c>
      <c r="C379" t="s">
        <v>54</v>
      </c>
      <c r="E379">
        <v>30</v>
      </c>
      <c r="F379">
        <v>9</v>
      </c>
      <c r="G379">
        <v>15</v>
      </c>
      <c r="H379">
        <v>4</v>
      </c>
      <c r="I379">
        <v>11</v>
      </c>
      <c r="J379" s="52"/>
    </row>
    <row r="380" spans="1:10" hidden="1" x14ac:dyDescent="0.35">
      <c r="A380" s="2">
        <v>44530</v>
      </c>
      <c r="B380" t="s">
        <v>57</v>
      </c>
      <c r="C380" t="s">
        <v>55</v>
      </c>
      <c r="E380">
        <v>29</v>
      </c>
      <c r="F380">
        <v>6</v>
      </c>
      <c r="G380">
        <v>16</v>
      </c>
      <c r="H380">
        <v>8</v>
      </c>
      <c r="I380">
        <v>12</v>
      </c>
      <c r="J380" s="52"/>
    </row>
    <row r="381" spans="1:10" hidden="1" x14ac:dyDescent="0.35">
      <c r="A381" s="2">
        <v>44530</v>
      </c>
      <c r="B381" t="s">
        <v>59</v>
      </c>
      <c r="C381" t="s">
        <v>58</v>
      </c>
      <c r="E381">
        <v>28</v>
      </c>
      <c r="F381">
        <v>25</v>
      </c>
      <c r="G381">
        <v>7</v>
      </c>
      <c r="H381">
        <v>4</v>
      </c>
      <c r="I381">
        <v>9</v>
      </c>
      <c r="J381" s="52"/>
    </row>
    <row r="382" spans="1:10" hidden="1" x14ac:dyDescent="0.35">
      <c r="A382" s="2">
        <v>44530</v>
      </c>
      <c r="B382" t="s">
        <v>65</v>
      </c>
      <c r="C382" t="s">
        <v>58</v>
      </c>
      <c r="E382">
        <v>10</v>
      </c>
      <c r="F382">
        <v>11</v>
      </c>
      <c r="G382">
        <v>0</v>
      </c>
      <c r="H382">
        <v>2</v>
      </c>
      <c r="I382">
        <v>4</v>
      </c>
      <c r="J382" s="52"/>
    </row>
    <row r="383" spans="1:10" hidden="1" x14ac:dyDescent="0.35">
      <c r="A383" s="2">
        <v>44530</v>
      </c>
      <c r="B383" t="s">
        <v>64</v>
      </c>
      <c r="C383" t="s">
        <v>62</v>
      </c>
      <c r="E383">
        <v>38</v>
      </c>
      <c r="F383">
        <v>8</v>
      </c>
      <c r="G383">
        <v>5</v>
      </c>
      <c r="H383">
        <v>2</v>
      </c>
      <c r="I383">
        <v>6</v>
      </c>
      <c r="J383" s="52"/>
    </row>
    <row r="384" spans="1:10" hidden="1" x14ac:dyDescent="0.35">
      <c r="A384" s="2">
        <v>44530</v>
      </c>
      <c r="B384" t="s">
        <v>75</v>
      </c>
      <c r="C384" t="s">
        <v>61</v>
      </c>
      <c r="E384">
        <v>39</v>
      </c>
      <c r="F384">
        <v>6</v>
      </c>
      <c r="G384">
        <v>3</v>
      </c>
      <c r="H384">
        <v>0</v>
      </c>
      <c r="I384">
        <v>11</v>
      </c>
      <c r="J384" s="52"/>
    </row>
    <row r="385" spans="1:10" hidden="1" x14ac:dyDescent="0.35">
      <c r="A385" s="2">
        <v>44560</v>
      </c>
      <c r="C385" t="s">
        <v>24</v>
      </c>
      <c r="D385">
        <v>290</v>
      </c>
      <c r="J385" s="52">
        <v>155100</v>
      </c>
    </row>
    <row r="386" spans="1:10" hidden="1" x14ac:dyDescent="0.35">
      <c r="A386" s="2">
        <v>44560</v>
      </c>
      <c r="C386" t="s">
        <v>9</v>
      </c>
      <c r="D386">
        <v>233</v>
      </c>
      <c r="J386" s="52">
        <v>200560</v>
      </c>
    </row>
    <row r="387" spans="1:10" hidden="1" x14ac:dyDescent="0.35">
      <c r="A387" s="2">
        <v>44560</v>
      </c>
      <c r="C387" t="s">
        <v>37</v>
      </c>
      <c r="D387">
        <v>503</v>
      </c>
      <c r="J387" s="52">
        <v>532950</v>
      </c>
    </row>
    <row r="388" spans="1:10" hidden="1" x14ac:dyDescent="0.35">
      <c r="A388" s="2">
        <v>44560</v>
      </c>
      <c r="C388" t="s">
        <v>23</v>
      </c>
      <c r="D388">
        <v>284</v>
      </c>
      <c r="J388" s="57">
        <v>178450</v>
      </c>
    </row>
    <row r="389" spans="1:10" hidden="1" x14ac:dyDescent="0.35">
      <c r="A389" s="2">
        <v>44560</v>
      </c>
      <c r="C389" t="s">
        <v>27</v>
      </c>
      <c r="D389">
        <v>238</v>
      </c>
      <c r="J389" s="52">
        <v>234350</v>
      </c>
    </row>
    <row r="390" spans="1:10" hidden="1" x14ac:dyDescent="0.35">
      <c r="A390" s="2">
        <v>44560</v>
      </c>
      <c r="C390" t="s">
        <v>26</v>
      </c>
      <c r="D390">
        <v>226</v>
      </c>
      <c r="J390" s="52">
        <v>149250</v>
      </c>
    </row>
    <row r="391" spans="1:10" hidden="1" x14ac:dyDescent="0.35">
      <c r="A391" s="2">
        <v>44560</v>
      </c>
      <c r="C391" t="s">
        <v>20</v>
      </c>
      <c r="D391">
        <v>216</v>
      </c>
      <c r="J391" s="52">
        <v>467000</v>
      </c>
    </row>
    <row r="392" spans="1:10" hidden="1" x14ac:dyDescent="0.35">
      <c r="A392" s="2">
        <v>44560</v>
      </c>
      <c r="C392" t="s">
        <v>25</v>
      </c>
      <c r="D392">
        <v>211</v>
      </c>
      <c r="J392" s="57">
        <v>264400</v>
      </c>
    </row>
    <row r="393" spans="1:10" hidden="1" x14ac:dyDescent="0.35">
      <c r="A393" s="2">
        <v>44560</v>
      </c>
      <c r="C393" t="s">
        <v>19</v>
      </c>
      <c r="D393">
        <v>296</v>
      </c>
      <c r="J393" s="52">
        <v>256300</v>
      </c>
    </row>
    <row r="394" spans="1:10" hidden="1" x14ac:dyDescent="0.35">
      <c r="A394" s="2">
        <v>44560</v>
      </c>
      <c r="C394" t="s">
        <v>21</v>
      </c>
      <c r="D394">
        <v>257</v>
      </c>
      <c r="J394" s="52">
        <v>266400</v>
      </c>
    </row>
    <row r="395" spans="1:10" hidden="1" x14ac:dyDescent="0.35">
      <c r="A395" s="2">
        <v>44560</v>
      </c>
      <c r="C395" t="s">
        <v>18</v>
      </c>
      <c r="D395">
        <v>474</v>
      </c>
      <c r="J395" s="52">
        <v>381700</v>
      </c>
    </row>
    <row r="396" spans="1:10" hidden="1" x14ac:dyDescent="0.35">
      <c r="A396" s="2">
        <v>44560</v>
      </c>
      <c r="C396" t="s">
        <v>22</v>
      </c>
      <c r="D396">
        <v>178</v>
      </c>
      <c r="J396" s="52">
        <v>267500</v>
      </c>
    </row>
    <row r="397" spans="1:10" hidden="1" x14ac:dyDescent="0.35">
      <c r="A397" s="2">
        <v>44560</v>
      </c>
      <c r="C397" t="s">
        <v>54</v>
      </c>
      <c r="D397">
        <v>242</v>
      </c>
      <c r="J397" s="52">
        <v>83800</v>
      </c>
    </row>
    <row r="398" spans="1:10" hidden="1" x14ac:dyDescent="0.35">
      <c r="A398" s="2">
        <v>44560</v>
      </c>
      <c r="C398" t="s">
        <v>55</v>
      </c>
      <c r="D398">
        <v>373</v>
      </c>
      <c r="J398" s="52">
        <v>155900</v>
      </c>
    </row>
    <row r="399" spans="1:10" hidden="1" x14ac:dyDescent="0.35">
      <c r="A399" s="2">
        <v>44560</v>
      </c>
      <c r="C399" t="s">
        <v>58</v>
      </c>
      <c r="D399">
        <v>241</v>
      </c>
      <c r="J399" s="52">
        <v>193400</v>
      </c>
    </row>
    <row r="400" spans="1:10" hidden="1" x14ac:dyDescent="0.35">
      <c r="A400" s="2">
        <v>44560</v>
      </c>
      <c r="C400" t="s">
        <v>62</v>
      </c>
      <c r="D400">
        <v>274</v>
      </c>
      <c r="J400" s="52">
        <v>89600</v>
      </c>
    </row>
    <row r="401" spans="1:10" hidden="1" x14ac:dyDescent="0.35">
      <c r="A401" s="2">
        <v>44560</v>
      </c>
      <c r="C401" t="s">
        <v>61</v>
      </c>
      <c r="D401">
        <v>376</v>
      </c>
      <c r="J401" s="52">
        <v>110250</v>
      </c>
    </row>
    <row r="402" spans="1:10" hidden="1" x14ac:dyDescent="0.35">
      <c r="A402" s="2">
        <v>44560</v>
      </c>
      <c r="C402" t="s">
        <v>63</v>
      </c>
      <c r="D402">
        <v>155</v>
      </c>
      <c r="J402" s="52">
        <v>81950</v>
      </c>
    </row>
    <row r="403" spans="1:10" hidden="1" x14ac:dyDescent="0.35">
      <c r="A403" s="2">
        <v>44560</v>
      </c>
      <c r="B403" t="s">
        <v>36</v>
      </c>
      <c r="C403" t="s">
        <v>20</v>
      </c>
      <c r="E403">
        <v>24</v>
      </c>
      <c r="F403">
        <v>0</v>
      </c>
      <c r="G403">
        <v>34</v>
      </c>
      <c r="H403">
        <v>7</v>
      </c>
      <c r="I403">
        <v>23</v>
      </c>
      <c r="J403" s="52"/>
    </row>
    <row r="404" spans="1:10" hidden="1" x14ac:dyDescent="0.35">
      <c r="A404" s="2">
        <v>44560</v>
      </c>
      <c r="B404" t="s">
        <v>17</v>
      </c>
      <c r="C404" t="s">
        <v>20</v>
      </c>
      <c r="E404">
        <v>18</v>
      </c>
      <c r="F404">
        <v>3</v>
      </c>
      <c r="G404">
        <v>18</v>
      </c>
      <c r="H404">
        <v>0</v>
      </c>
      <c r="I404">
        <v>11</v>
      </c>
      <c r="J404" s="52"/>
    </row>
    <row r="405" spans="1:10" hidden="1" x14ac:dyDescent="0.35">
      <c r="A405" s="2">
        <v>44560</v>
      </c>
      <c r="B405" t="s">
        <v>17</v>
      </c>
      <c r="C405" t="s">
        <v>26</v>
      </c>
      <c r="E405">
        <v>36</v>
      </c>
      <c r="F405">
        <v>5</v>
      </c>
      <c r="G405">
        <v>27</v>
      </c>
      <c r="H405">
        <v>5</v>
      </c>
      <c r="I405">
        <v>11</v>
      </c>
      <c r="J405" s="52"/>
    </row>
    <row r="406" spans="1:10" hidden="1" x14ac:dyDescent="0.35">
      <c r="A406" s="2">
        <v>44560</v>
      </c>
      <c r="B406" t="s">
        <v>11</v>
      </c>
      <c r="C406" t="s">
        <v>18</v>
      </c>
      <c r="E406">
        <v>0</v>
      </c>
      <c r="F406">
        <v>0</v>
      </c>
      <c r="G406">
        <v>20</v>
      </c>
      <c r="H406">
        <v>6</v>
      </c>
      <c r="I406">
        <v>1</v>
      </c>
      <c r="J406" s="52"/>
    </row>
    <row r="407" spans="1:10" hidden="1" x14ac:dyDescent="0.35">
      <c r="A407" s="2">
        <v>44560</v>
      </c>
      <c r="B407" t="s">
        <v>38</v>
      </c>
      <c r="C407" t="s">
        <v>18</v>
      </c>
      <c r="E407">
        <v>10</v>
      </c>
      <c r="F407">
        <v>4</v>
      </c>
      <c r="G407">
        <v>23</v>
      </c>
      <c r="H407">
        <v>11</v>
      </c>
      <c r="I407">
        <v>23</v>
      </c>
      <c r="J407" s="52"/>
    </row>
    <row r="408" spans="1:10" hidden="1" x14ac:dyDescent="0.35">
      <c r="A408" s="2">
        <v>44560</v>
      </c>
      <c r="B408" t="s">
        <v>67</v>
      </c>
      <c r="C408" t="s">
        <v>18</v>
      </c>
      <c r="E408">
        <v>33</v>
      </c>
      <c r="F408">
        <v>17</v>
      </c>
      <c r="G408">
        <v>5</v>
      </c>
      <c r="H408">
        <v>10</v>
      </c>
      <c r="I408">
        <v>3</v>
      </c>
      <c r="J408" s="52"/>
    </row>
    <row r="409" spans="1:10" hidden="1" x14ac:dyDescent="0.35">
      <c r="A409" s="2">
        <v>44560</v>
      </c>
      <c r="B409" t="s">
        <v>13</v>
      </c>
      <c r="C409" t="s">
        <v>25</v>
      </c>
      <c r="E409">
        <v>36</v>
      </c>
      <c r="F409">
        <v>4</v>
      </c>
      <c r="G409">
        <v>26</v>
      </c>
      <c r="H409">
        <v>4</v>
      </c>
      <c r="I409">
        <v>20</v>
      </c>
      <c r="J409" s="52"/>
    </row>
    <row r="410" spans="1:10" hidden="1" x14ac:dyDescent="0.35">
      <c r="A410" s="2">
        <v>44560</v>
      </c>
      <c r="B410" t="s">
        <v>13</v>
      </c>
      <c r="C410" t="s">
        <v>23</v>
      </c>
      <c r="E410">
        <v>16</v>
      </c>
      <c r="F410">
        <v>3</v>
      </c>
      <c r="G410">
        <v>10</v>
      </c>
      <c r="H410">
        <v>2</v>
      </c>
      <c r="I410">
        <v>6</v>
      </c>
      <c r="J410" s="52"/>
    </row>
    <row r="411" spans="1:10" hidden="1" x14ac:dyDescent="0.35">
      <c r="A411" s="2">
        <v>44560</v>
      </c>
      <c r="B411" t="s">
        <v>41</v>
      </c>
      <c r="C411" t="s">
        <v>23</v>
      </c>
      <c r="E411">
        <v>31</v>
      </c>
      <c r="F411">
        <v>3</v>
      </c>
      <c r="G411">
        <v>18</v>
      </c>
      <c r="H411">
        <v>5</v>
      </c>
      <c r="I411">
        <v>9</v>
      </c>
      <c r="J411" s="52"/>
    </row>
    <row r="412" spans="1:10" hidden="1" x14ac:dyDescent="0.35">
      <c r="A412" s="2">
        <v>44560</v>
      </c>
      <c r="B412" t="s">
        <v>41</v>
      </c>
      <c r="C412" t="s">
        <v>24</v>
      </c>
      <c r="E412">
        <v>11</v>
      </c>
      <c r="F412">
        <v>1</v>
      </c>
      <c r="G412">
        <v>7</v>
      </c>
      <c r="H412">
        <v>0</v>
      </c>
      <c r="I412">
        <v>0</v>
      </c>
      <c r="J412" s="52"/>
    </row>
    <row r="413" spans="1:10" hidden="1" x14ac:dyDescent="0.35">
      <c r="A413" s="2">
        <v>44560</v>
      </c>
      <c r="B413" t="s">
        <v>12</v>
      </c>
      <c r="C413" t="s">
        <v>24</v>
      </c>
      <c r="E413">
        <v>19</v>
      </c>
      <c r="F413">
        <v>2</v>
      </c>
      <c r="G413">
        <v>40</v>
      </c>
      <c r="H413">
        <v>2</v>
      </c>
      <c r="I413">
        <v>11</v>
      </c>
      <c r="J413" s="52"/>
    </row>
    <row r="414" spans="1:10" hidden="1" x14ac:dyDescent="0.35">
      <c r="A414" s="2">
        <v>44560</v>
      </c>
      <c r="B414" t="s">
        <v>12</v>
      </c>
      <c r="C414" t="s">
        <v>37</v>
      </c>
      <c r="E414">
        <v>18</v>
      </c>
      <c r="F414">
        <v>7</v>
      </c>
      <c r="G414">
        <v>38</v>
      </c>
      <c r="H414">
        <v>10</v>
      </c>
      <c r="I414">
        <v>18</v>
      </c>
      <c r="J414" s="52"/>
    </row>
    <row r="415" spans="1:10" hidden="1" x14ac:dyDescent="0.35">
      <c r="A415" s="2">
        <v>44560</v>
      </c>
      <c r="B415" t="s">
        <v>50</v>
      </c>
      <c r="C415" t="s">
        <v>37</v>
      </c>
      <c r="E415">
        <v>21</v>
      </c>
      <c r="F415">
        <v>16</v>
      </c>
      <c r="G415">
        <v>33</v>
      </c>
      <c r="H415">
        <v>4</v>
      </c>
      <c r="I415">
        <v>17</v>
      </c>
      <c r="J415" s="52"/>
    </row>
    <row r="416" spans="1:10" hidden="1" x14ac:dyDescent="0.35">
      <c r="A416" s="2">
        <v>44560</v>
      </c>
      <c r="B416" t="s">
        <v>68</v>
      </c>
      <c r="C416" t="s">
        <v>37</v>
      </c>
      <c r="E416">
        <v>20</v>
      </c>
      <c r="F416">
        <v>9</v>
      </c>
      <c r="G416">
        <v>4</v>
      </c>
      <c r="H416">
        <v>2</v>
      </c>
      <c r="I416">
        <v>2</v>
      </c>
      <c r="J416" s="52"/>
    </row>
    <row r="417" spans="1:10" hidden="1" x14ac:dyDescent="0.35">
      <c r="A417" s="2">
        <v>44560</v>
      </c>
      <c r="B417" t="s">
        <v>40</v>
      </c>
      <c r="C417" t="s">
        <v>19</v>
      </c>
      <c r="E417">
        <v>18</v>
      </c>
      <c r="F417">
        <v>2</v>
      </c>
      <c r="G417">
        <v>24</v>
      </c>
      <c r="H417">
        <v>4</v>
      </c>
      <c r="I417">
        <v>10</v>
      </c>
      <c r="J417" s="52"/>
    </row>
    <row r="418" spans="1:10" hidden="1" x14ac:dyDescent="0.35">
      <c r="A418" s="2">
        <v>44560</v>
      </c>
      <c r="B418" t="s">
        <v>42</v>
      </c>
      <c r="C418" t="s">
        <v>19</v>
      </c>
      <c r="E418">
        <v>34</v>
      </c>
      <c r="F418">
        <v>2</v>
      </c>
      <c r="G418">
        <v>35</v>
      </c>
      <c r="H418">
        <v>4</v>
      </c>
      <c r="I418">
        <v>8</v>
      </c>
      <c r="J418" s="52"/>
    </row>
    <row r="419" spans="1:10" hidden="1" x14ac:dyDescent="0.35">
      <c r="A419" s="2">
        <v>44560</v>
      </c>
      <c r="B419" t="s">
        <v>39</v>
      </c>
      <c r="C419" t="s">
        <v>22</v>
      </c>
      <c r="E419">
        <v>4</v>
      </c>
      <c r="F419">
        <v>0</v>
      </c>
      <c r="G419">
        <v>24</v>
      </c>
      <c r="H419">
        <v>1</v>
      </c>
      <c r="I419">
        <v>4</v>
      </c>
      <c r="J419" s="52"/>
    </row>
    <row r="420" spans="1:10" hidden="1" x14ac:dyDescent="0.35">
      <c r="A420" s="2">
        <v>44560</v>
      </c>
      <c r="B420" t="s">
        <v>8</v>
      </c>
      <c r="C420" t="s">
        <v>22</v>
      </c>
      <c r="E420">
        <v>5</v>
      </c>
      <c r="F420">
        <v>2</v>
      </c>
      <c r="G420">
        <v>16</v>
      </c>
      <c r="H420">
        <v>1</v>
      </c>
      <c r="I420">
        <v>9</v>
      </c>
      <c r="J420" s="52"/>
    </row>
    <row r="421" spans="1:10" hidden="1" x14ac:dyDescent="0.35">
      <c r="A421" s="2">
        <v>44560</v>
      </c>
      <c r="B421" t="s">
        <v>66</v>
      </c>
      <c r="C421" t="s">
        <v>22</v>
      </c>
      <c r="E421">
        <v>35</v>
      </c>
      <c r="F421">
        <v>14</v>
      </c>
      <c r="G421">
        <v>3</v>
      </c>
      <c r="H421">
        <v>0</v>
      </c>
      <c r="I421">
        <v>7</v>
      </c>
      <c r="J421" s="52"/>
    </row>
    <row r="422" spans="1:10" hidden="1" x14ac:dyDescent="0.35">
      <c r="A422" s="2">
        <v>44560</v>
      </c>
      <c r="B422" t="s">
        <v>43</v>
      </c>
      <c r="C422" t="s">
        <v>27</v>
      </c>
      <c r="E422">
        <v>13</v>
      </c>
      <c r="F422">
        <v>6</v>
      </c>
      <c r="G422">
        <v>17</v>
      </c>
      <c r="H422">
        <v>0</v>
      </c>
      <c r="I422">
        <v>16</v>
      </c>
      <c r="J422" s="52"/>
    </row>
    <row r="423" spans="1:10" hidden="1" x14ac:dyDescent="0.35">
      <c r="A423" s="2">
        <v>44560</v>
      </c>
      <c r="B423" t="s">
        <v>49</v>
      </c>
      <c r="C423" t="s">
        <v>9</v>
      </c>
      <c r="E423">
        <v>30</v>
      </c>
      <c r="F423">
        <v>1</v>
      </c>
      <c r="G423">
        <v>41</v>
      </c>
      <c r="H423">
        <v>1</v>
      </c>
      <c r="I423">
        <v>15</v>
      </c>
      <c r="J423" s="52"/>
    </row>
    <row r="424" spans="1:10" hidden="1" x14ac:dyDescent="0.35">
      <c r="A424" s="2">
        <v>44560</v>
      </c>
      <c r="B424" t="s">
        <v>68</v>
      </c>
      <c r="C424" t="s">
        <v>9</v>
      </c>
      <c r="E424">
        <v>12</v>
      </c>
      <c r="F424">
        <v>0</v>
      </c>
      <c r="G424">
        <v>0</v>
      </c>
      <c r="H424">
        <v>3</v>
      </c>
      <c r="I424">
        <v>0</v>
      </c>
      <c r="J424" s="52"/>
    </row>
    <row r="425" spans="1:10" hidden="1" x14ac:dyDescent="0.35">
      <c r="A425" s="2">
        <v>44560</v>
      </c>
      <c r="B425" t="s">
        <v>14</v>
      </c>
      <c r="C425" t="s">
        <v>21</v>
      </c>
      <c r="E425">
        <v>12</v>
      </c>
      <c r="F425">
        <v>13</v>
      </c>
      <c r="G425">
        <v>24</v>
      </c>
      <c r="H425">
        <v>12</v>
      </c>
      <c r="I425">
        <v>19</v>
      </c>
      <c r="J425" s="52"/>
    </row>
    <row r="426" spans="1:10" hidden="1" x14ac:dyDescent="0.35">
      <c r="A426" s="2">
        <v>44560</v>
      </c>
      <c r="B426" t="s">
        <v>56</v>
      </c>
      <c r="C426" t="s">
        <v>54</v>
      </c>
      <c r="E426">
        <v>20</v>
      </c>
      <c r="F426">
        <v>26</v>
      </c>
      <c r="G426">
        <v>14</v>
      </c>
      <c r="H426">
        <v>4</v>
      </c>
      <c r="I426">
        <v>6</v>
      </c>
      <c r="J426" s="52"/>
    </row>
    <row r="427" spans="1:10" hidden="1" x14ac:dyDescent="0.35">
      <c r="A427" s="2">
        <v>44560</v>
      </c>
      <c r="B427" t="s">
        <v>57</v>
      </c>
      <c r="C427" t="s">
        <v>55</v>
      </c>
      <c r="E427">
        <v>21</v>
      </c>
      <c r="F427">
        <v>5</v>
      </c>
      <c r="G427">
        <v>9</v>
      </c>
      <c r="H427">
        <v>8</v>
      </c>
      <c r="I427">
        <v>12</v>
      </c>
      <c r="J427" s="52"/>
    </row>
    <row r="428" spans="1:10" hidden="1" x14ac:dyDescent="0.35">
      <c r="A428" s="2">
        <v>44560</v>
      </c>
      <c r="B428" t="s">
        <v>59</v>
      </c>
      <c r="C428" t="s">
        <v>58</v>
      </c>
      <c r="E428">
        <v>12</v>
      </c>
      <c r="F428">
        <v>8</v>
      </c>
      <c r="G428">
        <v>8</v>
      </c>
      <c r="H428">
        <v>2</v>
      </c>
      <c r="I428">
        <v>9</v>
      </c>
      <c r="J428" s="52"/>
    </row>
    <row r="429" spans="1:10" hidden="1" x14ac:dyDescent="0.35">
      <c r="A429" s="2">
        <v>44560</v>
      </c>
      <c r="B429" t="s">
        <v>65</v>
      </c>
      <c r="C429" t="s">
        <v>58</v>
      </c>
      <c r="E429">
        <v>14</v>
      </c>
      <c r="F429">
        <v>9</v>
      </c>
      <c r="G429">
        <v>3</v>
      </c>
      <c r="H429">
        <v>0</v>
      </c>
      <c r="I429">
        <v>6</v>
      </c>
      <c r="J429" s="52"/>
    </row>
    <row r="430" spans="1:10" hidden="1" x14ac:dyDescent="0.35">
      <c r="A430" s="2">
        <v>44560</v>
      </c>
      <c r="B430" t="s">
        <v>64</v>
      </c>
      <c r="C430" t="s">
        <v>62</v>
      </c>
      <c r="E430">
        <v>20</v>
      </c>
      <c r="F430">
        <v>5</v>
      </c>
      <c r="G430">
        <v>8</v>
      </c>
      <c r="H430">
        <v>6</v>
      </c>
      <c r="I430">
        <v>6</v>
      </c>
      <c r="J430" s="52"/>
    </row>
    <row r="431" spans="1:10" hidden="1" x14ac:dyDescent="0.35">
      <c r="A431" s="2">
        <v>44560</v>
      </c>
      <c r="B431" t="s">
        <v>75</v>
      </c>
      <c r="C431" t="s">
        <v>61</v>
      </c>
      <c r="E431">
        <v>25</v>
      </c>
      <c r="F431">
        <v>12</v>
      </c>
      <c r="G431">
        <v>10</v>
      </c>
      <c r="H431">
        <v>0</v>
      </c>
      <c r="I431">
        <v>8</v>
      </c>
      <c r="J431" s="52"/>
    </row>
    <row r="432" spans="1:10" hidden="1" x14ac:dyDescent="0.35">
      <c r="A432" s="2">
        <v>44560</v>
      </c>
      <c r="B432" t="s">
        <v>69</v>
      </c>
      <c r="C432" t="s">
        <v>63</v>
      </c>
      <c r="E432">
        <v>19</v>
      </c>
      <c r="F432">
        <v>6</v>
      </c>
      <c r="G432">
        <v>3</v>
      </c>
      <c r="H432">
        <v>2</v>
      </c>
      <c r="I432">
        <v>6</v>
      </c>
      <c r="J432" s="52"/>
    </row>
    <row r="433" spans="1:10" hidden="1" x14ac:dyDescent="0.35">
      <c r="A433" s="2">
        <v>44591</v>
      </c>
      <c r="C433" t="s">
        <v>24</v>
      </c>
      <c r="D433">
        <v>563</v>
      </c>
      <c r="I433" s="26"/>
      <c r="J433" s="25">
        <v>210400</v>
      </c>
    </row>
    <row r="434" spans="1:10" hidden="1" x14ac:dyDescent="0.35">
      <c r="A434" s="2">
        <v>44591</v>
      </c>
      <c r="C434" t="s">
        <v>9</v>
      </c>
      <c r="D434">
        <v>369</v>
      </c>
      <c r="I434" s="26"/>
      <c r="J434" s="25">
        <v>267330</v>
      </c>
    </row>
    <row r="435" spans="1:10" hidden="1" x14ac:dyDescent="0.35">
      <c r="A435" s="2">
        <v>44591</v>
      </c>
      <c r="C435" t="s">
        <v>37</v>
      </c>
      <c r="D435">
        <v>843</v>
      </c>
      <c r="I435" s="26"/>
      <c r="J435" s="25">
        <v>551000</v>
      </c>
    </row>
    <row r="436" spans="1:10" hidden="1" x14ac:dyDescent="0.35">
      <c r="A436" s="2">
        <v>44591</v>
      </c>
      <c r="C436" t="s">
        <v>23</v>
      </c>
      <c r="D436">
        <v>462</v>
      </c>
      <c r="I436" s="26"/>
      <c r="J436" s="25">
        <v>286700</v>
      </c>
    </row>
    <row r="437" spans="1:10" hidden="1" x14ac:dyDescent="0.35">
      <c r="A437" s="2">
        <v>44591</v>
      </c>
      <c r="C437" t="s">
        <v>27</v>
      </c>
      <c r="D437">
        <v>378</v>
      </c>
      <c r="I437" s="26"/>
      <c r="J437" s="25">
        <v>338000</v>
      </c>
    </row>
    <row r="438" spans="1:10" hidden="1" x14ac:dyDescent="0.35">
      <c r="A438" s="2">
        <v>44591</v>
      </c>
      <c r="C438" t="s">
        <v>26</v>
      </c>
      <c r="D438">
        <v>393</v>
      </c>
      <c r="I438" s="26"/>
      <c r="J438" s="25">
        <v>131900</v>
      </c>
    </row>
    <row r="439" spans="1:10" hidden="1" x14ac:dyDescent="0.35">
      <c r="A439" s="2">
        <v>44591</v>
      </c>
      <c r="C439" t="s">
        <v>20</v>
      </c>
      <c r="D439">
        <v>362</v>
      </c>
      <c r="I439" s="26"/>
      <c r="J439" s="25">
        <v>500400</v>
      </c>
    </row>
    <row r="440" spans="1:10" hidden="1" x14ac:dyDescent="0.35">
      <c r="A440" s="2">
        <v>44591</v>
      </c>
      <c r="C440" t="s">
        <v>25</v>
      </c>
      <c r="D440">
        <v>351</v>
      </c>
      <c r="I440" s="26"/>
      <c r="J440" s="25">
        <v>287850</v>
      </c>
    </row>
    <row r="441" spans="1:10" hidden="1" x14ac:dyDescent="0.35">
      <c r="A441" s="2">
        <v>44591</v>
      </c>
      <c r="C441" t="s">
        <v>19</v>
      </c>
      <c r="D441">
        <v>480</v>
      </c>
      <c r="I441" s="26"/>
      <c r="J441" s="25">
        <v>512450</v>
      </c>
    </row>
    <row r="442" spans="1:10" hidden="1" x14ac:dyDescent="0.35">
      <c r="A442" s="2">
        <v>44591</v>
      </c>
      <c r="C442" t="s">
        <v>21</v>
      </c>
      <c r="D442">
        <v>331</v>
      </c>
      <c r="I442" s="28"/>
      <c r="J442" s="27">
        <v>149800</v>
      </c>
    </row>
    <row r="443" spans="1:10" hidden="1" x14ac:dyDescent="0.35">
      <c r="A443" s="2">
        <v>44591</v>
      </c>
      <c r="C443" t="s">
        <v>18</v>
      </c>
      <c r="D443">
        <v>834</v>
      </c>
      <c r="I443" s="26"/>
      <c r="J443" s="25">
        <v>505200</v>
      </c>
    </row>
    <row r="444" spans="1:10" hidden="1" x14ac:dyDescent="0.35">
      <c r="A444" s="2">
        <v>44591</v>
      </c>
      <c r="C444" t="s">
        <v>22</v>
      </c>
      <c r="D444">
        <v>271</v>
      </c>
      <c r="I444" s="28"/>
      <c r="J444" s="27">
        <v>353300</v>
      </c>
    </row>
    <row r="445" spans="1:10" hidden="1" x14ac:dyDescent="0.35">
      <c r="A445" s="2">
        <v>44591</v>
      </c>
      <c r="C445" t="s">
        <v>54</v>
      </c>
      <c r="D445">
        <v>343</v>
      </c>
      <c r="I445" s="28"/>
      <c r="J445" s="27">
        <v>143900</v>
      </c>
    </row>
    <row r="446" spans="1:10" hidden="1" x14ac:dyDescent="0.35">
      <c r="A446" s="2">
        <v>44591</v>
      </c>
      <c r="C446" t="s">
        <v>55</v>
      </c>
      <c r="D446">
        <v>515</v>
      </c>
      <c r="I446" s="28"/>
      <c r="J446" s="27">
        <v>107750</v>
      </c>
    </row>
    <row r="447" spans="1:10" hidden="1" x14ac:dyDescent="0.35">
      <c r="A447" s="2">
        <v>44591</v>
      </c>
      <c r="C447" t="s">
        <v>58</v>
      </c>
      <c r="D447">
        <v>457</v>
      </c>
      <c r="I447" s="28"/>
      <c r="J447" s="27">
        <v>131500</v>
      </c>
    </row>
    <row r="448" spans="1:10" hidden="1" x14ac:dyDescent="0.35">
      <c r="A448" s="2">
        <v>44591</v>
      </c>
      <c r="C448" t="s">
        <v>62</v>
      </c>
      <c r="D448">
        <v>432</v>
      </c>
      <c r="I448" s="28"/>
      <c r="J448" s="27">
        <v>140600</v>
      </c>
    </row>
    <row r="449" spans="1:10" hidden="1" x14ac:dyDescent="0.35">
      <c r="A449" s="2">
        <v>44591</v>
      </c>
      <c r="C449" t="s">
        <v>61</v>
      </c>
      <c r="D449">
        <v>785</v>
      </c>
      <c r="I449" s="28"/>
      <c r="J449" s="27">
        <v>85750</v>
      </c>
    </row>
    <row r="450" spans="1:10" hidden="1" x14ac:dyDescent="0.35">
      <c r="A450" s="2">
        <v>44591</v>
      </c>
      <c r="C450" t="s">
        <v>63</v>
      </c>
      <c r="D450">
        <v>266</v>
      </c>
      <c r="I450" s="28"/>
      <c r="J450" s="27">
        <v>159950</v>
      </c>
    </row>
    <row r="451" spans="1:10" hidden="1" x14ac:dyDescent="0.35">
      <c r="A451" s="2">
        <v>44591</v>
      </c>
      <c r="B451" t="s">
        <v>36</v>
      </c>
      <c r="C451" t="s">
        <v>20</v>
      </c>
      <c r="E451">
        <v>15</v>
      </c>
      <c r="F451">
        <v>3</v>
      </c>
      <c r="G451">
        <v>35</v>
      </c>
      <c r="H451">
        <v>1</v>
      </c>
      <c r="I451">
        <v>15</v>
      </c>
      <c r="J451" s="52"/>
    </row>
    <row r="452" spans="1:10" hidden="1" x14ac:dyDescent="0.35">
      <c r="A452" s="2">
        <v>44591</v>
      </c>
      <c r="B452" t="s">
        <v>17</v>
      </c>
      <c r="C452" t="s">
        <v>20</v>
      </c>
      <c r="E452">
        <v>32</v>
      </c>
      <c r="F452">
        <v>1</v>
      </c>
      <c r="G452">
        <v>41</v>
      </c>
      <c r="H452">
        <v>1</v>
      </c>
      <c r="I452">
        <v>21</v>
      </c>
      <c r="J452" s="52"/>
    </row>
    <row r="453" spans="1:10" hidden="1" x14ac:dyDescent="0.35">
      <c r="A453" s="2">
        <v>44591</v>
      </c>
      <c r="B453" t="s">
        <v>17</v>
      </c>
      <c r="C453" t="s">
        <v>26</v>
      </c>
      <c r="E453">
        <v>27</v>
      </c>
      <c r="F453">
        <v>3</v>
      </c>
      <c r="G453">
        <v>29</v>
      </c>
      <c r="H453">
        <v>3</v>
      </c>
      <c r="I453">
        <v>10</v>
      </c>
      <c r="J453" s="52"/>
    </row>
    <row r="454" spans="1:10" hidden="1" x14ac:dyDescent="0.35">
      <c r="A454" s="2">
        <v>44591</v>
      </c>
      <c r="B454" t="s">
        <v>38</v>
      </c>
      <c r="C454" t="s">
        <v>18</v>
      </c>
      <c r="E454">
        <v>16</v>
      </c>
      <c r="F454">
        <v>2</v>
      </c>
      <c r="G454">
        <v>29</v>
      </c>
      <c r="H454">
        <v>12</v>
      </c>
      <c r="I454">
        <v>21</v>
      </c>
      <c r="J454" s="52"/>
    </row>
    <row r="455" spans="1:10" hidden="1" x14ac:dyDescent="0.35">
      <c r="A455" s="2">
        <v>44591</v>
      </c>
      <c r="B455" t="s">
        <v>67</v>
      </c>
      <c r="C455" t="s">
        <v>18</v>
      </c>
      <c r="E455">
        <v>49</v>
      </c>
      <c r="F455">
        <v>10</v>
      </c>
      <c r="G455">
        <v>21</v>
      </c>
      <c r="H455">
        <v>7</v>
      </c>
      <c r="I455">
        <v>14</v>
      </c>
      <c r="J455" s="52"/>
    </row>
    <row r="456" spans="1:10" hidden="1" x14ac:dyDescent="0.35">
      <c r="A456" s="2">
        <v>44591</v>
      </c>
      <c r="B456" t="s">
        <v>13</v>
      </c>
      <c r="C456" t="s">
        <v>25</v>
      </c>
      <c r="E456">
        <v>53</v>
      </c>
      <c r="F456">
        <v>5</v>
      </c>
      <c r="G456">
        <v>50</v>
      </c>
      <c r="H456">
        <v>3</v>
      </c>
      <c r="I456">
        <v>22</v>
      </c>
      <c r="J456" s="52"/>
    </row>
    <row r="457" spans="1:10" hidden="1" x14ac:dyDescent="0.35">
      <c r="A457" s="2">
        <v>44591</v>
      </c>
      <c r="B457" t="s">
        <v>13</v>
      </c>
      <c r="C457" t="s">
        <v>23</v>
      </c>
      <c r="E457">
        <v>24</v>
      </c>
      <c r="F457">
        <v>4</v>
      </c>
      <c r="G457">
        <v>15</v>
      </c>
      <c r="H457">
        <v>0</v>
      </c>
      <c r="I457">
        <v>7</v>
      </c>
      <c r="J457" s="52"/>
    </row>
    <row r="458" spans="1:10" hidden="1" x14ac:dyDescent="0.35">
      <c r="A458" s="2">
        <v>44591</v>
      </c>
      <c r="B458" t="s">
        <v>41</v>
      </c>
      <c r="C458" t="s">
        <v>23</v>
      </c>
      <c r="E458">
        <v>36</v>
      </c>
      <c r="F458">
        <v>6</v>
      </c>
      <c r="G458">
        <v>28</v>
      </c>
      <c r="H458">
        <v>3</v>
      </c>
      <c r="I458">
        <v>15</v>
      </c>
      <c r="J458" s="52"/>
    </row>
    <row r="459" spans="1:10" hidden="1" x14ac:dyDescent="0.35">
      <c r="A459" s="2">
        <v>44591</v>
      </c>
      <c r="B459" t="s">
        <v>41</v>
      </c>
      <c r="C459" t="s">
        <v>24</v>
      </c>
      <c r="E459">
        <v>22</v>
      </c>
      <c r="F459">
        <v>2</v>
      </c>
      <c r="G459">
        <v>15</v>
      </c>
      <c r="H459">
        <v>2</v>
      </c>
      <c r="I459">
        <v>6</v>
      </c>
      <c r="J459" s="52"/>
    </row>
    <row r="460" spans="1:10" hidden="1" x14ac:dyDescent="0.35">
      <c r="A460" s="2">
        <v>44591</v>
      </c>
      <c r="B460" t="s">
        <v>12</v>
      </c>
      <c r="C460" t="s">
        <v>24</v>
      </c>
      <c r="E460">
        <v>34</v>
      </c>
      <c r="F460">
        <v>3</v>
      </c>
      <c r="G460">
        <v>30</v>
      </c>
      <c r="H460">
        <v>0</v>
      </c>
      <c r="I460">
        <v>9</v>
      </c>
      <c r="J460" s="52"/>
    </row>
    <row r="461" spans="1:10" hidden="1" x14ac:dyDescent="0.35">
      <c r="A461" s="2">
        <v>44591</v>
      </c>
      <c r="B461" t="s">
        <v>12</v>
      </c>
      <c r="C461" t="s">
        <v>37</v>
      </c>
      <c r="E461">
        <v>29</v>
      </c>
      <c r="F461">
        <v>3</v>
      </c>
      <c r="G461">
        <v>28</v>
      </c>
      <c r="H461">
        <v>4</v>
      </c>
      <c r="I461">
        <v>17</v>
      </c>
      <c r="J461" s="52"/>
    </row>
    <row r="462" spans="1:10" hidden="1" x14ac:dyDescent="0.35">
      <c r="A462" s="2">
        <v>44591</v>
      </c>
      <c r="B462" t="s">
        <v>50</v>
      </c>
      <c r="C462" t="s">
        <v>37</v>
      </c>
      <c r="E462">
        <v>38</v>
      </c>
      <c r="F462">
        <v>14</v>
      </c>
      <c r="G462">
        <v>39</v>
      </c>
      <c r="H462">
        <v>6</v>
      </c>
      <c r="I462">
        <v>18</v>
      </c>
      <c r="J462" s="52"/>
    </row>
    <row r="463" spans="1:10" hidden="1" x14ac:dyDescent="0.35">
      <c r="A463" s="2">
        <v>44591</v>
      </c>
      <c r="B463" t="s">
        <v>68</v>
      </c>
      <c r="C463" t="s">
        <v>37</v>
      </c>
      <c r="E463">
        <v>23</v>
      </c>
      <c r="F463">
        <v>6</v>
      </c>
      <c r="G463">
        <v>6</v>
      </c>
      <c r="H463">
        <v>1</v>
      </c>
      <c r="I463">
        <v>3</v>
      </c>
      <c r="J463" s="52"/>
    </row>
    <row r="464" spans="1:10" hidden="1" x14ac:dyDescent="0.35">
      <c r="A464" s="2">
        <v>44591</v>
      </c>
      <c r="B464" t="s">
        <v>40</v>
      </c>
      <c r="C464" t="s">
        <v>19</v>
      </c>
      <c r="E464">
        <v>33</v>
      </c>
      <c r="F464">
        <v>1</v>
      </c>
      <c r="G464">
        <v>40</v>
      </c>
      <c r="H464">
        <v>4</v>
      </c>
      <c r="I464">
        <v>19</v>
      </c>
      <c r="J464" s="52"/>
    </row>
    <row r="465" spans="1:10" hidden="1" x14ac:dyDescent="0.35">
      <c r="A465" s="2">
        <v>44591</v>
      </c>
      <c r="B465" t="s">
        <v>42</v>
      </c>
      <c r="C465" t="s">
        <v>19</v>
      </c>
      <c r="E465">
        <v>31</v>
      </c>
      <c r="F465">
        <v>3</v>
      </c>
      <c r="G465">
        <v>40</v>
      </c>
      <c r="H465">
        <v>6</v>
      </c>
      <c r="I465">
        <v>16</v>
      </c>
      <c r="J465" s="52"/>
    </row>
    <row r="466" spans="1:10" hidden="1" x14ac:dyDescent="0.35">
      <c r="A466" s="2">
        <v>44591</v>
      </c>
      <c r="B466" t="s">
        <v>8</v>
      </c>
      <c r="C466" t="s">
        <v>22</v>
      </c>
      <c r="E466">
        <v>5</v>
      </c>
      <c r="F466">
        <v>3</v>
      </c>
      <c r="G466">
        <v>9</v>
      </c>
      <c r="H466">
        <v>5</v>
      </c>
      <c r="I466">
        <v>5</v>
      </c>
      <c r="J466" s="52"/>
    </row>
    <row r="467" spans="1:10" hidden="1" x14ac:dyDescent="0.35">
      <c r="A467" s="2">
        <v>44591</v>
      </c>
      <c r="B467" t="s">
        <v>66</v>
      </c>
      <c r="C467" t="s">
        <v>22</v>
      </c>
      <c r="E467">
        <v>18</v>
      </c>
      <c r="F467">
        <v>16</v>
      </c>
      <c r="G467">
        <v>13</v>
      </c>
      <c r="H467">
        <v>4</v>
      </c>
      <c r="I467">
        <v>21</v>
      </c>
      <c r="J467" s="52"/>
    </row>
    <row r="468" spans="1:10" hidden="1" x14ac:dyDescent="0.35">
      <c r="A468" s="2">
        <v>44591</v>
      </c>
      <c r="B468" t="s">
        <v>43</v>
      </c>
      <c r="C468" t="s">
        <v>27</v>
      </c>
      <c r="E468">
        <v>42</v>
      </c>
      <c r="F468">
        <v>6</v>
      </c>
      <c r="G468">
        <v>29</v>
      </c>
      <c r="I468">
        <v>23</v>
      </c>
      <c r="J468" s="52"/>
    </row>
    <row r="469" spans="1:10" hidden="1" x14ac:dyDescent="0.35">
      <c r="A469" s="2">
        <v>44591</v>
      </c>
      <c r="B469" t="s">
        <v>49</v>
      </c>
      <c r="C469" t="s">
        <v>9</v>
      </c>
      <c r="E469">
        <v>28</v>
      </c>
      <c r="F469">
        <v>2</v>
      </c>
      <c r="G469">
        <v>37</v>
      </c>
      <c r="H469">
        <v>2</v>
      </c>
      <c r="I469">
        <v>14</v>
      </c>
      <c r="J469" s="52"/>
    </row>
    <row r="470" spans="1:10" hidden="1" x14ac:dyDescent="0.35">
      <c r="A470" s="2">
        <v>44591</v>
      </c>
      <c r="B470" t="s">
        <v>68</v>
      </c>
      <c r="C470" t="s">
        <v>9</v>
      </c>
      <c r="E470">
        <v>17</v>
      </c>
      <c r="F470">
        <v>0</v>
      </c>
      <c r="G470">
        <v>4</v>
      </c>
      <c r="H470">
        <v>0</v>
      </c>
      <c r="I470">
        <v>5</v>
      </c>
      <c r="J470" s="52"/>
    </row>
    <row r="471" spans="1:10" hidden="1" x14ac:dyDescent="0.35">
      <c r="A471" s="2">
        <v>44591</v>
      </c>
      <c r="B471" t="s">
        <v>14</v>
      </c>
      <c r="C471" t="s">
        <v>21</v>
      </c>
      <c r="E471">
        <v>14</v>
      </c>
      <c r="F471">
        <v>7</v>
      </c>
      <c r="G471">
        <v>9</v>
      </c>
      <c r="H471">
        <v>13</v>
      </c>
      <c r="I471">
        <v>11</v>
      </c>
      <c r="J471" s="52"/>
    </row>
    <row r="472" spans="1:10" hidden="1" x14ac:dyDescent="0.35">
      <c r="A472" s="2">
        <v>44591</v>
      </c>
      <c r="B472" t="s">
        <v>56</v>
      </c>
      <c r="C472" t="s">
        <v>54</v>
      </c>
      <c r="E472">
        <v>10</v>
      </c>
      <c r="F472">
        <v>7</v>
      </c>
      <c r="G472">
        <v>14</v>
      </c>
      <c r="H472">
        <v>5</v>
      </c>
      <c r="I472">
        <v>10</v>
      </c>
      <c r="J472" s="52"/>
    </row>
    <row r="473" spans="1:10" hidden="1" x14ac:dyDescent="0.35">
      <c r="A473" s="2">
        <v>44591</v>
      </c>
      <c r="B473" t="s">
        <v>57</v>
      </c>
      <c r="C473" t="s">
        <v>55</v>
      </c>
      <c r="E473">
        <v>24</v>
      </c>
      <c r="F473">
        <v>8</v>
      </c>
      <c r="G473">
        <v>17</v>
      </c>
      <c r="H473">
        <v>7</v>
      </c>
      <c r="I473">
        <v>8</v>
      </c>
      <c r="J473" s="52"/>
    </row>
    <row r="474" spans="1:10" hidden="1" x14ac:dyDescent="0.35">
      <c r="A474" s="2">
        <v>44591</v>
      </c>
      <c r="B474" t="s">
        <v>59</v>
      </c>
      <c r="C474" t="s">
        <v>58</v>
      </c>
      <c r="E474">
        <v>24</v>
      </c>
      <c r="F474">
        <v>18</v>
      </c>
      <c r="G474">
        <v>10</v>
      </c>
      <c r="H474">
        <v>6</v>
      </c>
      <c r="I474">
        <v>5</v>
      </c>
      <c r="J474" s="52"/>
    </row>
    <row r="475" spans="1:10" hidden="1" x14ac:dyDescent="0.35">
      <c r="A475" s="2">
        <v>44591</v>
      </c>
      <c r="B475" t="s">
        <v>65</v>
      </c>
      <c r="C475" t="s">
        <v>58</v>
      </c>
      <c r="E475">
        <v>7</v>
      </c>
      <c r="F475">
        <v>5</v>
      </c>
      <c r="G475">
        <v>1</v>
      </c>
      <c r="H475">
        <v>0</v>
      </c>
      <c r="I475">
        <v>5</v>
      </c>
      <c r="J475" s="52"/>
    </row>
    <row r="476" spans="1:10" hidden="1" x14ac:dyDescent="0.35">
      <c r="A476" s="2">
        <v>44591</v>
      </c>
      <c r="B476" t="s">
        <v>64</v>
      </c>
      <c r="C476" t="s">
        <v>62</v>
      </c>
      <c r="E476">
        <v>31</v>
      </c>
      <c r="F476">
        <v>8</v>
      </c>
      <c r="G476">
        <v>10</v>
      </c>
      <c r="H476">
        <v>5</v>
      </c>
      <c r="I476">
        <v>10</v>
      </c>
      <c r="J476" s="52"/>
    </row>
    <row r="477" spans="1:10" hidden="1" x14ac:dyDescent="0.35">
      <c r="A477" s="2">
        <v>44591</v>
      </c>
      <c r="B477" t="s">
        <v>75</v>
      </c>
      <c r="C477" t="s">
        <v>61</v>
      </c>
      <c r="E477">
        <v>39</v>
      </c>
      <c r="F477">
        <v>17</v>
      </c>
      <c r="G477">
        <v>2</v>
      </c>
      <c r="H477">
        <v>1</v>
      </c>
      <c r="I477">
        <v>6</v>
      </c>
      <c r="J477" s="52"/>
    </row>
    <row r="478" spans="1:10" hidden="1" x14ac:dyDescent="0.35">
      <c r="A478" s="2">
        <v>44591</v>
      </c>
      <c r="B478" t="s">
        <v>69</v>
      </c>
      <c r="C478" t="s">
        <v>63</v>
      </c>
      <c r="E478">
        <v>15</v>
      </c>
      <c r="F478">
        <v>2</v>
      </c>
      <c r="G478">
        <v>7</v>
      </c>
      <c r="H478">
        <v>4</v>
      </c>
      <c r="I478">
        <v>12</v>
      </c>
      <c r="J478" s="52"/>
    </row>
    <row r="479" spans="1:10" hidden="1" x14ac:dyDescent="0.35">
      <c r="A479" s="2">
        <v>44620</v>
      </c>
      <c r="C479" t="s">
        <v>24</v>
      </c>
      <c r="D479">
        <v>392</v>
      </c>
      <c r="J479" s="58">
        <v>245550</v>
      </c>
    </row>
    <row r="480" spans="1:10" hidden="1" x14ac:dyDescent="0.35">
      <c r="A480" s="2">
        <v>44620</v>
      </c>
      <c r="C480" t="s">
        <v>9</v>
      </c>
      <c r="D480">
        <v>281</v>
      </c>
      <c r="J480" s="58">
        <v>143960</v>
      </c>
    </row>
    <row r="481" spans="1:10" hidden="1" x14ac:dyDescent="0.35">
      <c r="A481" s="2">
        <v>44620</v>
      </c>
      <c r="C481" t="s">
        <v>37</v>
      </c>
      <c r="D481">
        <v>643</v>
      </c>
      <c r="J481" s="52">
        <v>452900</v>
      </c>
    </row>
    <row r="482" spans="1:10" hidden="1" x14ac:dyDescent="0.35">
      <c r="A482" s="2">
        <v>44620</v>
      </c>
      <c r="C482" t="s">
        <v>23</v>
      </c>
      <c r="D482">
        <v>371</v>
      </c>
      <c r="J482" s="58">
        <v>49500</v>
      </c>
    </row>
    <row r="483" spans="1:10" hidden="1" x14ac:dyDescent="0.35">
      <c r="A483" s="2">
        <v>44620</v>
      </c>
      <c r="C483" t="s">
        <v>27</v>
      </c>
      <c r="D483">
        <v>308</v>
      </c>
      <c r="J483" s="58">
        <v>366300</v>
      </c>
    </row>
    <row r="484" spans="1:10" hidden="1" x14ac:dyDescent="0.35">
      <c r="A484" s="2">
        <v>44620</v>
      </c>
      <c r="C484" t="s">
        <v>26</v>
      </c>
      <c r="D484">
        <v>274</v>
      </c>
      <c r="J484" s="58">
        <v>169850</v>
      </c>
    </row>
    <row r="485" spans="1:10" hidden="1" x14ac:dyDescent="0.35">
      <c r="A485" s="2">
        <v>44620</v>
      </c>
      <c r="C485" t="s">
        <v>20</v>
      </c>
      <c r="D485">
        <v>249</v>
      </c>
      <c r="J485" s="58">
        <v>315050</v>
      </c>
    </row>
    <row r="486" spans="1:10" hidden="1" x14ac:dyDescent="0.35">
      <c r="A486" s="2">
        <v>44620</v>
      </c>
      <c r="C486" t="s">
        <v>25</v>
      </c>
      <c r="D486">
        <v>261</v>
      </c>
      <c r="J486" s="58">
        <v>174400</v>
      </c>
    </row>
    <row r="487" spans="1:10" hidden="1" x14ac:dyDescent="0.35">
      <c r="A487" s="2">
        <v>44620</v>
      </c>
      <c r="C487" t="s">
        <v>19</v>
      </c>
      <c r="D487">
        <v>403</v>
      </c>
      <c r="J487" s="58">
        <v>468300</v>
      </c>
    </row>
    <row r="488" spans="1:10" hidden="1" x14ac:dyDescent="0.35">
      <c r="A488" s="2">
        <v>44620</v>
      </c>
      <c r="C488" t="s">
        <v>21</v>
      </c>
      <c r="D488">
        <v>354</v>
      </c>
      <c r="J488" s="58">
        <v>165700</v>
      </c>
    </row>
    <row r="489" spans="1:10" hidden="1" x14ac:dyDescent="0.35">
      <c r="A489" s="2">
        <v>44620</v>
      </c>
      <c r="C489" t="s">
        <v>18</v>
      </c>
      <c r="D489">
        <v>599</v>
      </c>
      <c r="J489" s="58">
        <v>348949.99</v>
      </c>
    </row>
    <row r="490" spans="1:10" hidden="1" x14ac:dyDescent="0.35">
      <c r="A490" s="2">
        <v>44620</v>
      </c>
      <c r="C490" t="s">
        <v>22</v>
      </c>
      <c r="D490">
        <v>216</v>
      </c>
      <c r="J490" s="58">
        <v>360600</v>
      </c>
    </row>
    <row r="491" spans="1:10" hidden="1" x14ac:dyDescent="0.35">
      <c r="A491" s="2">
        <v>44620</v>
      </c>
      <c r="C491" t="s">
        <v>54</v>
      </c>
      <c r="D491">
        <v>272</v>
      </c>
      <c r="J491" s="58">
        <v>125650</v>
      </c>
    </row>
    <row r="492" spans="1:10" hidden="1" x14ac:dyDescent="0.35">
      <c r="A492" s="2">
        <v>44620</v>
      </c>
      <c r="C492" t="s">
        <v>55</v>
      </c>
      <c r="D492">
        <v>408</v>
      </c>
      <c r="J492" s="58">
        <v>147550</v>
      </c>
    </row>
    <row r="493" spans="1:10" hidden="1" x14ac:dyDescent="0.35">
      <c r="A493" s="2">
        <v>44620</v>
      </c>
      <c r="C493" t="s">
        <v>58</v>
      </c>
      <c r="D493">
        <v>335</v>
      </c>
      <c r="J493" s="58">
        <v>129445</v>
      </c>
    </row>
    <row r="494" spans="1:10" hidden="1" x14ac:dyDescent="0.35">
      <c r="A494" s="2">
        <v>44620</v>
      </c>
      <c r="C494" t="s">
        <v>62</v>
      </c>
      <c r="D494">
        <v>318</v>
      </c>
      <c r="J494" s="58">
        <v>109800</v>
      </c>
    </row>
    <row r="495" spans="1:10" hidden="1" x14ac:dyDescent="0.35">
      <c r="A495" s="2">
        <v>44620</v>
      </c>
      <c r="C495" t="s">
        <v>61</v>
      </c>
      <c r="D495">
        <v>566</v>
      </c>
      <c r="J495" s="58">
        <v>110000</v>
      </c>
    </row>
    <row r="496" spans="1:10" hidden="1" x14ac:dyDescent="0.35">
      <c r="A496" s="2">
        <v>44620</v>
      </c>
      <c r="C496" t="s">
        <v>63</v>
      </c>
      <c r="D496">
        <v>211</v>
      </c>
      <c r="J496" s="58">
        <v>134800</v>
      </c>
    </row>
    <row r="497" spans="1:10" hidden="1" x14ac:dyDescent="0.35">
      <c r="A497" s="2">
        <v>44620</v>
      </c>
      <c r="B497" t="s">
        <v>17</v>
      </c>
      <c r="C497" t="s">
        <v>20</v>
      </c>
      <c r="E497">
        <v>42</v>
      </c>
      <c r="F497">
        <v>8</v>
      </c>
      <c r="G497">
        <v>39</v>
      </c>
      <c r="H497">
        <v>0</v>
      </c>
      <c r="I497">
        <v>19</v>
      </c>
      <c r="J497" s="52"/>
    </row>
    <row r="498" spans="1:10" hidden="1" x14ac:dyDescent="0.35">
      <c r="A498" s="2">
        <v>44620</v>
      </c>
      <c r="B498" t="s">
        <v>17</v>
      </c>
      <c r="C498" t="s">
        <v>26</v>
      </c>
      <c r="E498">
        <v>2</v>
      </c>
      <c r="F498">
        <v>0</v>
      </c>
      <c r="G498">
        <v>21</v>
      </c>
      <c r="H498">
        <v>1</v>
      </c>
      <c r="I498">
        <v>9</v>
      </c>
      <c r="J498" s="52"/>
    </row>
    <row r="499" spans="1:10" hidden="1" x14ac:dyDescent="0.35">
      <c r="A499" s="2">
        <v>44620</v>
      </c>
      <c r="B499" t="s">
        <v>70</v>
      </c>
      <c r="C499" t="s">
        <v>26</v>
      </c>
      <c r="E499">
        <v>44</v>
      </c>
      <c r="F499">
        <v>6</v>
      </c>
      <c r="G499">
        <v>4</v>
      </c>
      <c r="H499">
        <v>0</v>
      </c>
      <c r="I499">
        <v>4</v>
      </c>
      <c r="J499" s="52"/>
    </row>
    <row r="500" spans="1:10" hidden="1" x14ac:dyDescent="0.35">
      <c r="A500" s="2">
        <v>44620</v>
      </c>
      <c r="B500" t="s">
        <v>70</v>
      </c>
      <c r="C500" t="s">
        <v>20</v>
      </c>
      <c r="E500">
        <v>26</v>
      </c>
      <c r="F500">
        <v>5</v>
      </c>
      <c r="G500">
        <v>0</v>
      </c>
      <c r="H500">
        <v>0</v>
      </c>
      <c r="I500">
        <v>3</v>
      </c>
      <c r="J500" s="52"/>
    </row>
    <row r="501" spans="1:10" hidden="1" x14ac:dyDescent="0.35">
      <c r="A501" s="2">
        <v>44620</v>
      </c>
      <c r="B501" t="s">
        <v>38</v>
      </c>
      <c r="C501" t="s">
        <v>18</v>
      </c>
      <c r="E501">
        <v>30</v>
      </c>
      <c r="F501">
        <v>6</v>
      </c>
      <c r="G501">
        <v>39</v>
      </c>
      <c r="H501">
        <v>6</v>
      </c>
      <c r="I501">
        <v>18</v>
      </c>
      <c r="J501" s="52"/>
    </row>
    <row r="502" spans="1:10" hidden="1" x14ac:dyDescent="0.35">
      <c r="A502" s="2">
        <v>44620</v>
      </c>
      <c r="B502" t="s">
        <v>67</v>
      </c>
      <c r="C502" t="s">
        <v>18</v>
      </c>
      <c r="E502">
        <v>38</v>
      </c>
      <c r="F502">
        <v>16</v>
      </c>
      <c r="G502">
        <v>24</v>
      </c>
      <c r="H502">
        <v>10</v>
      </c>
      <c r="I502">
        <v>7</v>
      </c>
      <c r="J502" s="52"/>
    </row>
    <row r="503" spans="1:10" hidden="1" x14ac:dyDescent="0.35">
      <c r="A503" s="2">
        <v>44620</v>
      </c>
      <c r="B503" t="s">
        <v>13</v>
      </c>
      <c r="C503" t="s">
        <v>25</v>
      </c>
      <c r="E503">
        <v>43</v>
      </c>
      <c r="F503">
        <v>2</v>
      </c>
      <c r="G503">
        <v>32</v>
      </c>
      <c r="H503">
        <v>5</v>
      </c>
      <c r="I503">
        <v>13</v>
      </c>
      <c r="J503" s="52"/>
    </row>
    <row r="504" spans="1:10" hidden="1" x14ac:dyDescent="0.35">
      <c r="A504" s="2">
        <v>44620</v>
      </c>
      <c r="B504" t="s">
        <v>13</v>
      </c>
      <c r="C504" t="s">
        <v>23</v>
      </c>
      <c r="E504">
        <v>24</v>
      </c>
      <c r="F504">
        <v>2</v>
      </c>
      <c r="G504">
        <v>16</v>
      </c>
      <c r="H504">
        <v>1</v>
      </c>
      <c r="I504">
        <v>0</v>
      </c>
      <c r="J504" s="52"/>
    </row>
    <row r="505" spans="1:10" hidden="1" x14ac:dyDescent="0.35">
      <c r="A505" s="2">
        <v>44620</v>
      </c>
      <c r="B505" t="s">
        <v>41</v>
      </c>
      <c r="C505" t="s">
        <v>23</v>
      </c>
      <c r="E505">
        <v>19</v>
      </c>
      <c r="F505">
        <v>5</v>
      </c>
      <c r="G505">
        <v>18</v>
      </c>
      <c r="H505">
        <v>2</v>
      </c>
      <c r="I505">
        <v>4</v>
      </c>
      <c r="J505" s="52"/>
    </row>
    <row r="506" spans="1:10" hidden="1" x14ac:dyDescent="0.35">
      <c r="A506" s="2">
        <v>44620</v>
      </c>
      <c r="B506" t="s">
        <v>41</v>
      </c>
      <c r="C506" t="s">
        <v>24</v>
      </c>
      <c r="E506">
        <v>27</v>
      </c>
      <c r="F506">
        <v>5</v>
      </c>
      <c r="G506">
        <v>12</v>
      </c>
      <c r="H506">
        <v>3</v>
      </c>
      <c r="I506">
        <v>7</v>
      </c>
      <c r="J506" s="52"/>
    </row>
    <row r="507" spans="1:10" hidden="1" x14ac:dyDescent="0.35">
      <c r="A507" s="2">
        <v>44620</v>
      </c>
      <c r="B507" t="s">
        <v>12</v>
      </c>
      <c r="C507" t="s">
        <v>24</v>
      </c>
      <c r="E507">
        <v>8</v>
      </c>
      <c r="F507">
        <v>3</v>
      </c>
      <c r="G507">
        <v>11</v>
      </c>
      <c r="H507">
        <v>0</v>
      </c>
      <c r="I507">
        <v>11</v>
      </c>
      <c r="J507" s="52"/>
    </row>
    <row r="508" spans="1:10" hidden="1" x14ac:dyDescent="0.35">
      <c r="A508" s="2">
        <v>44620</v>
      </c>
      <c r="B508" t="s">
        <v>12</v>
      </c>
      <c r="C508" t="s">
        <v>37</v>
      </c>
      <c r="E508">
        <v>7</v>
      </c>
      <c r="F508">
        <v>1</v>
      </c>
      <c r="G508">
        <v>16</v>
      </c>
      <c r="H508">
        <v>12</v>
      </c>
      <c r="I508">
        <v>14</v>
      </c>
      <c r="J508" s="52"/>
    </row>
    <row r="509" spans="1:10" hidden="1" x14ac:dyDescent="0.35">
      <c r="A509" s="2">
        <v>44620</v>
      </c>
      <c r="B509" t="s">
        <v>50</v>
      </c>
      <c r="C509" t="s">
        <v>37</v>
      </c>
      <c r="E509">
        <v>38</v>
      </c>
      <c r="F509">
        <v>11</v>
      </c>
      <c r="G509">
        <v>30</v>
      </c>
      <c r="H509">
        <v>8</v>
      </c>
      <c r="I509">
        <v>14</v>
      </c>
      <c r="J509" s="52"/>
    </row>
    <row r="510" spans="1:10" hidden="1" x14ac:dyDescent="0.35">
      <c r="A510" s="2">
        <v>44620</v>
      </c>
      <c r="B510" t="s">
        <v>68</v>
      </c>
      <c r="C510" t="s">
        <v>37</v>
      </c>
      <c r="E510">
        <v>19</v>
      </c>
      <c r="F510">
        <v>11</v>
      </c>
      <c r="G510">
        <v>7</v>
      </c>
      <c r="H510">
        <v>1</v>
      </c>
      <c r="I510">
        <v>3</v>
      </c>
      <c r="J510" s="52"/>
    </row>
    <row r="511" spans="1:10" hidden="1" x14ac:dyDescent="0.35">
      <c r="A511" s="2">
        <v>44620</v>
      </c>
      <c r="B511" t="s">
        <v>40</v>
      </c>
      <c r="C511" t="s">
        <v>19</v>
      </c>
      <c r="E511">
        <v>51</v>
      </c>
      <c r="F511">
        <v>7</v>
      </c>
      <c r="G511">
        <v>37</v>
      </c>
      <c r="H511">
        <v>1</v>
      </c>
      <c r="I511">
        <v>19</v>
      </c>
      <c r="J511" s="52"/>
    </row>
    <row r="512" spans="1:10" hidden="1" x14ac:dyDescent="0.35">
      <c r="A512" s="2">
        <v>44620</v>
      </c>
      <c r="B512" t="s">
        <v>42</v>
      </c>
      <c r="C512" t="s">
        <v>19</v>
      </c>
      <c r="E512">
        <v>32</v>
      </c>
      <c r="F512">
        <v>3</v>
      </c>
      <c r="G512">
        <v>36</v>
      </c>
      <c r="H512">
        <v>2</v>
      </c>
      <c r="I512">
        <v>13</v>
      </c>
      <c r="J512" s="52"/>
    </row>
    <row r="513" spans="1:10" hidden="1" x14ac:dyDescent="0.35">
      <c r="A513" s="2">
        <v>44620</v>
      </c>
      <c r="B513" t="s">
        <v>8</v>
      </c>
      <c r="C513" t="s">
        <v>22</v>
      </c>
      <c r="E513">
        <v>12</v>
      </c>
      <c r="F513">
        <v>2</v>
      </c>
      <c r="G513">
        <v>15</v>
      </c>
      <c r="H513">
        <v>7</v>
      </c>
      <c r="I513">
        <v>5</v>
      </c>
      <c r="J513" s="52"/>
    </row>
    <row r="514" spans="1:10" hidden="1" x14ac:dyDescent="0.35">
      <c r="A514" s="2">
        <v>44620</v>
      </c>
      <c r="B514" t="s">
        <v>66</v>
      </c>
      <c r="C514" t="s">
        <v>22</v>
      </c>
      <c r="E514">
        <v>39</v>
      </c>
      <c r="F514">
        <v>17</v>
      </c>
      <c r="G514">
        <v>11</v>
      </c>
      <c r="H514">
        <v>1</v>
      </c>
      <c r="I514">
        <v>21</v>
      </c>
      <c r="J514" s="52"/>
    </row>
    <row r="515" spans="1:10" hidden="1" x14ac:dyDescent="0.35">
      <c r="A515" s="2">
        <v>44620</v>
      </c>
      <c r="B515" t="s">
        <v>43</v>
      </c>
      <c r="C515" t="s">
        <v>27</v>
      </c>
      <c r="E515">
        <v>39</v>
      </c>
      <c r="G515">
        <v>19</v>
      </c>
      <c r="I515">
        <v>25</v>
      </c>
      <c r="J515" s="52"/>
    </row>
    <row r="516" spans="1:10" hidden="1" x14ac:dyDescent="0.35">
      <c r="A516" s="2">
        <v>44620</v>
      </c>
      <c r="B516" t="s">
        <v>49</v>
      </c>
      <c r="C516" t="s">
        <v>9</v>
      </c>
      <c r="E516">
        <v>39</v>
      </c>
      <c r="F516">
        <v>2</v>
      </c>
      <c r="G516">
        <v>44</v>
      </c>
      <c r="H516">
        <v>2</v>
      </c>
      <c r="I516">
        <v>7</v>
      </c>
      <c r="J516" s="52"/>
    </row>
    <row r="517" spans="1:10" hidden="1" x14ac:dyDescent="0.35">
      <c r="A517" s="2">
        <v>44620</v>
      </c>
      <c r="B517" t="s">
        <v>68</v>
      </c>
      <c r="C517" t="s">
        <v>9</v>
      </c>
      <c r="E517">
        <v>23</v>
      </c>
      <c r="F517">
        <v>3</v>
      </c>
      <c r="G517">
        <v>8</v>
      </c>
      <c r="H517">
        <v>1</v>
      </c>
      <c r="I517">
        <v>3</v>
      </c>
      <c r="J517" s="52"/>
    </row>
    <row r="518" spans="1:10" hidden="1" x14ac:dyDescent="0.35">
      <c r="A518" s="2">
        <v>44620</v>
      </c>
      <c r="B518" t="s">
        <v>14</v>
      </c>
      <c r="C518" t="s">
        <v>21</v>
      </c>
      <c r="E518">
        <v>23</v>
      </c>
      <c r="F518">
        <v>15</v>
      </c>
      <c r="G518">
        <v>20</v>
      </c>
      <c r="H518">
        <v>19</v>
      </c>
      <c r="I518">
        <v>12</v>
      </c>
      <c r="J518" s="52"/>
    </row>
    <row r="519" spans="1:10" hidden="1" x14ac:dyDescent="0.35">
      <c r="A519" s="2">
        <v>44620</v>
      </c>
      <c r="B519" t="s">
        <v>56</v>
      </c>
      <c r="C519" t="s">
        <v>54</v>
      </c>
      <c r="E519">
        <v>28</v>
      </c>
      <c r="F519">
        <v>10</v>
      </c>
      <c r="G519">
        <v>14</v>
      </c>
      <c r="H519">
        <v>1</v>
      </c>
      <c r="I519">
        <v>9</v>
      </c>
      <c r="J519" s="52"/>
    </row>
    <row r="520" spans="1:10" hidden="1" x14ac:dyDescent="0.35">
      <c r="A520" s="2">
        <v>44620</v>
      </c>
      <c r="B520" t="s">
        <v>57</v>
      </c>
      <c r="C520" t="s">
        <v>55</v>
      </c>
      <c r="E520">
        <v>39</v>
      </c>
      <c r="F520">
        <v>4</v>
      </c>
      <c r="G520">
        <v>18</v>
      </c>
      <c r="H520">
        <v>13</v>
      </c>
      <c r="I520">
        <v>11</v>
      </c>
      <c r="J520" s="52"/>
    </row>
    <row r="521" spans="1:10" hidden="1" x14ac:dyDescent="0.35">
      <c r="A521" s="2">
        <v>44620</v>
      </c>
      <c r="B521" t="s">
        <v>59</v>
      </c>
      <c r="C521" t="s">
        <v>58</v>
      </c>
      <c r="E521">
        <v>12</v>
      </c>
      <c r="F521">
        <v>11</v>
      </c>
      <c r="G521">
        <v>14</v>
      </c>
      <c r="H521">
        <v>4</v>
      </c>
      <c r="I521">
        <v>6</v>
      </c>
      <c r="J521" s="52"/>
    </row>
    <row r="522" spans="1:10" hidden="1" x14ac:dyDescent="0.35">
      <c r="A522" s="2">
        <v>44620</v>
      </c>
      <c r="B522" t="s">
        <v>65</v>
      </c>
      <c r="C522" t="s">
        <v>58</v>
      </c>
      <c r="E522">
        <v>21</v>
      </c>
      <c r="F522">
        <v>14</v>
      </c>
      <c r="G522">
        <v>5</v>
      </c>
      <c r="H522">
        <v>5</v>
      </c>
      <c r="I522">
        <v>4</v>
      </c>
      <c r="J522" s="52"/>
    </row>
    <row r="523" spans="1:10" hidden="1" x14ac:dyDescent="0.35">
      <c r="A523" s="2">
        <v>44620</v>
      </c>
      <c r="B523" t="s">
        <v>64</v>
      </c>
      <c r="C523" t="s">
        <v>62</v>
      </c>
      <c r="E523">
        <v>32</v>
      </c>
      <c r="F523">
        <v>10</v>
      </c>
      <c r="G523">
        <v>10</v>
      </c>
      <c r="H523">
        <v>6</v>
      </c>
      <c r="I523">
        <v>8</v>
      </c>
      <c r="J523" s="52"/>
    </row>
    <row r="524" spans="1:10" hidden="1" x14ac:dyDescent="0.35">
      <c r="A524" s="2">
        <v>44620</v>
      </c>
      <c r="B524" t="s">
        <v>75</v>
      </c>
      <c r="C524" t="s">
        <v>61</v>
      </c>
      <c r="E524">
        <v>38</v>
      </c>
      <c r="F524">
        <v>4</v>
      </c>
      <c r="G524">
        <v>6</v>
      </c>
      <c r="H524">
        <v>2</v>
      </c>
      <c r="I524">
        <v>8</v>
      </c>
      <c r="J524" s="52"/>
    </row>
    <row r="525" spans="1:10" hidden="1" x14ac:dyDescent="0.35">
      <c r="A525" s="2">
        <v>44620</v>
      </c>
      <c r="B525" t="s">
        <v>69</v>
      </c>
      <c r="C525" t="s">
        <v>63</v>
      </c>
      <c r="E525">
        <v>18</v>
      </c>
      <c r="F525">
        <v>3</v>
      </c>
      <c r="G525">
        <v>4</v>
      </c>
      <c r="H525">
        <v>1</v>
      </c>
      <c r="I525">
        <v>10</v>
      </c>
      <c r="J525" s="52"/>
    </row>
    <row r="526" spans="1:10" hidden="1" x14ac:dyDescent="0.35">
      <c r="A526" s="2">
        <v>44651</v>
      </c>
      <c r="C526" t="s">
        <v>24</v>
      </c>
      <c r="D526">
        <v>633</v>
      </c>
      <c r="J526" s="58">
        <v>173300</v>
      </c>
    </row>
    <row r="527" spans="1:10" hidden="1" x14ac:dyDescent="0.35">
      <c r="A527" s="2">
        <v>44651</v>
      </c>
      <c r="C527" t="s">
        <v>9</v>
      </c>
      <c r="D527">
        <v>414</v>
      </c>
      <c r="J527" s="58">
        <v>171995</v>
      </c>
    </row>
    <row r="528" spans="1:10" hidden="1" x14ac:dyDescent="0.35">
      <c r="A528" s="2">
        <v>44651</v>
      </c>
      <c r="C528" t="s">
        <v>37</v>
      </c>
      <c r="D528">
        <v>698</v>
      </c>
      <c r="J528" s="59">
        <v>445100</v>
      </c>
    </row>
    <row r="529" spans="1:10" hidden="1" x14ac:dyDescent="0.35">
      <c r="A529" s="2">
        <v>44651</v>
      </c>
      <c r="C529" t="s">
        <v>23</v>
      </c>
      <c r="D529">
        <v>392</v>
      </c>
      <c r="J529" s="58">
        <v>142800</v>
      </c>
    </row>
    <row r="530" spans="1:10" hidden="1" x14ac:dyDescent="0.35">
      <c r="A530" s="2">
        <v>44651</v>
      </c>
      <c r="C530" t="s">
        <v>27</v>
      </c>
      <c r="D530">
        <v>342</v>
      </c>
      <c r="J530" s="58">
        <v>398650</v>
      </c>
    </row>
    <row r="531" spans="1:10" hidden="1" x14ac:dyDescent="0.35">
      <c r="A531" s="2">
        <v>44651</v>
      </c>
      <c r="C531" t="s">
        <v>26</v>
      </c>
      <c r="D531">
        <v>378</v>
      </c>
      <c r="J531" s="58">
        <v>162900</v>
      </c>
    </row>
    <row r="532" spans="1:10" hidden="1" x14ac:dyDescent="0.35">
      <c r="A532" s="2">
        <v>44651</v>
      </c>
      <c r="C532" t="s">
        <v>20</v>
      </c>
      <c r="D532">
        <v>435</v>
      </c>
      <c r="J532" s="58">
        <v>372359</v>
      </c>
    </row>
    <row r="533" spans="1:10" hidden="1" x14ac:dyDescent="0.35">
      <c r="A533" s="2">
        <v>44651</v>
      </c>
      <c r="C533" t="s">
        <v>25</v>
      </c>
      <c r="D533">
        <v>418</v>
      </c>
      <c r="J533" s="58">
        <v>201550</v>
      </c>
    </row>
    <row r="534" spans="1:10" hidden="1" x14ac:dyDescent="0.35">
      <c r="A534" s="2">
        <v>44651</v>
      </c>
      <c r="C534" t="s">
        <v>19</v>
      </c>
      <c r="D534">
        <v>496</v>
      </c>
      <c r="J534" s="58">
        <v>514000</v>
      </c>
    </row>
    <row r="535" spans="1:10" hidden="1" x14ac:dyDescent="0.35">
      <c r="A535" s="2">
        <v>44651</v>
      </c>
      <c r="C535" t="s">
        <v>21</v>
      </c>
      <c r="D535">
        <v>444</v>
      </c>
      <c r="J535" s="58">
        <v>224440</v>
      </c>
    </row>
    <row r="536" spans="1:10" hidden="1" x14ac:dyDescent="0.35">
      <c r="A536" s="2">
        <v>44651</v>
      </c>
      <c r="C536" t="s">
        <v>18</v>
      </c>
      <c r="D536">
        <v>663</v>
      </c>
      <c r="J536" s="58">
        <v>428950</v>
      </c>
    </row>
    <row r="537" spans="1:10" hidden="1" x14ac:dyDescent="0.35">
      <c r="A537" s="2">
        <v>44651</v>
      </c>
      <c r="C537" t="s">
        <v>22</v>
      </c>
      <c r="D537">
        <v>326</v>
      </c>
      <c r="J537" s="58">
        <v>406850</v>
      </c>
    </row>
    <row r="538" spans="1:10" hidden="1" x14ac:dyDescent="0.35">
      <c r="A538" s="2">
        <v>44651</v>
      </c>
      <c r="C538" t="s">
        <v>54</v>
      </c>
      <c r="D538">
        <v>354</v>
      </c>
      <c r="J538" s="58">
        <v>212450</v>
      </c>
    </row>
    <row r="539" spans="1:10" hidden="1" x14ac:dyDescent="0.35">
      <c r="A539" s="2">
        <v>44651</v>
      </c>
      <c r="C539" t="s">
        <v>55</v>
      </c>
      <c r="D539">
        <v>593</v>
      </c>
      <c r="J539" s="58">
        <v>180900</v>
      </c>
    </row>
    <row r="540" spans="1:10" hidden="1" x14ac:dyDescent="0.35">
      <c r="A540" s="2">
        <v>44651</v>
      </c>
      <c r="C540" t="s">
        <v>58</v>
      </c>
      <c r="D540">
        <v>430</v>
      </c>
      <c r="J540" s="58">
        <v>264000</v>
      </c>
    </row>
    <row r="541" spans="1:10" hidden="1" x14ac:dyDescent="0.35">
      <c r="A541" s="2">
        <v>44651</v>
      </c>
      <c r="C541" t="s">
        <v>62</v>
      </c>
      <c r="D541">
        <v>437</v>
      </c>
      <c r="J541" s="58">
        <v>141100</v>
      </c>
    </row>
    <row r="542" spans="1:10" hidden="1" x14ac:dyDescent="0.35">
      <c r="A542" s="2">
        <v>44651</v>
      </c>
      <c r="C542" t="s">
        <v>61</v>
      </c>
      <c r="D542">
        <v>684</v>
      </c>
      <c r="J542" s="58">
        <v>108420</v>
      </c>
    </row>
    <row r="543" spans="1:10" hidden="1" x14ac:dyDescent="0.35">
      <c r="A543" s="2">
        <v>44651</v>
      </c>
      <c r="C543" t="s">
        <v>63</v>
      </c>
      <c r="D543">
        <v>254</v>
      </c>
      <c r="J543" s="58">
        <v>148000</v>
      </c>
    </row>
    <row r="544" spans="1:10" hidden="1" x14ac:dyDescent="0.35">
      <c r="A544" s="2">
        <v>44651</v>
      </c>
      <c r="B544" t="s">
        <v>17</v>
      </c>
      <c r="C544" t="s">
        <v>20</v>
      </c>
      <c r="E544">
        <v>39</v>
      </c>
      <c r="F544">
        <v>4</v>
      </c>
      <c r="G544">
        <v>33</v>
      </c>
      <c r="H544">
        <v>1</v>
      </c>
      <c r="I544" s="33">
        <v>13</v>
      </c>
      <c r="J544" s="52"/>
    </row>
    <row r="545" spans="1:10" hidden="1" x14ac:dyDescent="0.35">
      <c r="A545" s="2">
        <v>44651</v>
      </c>
      <c r="B545" t="s">
        <v>17</v>
      </c>
      <c r="C545" t="s">
        <v>26</v>
      </c>
      <c r="E545">
        <v>1</v>
      </c>
      <c r="F545">
        <v>1</v>
      </c>
      <c r="G545">
        <v>12</v>
      </c>
      <c r="H545">
        <v>4</v>
      </c>
      <c r="I545" s="33">
        <v>3</v>
      </c>
      <c r="J545" s="52"/>
    </row>
    <row r="546" spans="1:10" hidden="1" x14ac:dyDescent="0.35">
      <c r="A546" s="2">
        <v>44651</v>
      </c>
      <c r="B546" t="s">
        <v>71</v>
      </c>
      <c r="C546" t="s">
        <v>20</v>
      </c>
      <c r="E546">
        <v>30</v>
      </c>
      <c r="F546">
        <v>7</v>
      </c>
      <c r="G546">
        <v>3</v>
      </c>
      <c r="H546">
        <v>0</v>
      </c>
      <c r="I546" s="33">
        <v>5</v>
      </c>
      <c r="J546" s="52"/>
    </row>
    <row r="547" spans="1:10" hidden="1" x14ac:dyDescent="0.35">
      <c r="A547" s="2">
        <v>44651</v>
      </c>
      <c r="B547" t="s">
        <v>70</v>
      </c>
      <c r="C547" t="s">
        <v>26</v>
      </c>
      <c r="E547">
        <v>44</v>
      </c>
      <c r="F547">
        <v>8</v>
      </c>
      <c r="G547">
        <v>10</v>
      </c>
      <c r="H547">
        <v>1</v>
      </c>
      <c r="I547" s="33">
        <v>9</v>
      </c>
      <c r="J547" s="52"/>
    </row>
    <row r="548" spans="1:10" hidden="1" x14ac:dyDescent="0.35">
      <c r="A548" s="2">
        <v>44651</v>
      </c>
      <c r="B548" t="s">
        <v>70</v>
      </c>
      <c r="C548" t="s">
        <v>20</v>
      </c>
      <c r="E548">
        <v>11</v>
      </c>
      <c r="F548">
        <v>3</v>
      </c>
      <c r="G548">
        <v>6</v>
      </c>
      <c r="H548">
        <v>0</v>
      </c>
      <c r="I548" s="33">
        <v>9</v>
      </c>
      <c r="J548" s="52"/>
    </row>
    <row r="549" spans="1:10" hidden="1" x14ac:dyDescent="0.35">
      <c r="A549" s="2">
        <v>44651</v>
      </c>
      <c r="B549" t="s">
        <v>38</v>
      </c>
      <c r="C549" t="s">
        <v>18</v>
      </c>
      <c r="E549">
        <v>59</v>
      </c>
      <c r="F549">
        <v>24</v>
      </c>
      <c r="G549">
        <v>52</v>
      </c>
      <c r="H549">
        <v>29</v>
      </c>
      <c r="I549" s="33">
        <v>19</v>
      </c>
      <c r="J549" s="52"/>
    </row>
    <row r="550" spans="1:10" hidden="1" x14ac:dyDescent="0.35">
      <c r="A550" s="2">
        <v>44651</v>
      </c>
      <c r="B550" t="s">
        <v>67</v>
      </c>
      <c r="C550" t="s">
        <v>18</v>
      </c>
      <c r="E550">
        <v>46</v>
      </c>
      <c r="F550">
        <v>13</v>
      </c>
      <c r="G550">
        <v>26</v>
      </c>
      <c r="H550">
        <v>7</v>
      </c>
      <c r="I550" s="33">
        <v>11</v>
      </c>
      <c r="J550" s="52"/>
    </row>
    <row r="551" spans="1:10" hidden="1" x14ac:dyDescent="0.35">
      <c r="A551" s="2">
        <v>44651</v>
      </c>
      <c r="B551" t="s">
        <v>13</v>
      </c>
      <c r="C551" t="s">
        <v>25</v>
      </c>
      <c r="E551">
        <v>45</v>
      </c>
      <c r="F551">
        <v>11</v>
      </c>
      <c r="G551">
        <v>44</v>
      </c>
      <c r="H551">
        <v>5</v>
      </c>
      <c r="I551" s="33">
        <v>15</v>
      </c>
      <c r="J551" s="52"/>
    </row>
    <row r="552" spans="1:10" hidden="1" x14ac:dyDescent="0.35">
      <c r="A552" s="2">
        <v>44651</v>
      </c>
      <c r="B552" t="s">
        <v>13</v>
      </c>
      <c r="C552" t="s">
        <v>23</v>
      </c>
      <c r="E552">
        <v>25</v>
      </c>
      <c r="F552">
        <v>3</v>
      </c>
      <c r="G552">
        <v>18</v>
      </c>
      <c r="H552">
        <v>0</v>
      </c>
      <c r="I552" s="33">
        <v>5</v>
      </c>
      <c r="J552" s="52"/>
    </row>
    <row r="553" spans="1:10" hidden="1" x14ac:dyDescent="0.35">
      <c r="A553" s="2">
        <v>44651</v>
      </c>
      <c r="B553" t="s">
        <v>41</v>
      </c>
      <c r="C553" t="s">
        <v>23</v>
      </c>
      <c r="E553">
        <v>25</v>
      </c>
      <c r="F553">
        <v>6</v>
      </c>
      <c r="G553">
        <v>22</v>
      </c>
      <c r="H553">
        <v>4</v>
      </c>
      <c r="I553" s="33">
        <v>6</v>
      </c>
      <c r="J553" s="52"/>
    </row>
    <row r="554" spans="1:10" hidden="1" x14ac:dyDescent="0.35">
      <c r="A554" s="2">
        <v>44651</v>
      </c>
      <c r="B554" t="s">
        <v>41</v>
      </c>
      <c r="C554" t="s">
        <v>24</v>
      </c>
      <c r="E554">
        <v>21</v>
      </c>
      <c r="F554">
        <v>1</v>
      </c>
      <c r="G554">
        <v>13</v>
      </c>
      <c r="H554">
        <v>1</v>
      </c>
      <c r="I554" s="33">
        <v>5</v>
      </c>
      <c r="J554" s="52"/>
    </row>
    <row r="555" spans="1:10" hidden="1" x14ac:dyDescent="0.35">
      <c r="A555" s="2">
        <v>44651</v>
      </c>
      <c r="B555" t="s">
        <v>12</v>
      </c>
      <c r="C555" t="s">
        <v>24</v>
      </c>
      <c r="E555">
        <v>39</v>
      </c>
      <c r="F555">
        <v>3</v>
      </c>
      <c r="G555">
        <v>50</v>
      </c>
      <c r="H555">
        <v>5</v>
      </c>
      <c r="I555" s="33">
        <v>8</v>
      </c>
      <c r="J555" s="52"/>
    </row>
    <row r="556" spans="1:10" hidden="1" x14ac:dyDescent="0.35">
      <c r="A556" s="2">
        <v>44651</v>
      </c>
      <c r="B556" t="s">
        <v>12</v>
      </c>
      <c r="C556" t="s">
        <v>37</v>
      </c>
      <c r="E556">
        <v>37</v>
      </c>
      <c r="F556">
        <v>6</v>
      </c>
      <c r="G556">
        <v>32</v>
      </c>
      <c r="H556">
        <v>6</v>
      </c>
      <c r="I556" s="33">
        <v>12</v>
      </c>
      <c r="J556" s="52"/>
    </row>
    <row r="557" spans="1:10" hidden="1" x14ac:dyDescent="0.35">
      <c r="A557" s="2">
        <v>44651</v>
      </c>
      <c r="B557" t="s">
        <v>50</v>
      </c>
      <c r="C557" t="s">
        <v>37</v>
      </c>
      <c r="E557">
        <v>34</v>
      </c>
      <c r="F557">
        <v>11</v>
      </c>
      <c r="G557">
        <v>22</v>
      </c>
      <c r="H557">
        <v>3</v>
      </c>
      <c r="I557" s="33">
        <v>15</v>
      </c>
      <c r="J557" s="52"/>
    </row>
    <row r="558" spans="1:10" hidden="1" x14ac:dyDescent="0.35">
      <c r="A558" s="2">
        <v>44651</v>
      </c>
      <c r="B558" t="s">
        <v>68</v>
      </c>
      <c r="C558" t="s">
        <v>37</v>
      </c>
      <c r="E558">
        <v>2</v>
      </c>
      <c r="F558">
        <v>8</v>
      </c>
      <c r="G558">
        <v>2</v>
      </c>
      <c r="H558">
        <v>0</v>
      </c>
      <c r="I558" s="33">
        <v>4</v>
      </c>
      <c r="J558" s="52"/>
    </row>
    <row r="559" spans="1:10" hidden="1" x14ac:dyDescent="0.35">
      <c r="A559" s="2">
        <v>44651</v>
      </c>
      <c r="B559" t="s">
        <v>40</v>
      </c>
      <c r="C559" t="s">
        <v>19</v>
      </c>
      <c r="E559">
        <v>42</v>
      </c>
      <c r="F559">
        <v>10</v>
      </c>
      <c r="G559">
        <v>49</v>
      </c>
      <c r="H559">
        <v>5</v>
      </c>
      <c r="I559" s="33">
        <v>19</v>
      </c>
      <c r="J559" s="52"/>
    </row>
    <row r="560" spans="1:10" hidden="1" x14ac:dyDescent="0.35">
      <c r="A560" s="2">
        <v>44651</v>
      </c>
      <c r="B560" t="s">
        <v>42</v>
      </c>
      <c r="C560" t="s">
        <v>19</v>
      </c>
      <c r="E560">
        <v>34</v>
      </c>
      <c r="F560">
        <v>3</v>
      </c>
      <c r="G560">
        <v>47</v>
      </c>
      <c r="H560">
        <v>3</v>
      </c>
      <c r="I560" s="33">
        <v>17</v>
      </c>
      <c r="J560" s="52"/>
    </row>
    <row r="561" spans="1:10" hidden="1" x14ac:dyDescent="0.35">
      <c r="A561" s="2">
        <v>44651</v>
      </c>
      <c r="B561" t="s">
        <v>8</v>
      </c>
      <c r="C561" t="s">
        <v>22</v>
      </c>
      <c r="E561">
        <v>1</v>
      </c>
      <c r="F561">
        <v>0</v>
      </c>
      <c r="G561">
        <v>0</v>
      </c>
      <c r="H561">
        <v>0</v>
      </c>
      <c r="I561" s="33">
        <v>1</v>
      </c>
      <c r="J561" s="52"/>
    </row>
    <row r="562" spans="1:10" hidden="1" x14ac:dyDescent="0.35">
      <c r="A562" s="2">
        <v>44651</v>
      </c>
      <c r="B562" t="s">
        <v>66</v>
      </c>
      <c r="C562" t="s">
        <v>22</v>
      </c>
      <c r="E562">
        <v>47</v>
      </c>
      <c r="F562">
        <v>20</v>
      </c>
      <c r="G562">
        <v>29</v>
      </c>
      <c r="H562">
        <v>10</v>
      </c>
      <c r="I562" s="33">
        <v>29</v>
      </c>
      <c r="J562" s="52"/>
    </row>
    <row r="563" spans="1:10" hidden="1" x14ac:dyDescent="0.35">
      <c r="A563" s="2">
        <v>44651</v>
      </c>
      <c r="B563" t="s">
        <v>43</v>
      </c>
      <c r="C563" t="s">
        <v>27</v>
      </c>
      <c r="E563">
        <v>63</v>
      </c>
      <c r="F563">
        <v>0</v>
      </c>
      <c r="G563">
        <v>53</v>
      </c>
      <c r="H563">
        <v>0</v>
      </c>
      <c r="I563" s="33">
        <v>27</v>
      </c>
      <c r="J563" s="52"/>
    </row>
    <row r="564" spans="1:10" hidden="1" x14ac:dyDescent="0.35">
      <c r="A564" s="2">
        <v>44651</v>
      </c>
      <c r="B564" t="s">
        <v>49</v>
      </c>
      <c r="C564" t="s">
        <v>9</v>
      </c>
      <c r="E564">
        <v>43</v>
      </c>
      <c r="F564">
        <v>1</v>
      </c>
      <c r="G564">
        <v>53</v>
      </c>
      <c r="H564">
        <v>0</v>
      </c>
      <c r="I564" s="33">
        <v>10</v>
      </c>
      <c r="J564" s="52"/>
    </row>
    <row r="565" spans="1:10" hidden="1" x14ac:dyDescent="0.35">
      <c r="A565" s="2">
        <v>44651</v>
      </c>
      <c r="B565" t="s">
        <v>68</v>
      </c>
      <c r="C565" t="s">
        <v>9</v>
      </c>
      <c r="E565">
        <v>1</v>
      </c>
      <c r="F565">
        <v>1</v>
      </c>
      <c r="G565">
        <v>1</v>
      </c>
      <c r="H565">
        <v>0</v>
      </c>
      <c r="I565" s="33">
        <v>2</v>
      </c>
      <c r="J565" s="52"/>
    </row>
    <row r="566" spans="1:10" hidden="1" x14ac:dyDescent="0.35">
      <c r="A566" s="2">
        <v>44651</v>
      </c>
      <c r="B566" t="s">
        <v>14</v>
      </c>
      <c r="C566" t="s">
        <v>21</v>
      </c>
      <c r="E566">
        <v>21</v>
      </c>
      <c r="F566">
        <v>22</v>
      </c>
      <c r="G566">
        <v>24</v>
      </c>
      <c r="H566">
        <v>21</v>
      </c>
      <c r="I566" s="33">
        <v>16</v>
      </c>
      <c r="J566" s="52"/>
    </row>
    <row r="567" spans="1:10" hidden="1" x14ac:dyDescent="0.35">
      <c r="A567" s="2">
        <v>44651</v>
      </c>
      <c r="B567" t="s">
        <v>56</v>
      </c>
      <c r="C567" t="s">
        <v>54</v>
      </c>
      <c r="E567">
        <v>26</v>
      </c>
      <c r="F567">
        <v>3</v>
      </c>
      <c r="G567">
        <v>14</v>
      </c>
      <c r="H567">
        <v>10</v>
      </c>
      <c r="I567" s="33">
        <v>11</v>
      </c>
      <c r="J567" s="52"/>
    </row>
    <row r="568" spans="1:10" hidden="1" x14ac:dyDescent="0.35">
      <c r="A568" s="2">
        <v>44651</v>
      </c>
      <c r="B568" t="s">
        <v>72</v>
      </c>
      <c r="C568" t="s">
        <v>54</v>
      </c>
      <c r="E568">
        <v>45</v>
      </c>
      <c r="F568">
        <v>15</v>
      </c>
      <c r="G568">
        <v>1</v>
      </c>
      <c r="H568">
        <v>0</v>
      </c>
      <c r="I568" s="33">
        <v>4</v>
      </c>
      <c r="J568" s="52"/>
    </row>
    <row r="569" spans="1:10" hidden="1" x14ac:dyDescent="0.35">
      <c r="A569" s="2">
        <v>44651</v>
      </c>
      <c r="B569" t="s">
        <v>57</v>
      </c>
      <c r="C569" t="s">
        <v>55</v>
      </c>
      <c r="E569">
        <v>32</v>
      </c>
      <c r="F569">
        <v>23</v>
      </c>
      <c r="G569">
        <v>12</v>
      </c>
      <c r="H569">
        <v>0</v>
      </c>
      <c r="I569" s="33">
        <v>13</v>
      </c>
      <c r="J569" s="52"/>
    </row>
    <row r="570" spans="1:10" hidden="1" x14ac:dyDescent="0.35">
      <c r="A570" s="2">
        <v>44651</v>
      </c>
      <c r="B570" t="s">
        <v>59</v>
      </c>
      <c r="C570" t="s">
        <v>58</v>
      </c>
      <c r="E570">
        <v>16</v>
      </c>
      <c r="F570">
        <v>8</v>
      </c>
      <c r="G570">
        <v>16</v>
      </c>
      <c r="H570">
        <v>5</v>
      </c>
      <c r="I570" s="33">
        <v>11</v>
      </c>
      <c r="J570" s="58"/>
    </row>
    <row r="571" spans="1:10" hidden="1" x14ac:dyDescent="0.35">
      <c r="A571" s="2">
        <v>44651</v>
      </c>
      <c r="B571" t="s">
        <v>65</v>
      </c>
      <c r="C571" t="s">
        <v>58</v>
      </c>
      <c r="E571">
        <v>20</v>
      </c>
      <c r="F571">
        <v>13</v>
      </c>
      <c r="G571">
        <v>7</v>
      </c>
      <c r="H571">
        <v>5</v>
      </c>
      <c r="I571" s="33">
        <v>9</v>
      </c>
      <c r="J571" s="58"/>
    </row>
    <row r="572" spans="1:10" hidden="1" x14ac:dyDescent="0.35">
      <c r="A572" s="2">
        <v>44651</v>
      </c>
      <c r="B572" t="s">
        <v>64</v>
      </c>
      <c r="C572" t="s">
        <v>62</v>
      </c>
      <c r="E572">
        <v>40</v>
      </c>
      <c r="F572">
        <v>15</v>
      </c>
      <c r="G572">
        <v>18</v>
      </c>
      <c r="H572">
        <v>5</v>
      </c>
      <c r="I572" s="33">
        <v>10</v>
      </c>
      <c r="J572" s="52"/>
    </row>
    <row r="573" spans="1:10" hidden="1" x14ac:dyDescent="0.35">
      <c r="A573" s="2">
        <v>44651</v>
      </c>
      <c r="B573" t="s">
        <v>75</v>
      </c>
      <c r="C573" t="s">
        <v>61</v>
      </c>
      <c r="E573">
        <v>67</v>
      </c>
      <c r="F573">
        <v>13</v>
      </c>
      <c r="G573">
        <v>5</v>
      </c>
      <c r="H573">
        <v>1</v>
      </c>
      <c r="I573" s="33">
        <v>8</v>
      </c>
      <c r="J573" s="52"/>
    </row>
    <row r="574" spans="1:10" hidden="1" x14ac:dyDescent="0.35">
      <c r="A574" s="2">
        <v>44651</v>
      </c>
      <c r="B574" t="s">
        <v>69</v>
      </c>
      <c r="C574" t="s">
        <v>63</v>
      </c>
      <c r="E574">
        <v>17</v>
      </c>
      <c r="F574">
        <v>7</v>
      </c>
      <c r="G574">
        <v>7</v>
      </c>
      <c r="H574">
        <v>3</v>
      </c>
      <c r="I574" s="33">
        <v>11</v>
      </c>
      <c r="J574" s="52"/>
    </row>
    <row r="575" spans="1:10" hidden="1" x14ac:dyDescent="0.35">
      <c r="A575" s="2">
        <v>44681</v>
      </c>
      <c r="C575" t="s">
        <v>24</v>
      </c>
      <c r="D575">
        <v>459</v>
      </c>
      <c r="J575" s="52">
        <v>271550</v>
      </c>
    </row>
    <row r="576" spans="1:10" hidden="1" x14ac:dyDescent="0.35">
      <c r="A576" s="2">
        <v>44681</v>
      </c>
      <c r="C576" t="s">
        <v>9</v>
      </c>
      <c r="D576">
        <v>296</v>
      </c>
      <c r="J576" s="52">
        <v>131110</v>
      </c>
    </row>
    <row r="577" spans="1:10" hidden="1" x14ac:dyDescent="0.35">
      <c r="A577" s="2">
        <v>44681</v>
      </c>
      <c r="C577" t="s">
        <v>37</v>
      </c>
      <c r="D577">
        <v>548</v>
      </c>
      <c r="J577" s="52">
        <v>491800</v>
      </c>
    </row>
    <row r="578" spans="1:10" hidden="1" x14ac:dyDescent="0.35">
      <c r="A578" s="2">
        <v>44681</v>
      </c>
      <c r="C578" t="s">
        <v>23</v>
      </c>
      <c r="D578">
        <v>306</v>
      </c>
      <c r="J578" s="52">
        <v>154300</v>
      </c>
    </row>
    <row r="579" spans="1:10" hidden="1" x14ac:dyDescent="0.35">
      <c r="A579" s="2">
        <v>44681</v>
      </c>
      <c r="C579" t="s">
        <v>27</v>
      </c>
      <c r="D579">
        <v>249</v>
      </c>
      <c r="J579" s="52">
        <v>264500</v>
      </c>
    </row>
    <row r="580" spans="1:10" hidden="1" x14ac:dyDescent="0.35">
      <c r="A580" s="2">
        <v>44681</v>
      </c>
      <c r="C580" t="s">
        <v>26</v>
      </c>
      <c r="D580">
        <v>245</v>
      </c>
      <c r="J580" s="52">
        <v>144000</v>
      </c>
    </row>
    <row r="581" spans="1:10" hidden="1" x14ac:dyDescent="0.35">
      <c r="A581" s="2">
        <v>44681</v>
      </c>
      <c r="C581" t="s">
        <v>20</v>
      </c>
      <c r="D581">
        <v>366</v>
      </c>
      <c r="J581" s="52">
        <v>389950</v>
      </c>
    </row>
    <row r="582" spans="1:10" hidden="1" x14ac:dyDescent="0.35">
      <c r="A582" s="2">
        <v>44681</v>
      </c>
      <c r="C582" t="s">
        <v>25</v>
      </c>
      <c r="D582">
        <v>303</v>
      </c>
      <c r="J582" s="52">
        <v>143250</v>
      </c>
    </row>
    <row r="583" spans="1:10" hidden="1" x14ac:dyDescent="0.35">
      <c r="A583" s="2">
        <v>44681</v>
      </c>
      <c r="C583" t="s">
        <v>19</v>
      </c>
      <c r="D583">
        <v>392</v>
      </c>
      <c r="J583" s="52">
        <v>375750</v>
      </c>
    </row>
    <row r="584" spans="1:10" hidden="1" x14ac:dyDescent="0.35">
      <c r="A584" s="2">
        <v>44681</v>
      </c>
      <c r="C584" t="s">
        <v>21</v>
      </c>
      <c r="D584">
        <v>396</v>
      </c>
      <c r="J584" s="52">
        <v>264600</v>
      </c>
    </row>
    <row r="585" spans="1:10" hidden="1" x14ac:dyDescent="0.35">
      <c r="A585" s="2">
        <v>44681</v>
      </c>
      <c r="C585" t="s">
        <v>18</v>
      </c>
      <c r="D585">
        <v>491</v>
      </c>
      <c r="J585" s="57">
        <v>373450</v>
      </c>
    </row>
    <row r="586" spans="1:10" hidden="1" x14ac:dyDescent="0.35">
      <c r="A586" s="2">
        <v>44681</v>
      </c>
      <c r="C586" t="s">
        <v>22</v>
      </c>
      <c r="D586">
        <v>262</v>
      </c>
      <c r="J586" s="52">
        <v>404450</v>
      </c>
    </row>
    <row r="587" spans="1:10" hidden="1" x14ac:dyDescent="0.35">
      <c r="A587" s="2">
        <v>44681</v>
      </c>
      <c r="C587" t="s">
        <v>54</v>
      </c>
      <c r="D587">
        <v>294</v>
      </c>
      <c r="J587" s="52">
        <v>207630</v>
      </c>
    </row>
    <row r="588" spans="1:10" hidden="1" x14ac:dyDescent="0.35">
      <c r="A588" s="2">
        <v>44681</v>
      </c>
      <c r="C588" t="s">
        <v>55</v>
      </c>
      <c r="D588">
        <v>288</v>
      </c>
      <c r="J588" s="52">
        <v>120950</v>
      </c>
    </row>
    <row r="589" spans="1:10" hidden="1" x14ac:dyDescent="0.35">
      <c r="A589" s="2">
        <v>44681</v>
      </c>
      <c r="C589" t="s">
        <v>58</v>
      </c>
      <c r="D589">
        <v>342</v>
      </c>
      <c r="J589" s="52">
        <v>142950</v>
      </c>
    </row>
    <row r="590" spans="1:10" hidden="1" x14ac:dyDescent="0.35">
      <c r="A590" s="2">
        <v>44681</v>
      </c>
      <c r="C590" t="s">
        <v>62</v>
      </c>
      <c r="D590">
        <v>304</v>
      </c>
      <c r="J590" s="52">
        <v>137150</v>
      </c>
    </row>
    <row r="591" spans="1:10" hidden="1" x14ac:dyDescent="0.35">
      <c r="A591" s="2">
        <v>44681</v>
      </c>
      <c r="C591" t="s">
        <v>61</v>
      </c>
      <c r="D591">
        <v>539</v>
      </c>
      <c r="J591" s="52">
        <v>157440</v>
      </c>
    </row>
    <row r="592" spans="1:10" hidden="1" x14ac:dyDescent="0.35">
      <c r="A592" s="2">
        <v>44681</v>
      </c>
      <c r="C592" t="s">
        <v>63</v>
      </c>
      <c r="D592">
        <v>189</v>
      </c>
      <c r="J592" s="52">
        <v>111500</v>
      </c>
    </row>
    <row r="593" spans="1:10" hidden="1" x14ac:dyDescent="0.35">
      <c r="A593" s="2">
        <v>44681</v>
      </c>
      <c r="B593" t="s">
        <v>17</v>
      </c>
      <c r="C593" t="s">
        <v>20</v>
      </c>
      <c r="E593">
        <v>26</v>
      </c>
      <c r="F593">
        <v>5</v>
      </c>
      <c r="G593">
        <v>30</v>
      </c>
      <c r="H593">
        <v>1</v>
      </c>
      <c r="I593">
        <v>13</v>
      </c>
      <c r="J593" s="52"/>
    </row>
    <row r="594" spans="1:10" hidden="1" x14ac:dyDescent="0.35">
      <c r="A594" s="2">
        <v>44681</v>
      </c>
      <c r="B594" t="s">
        <v>71</v>
      </c>
      <c r="C594" t="s">
        <v>20</v>
      </c>
      <c r="E594">
        <v>35</v>
      </c>
      <c r="F594">
        <v>3</v>
      </c>
      <c r="G594">
        <v>8</v>
      </c>
      <c r="H594">
        <v>1</v>
      </c>
      <c r="I594">
        <v>12</v>
      </c>
      <c r="J594" s="52"/>
    </row>
    <row r="595" spans="1:10" hidden="1" x14ac:dyDescent="0.35">
      <c r="A595" s="2">
        <v>44681</v>
      </c>
      <c r="B595" t="s">
        <v>70</v>
      </c>
      <c r="C595" t="s">
        <v>26</v>
      </c>
      <c r="E595">
        <v>35</v>
      </c>
      <c r="F595">
        <v>3</v>
      </c>
      <c r="G595">
        <v>25</v>
      </c>
      <c r="H595">
        <v>3</v>
      </c>
      <c r="I595">
        <v>11</v>
      </c>
      <c r="J595" s="52"/>
    </row>
    <row r="596" spans="1:10" hidden="1" x14ac:dyDescent="0.35">
      <c r="A596" s="2">
        <v>44681</v>
      </c>
      <c r="B596" t="s">
        <v>70</v>
      </c>
      <c r="C596" t="s">
        <v>20</v>
      </c>
      <c r="E596">
        <v>8</v>
      </c>
      <c r="F596">
        <v>0</v>
      </c>
      <c r="G596">
        <v>6</v>
      </c>
      <c r="H596">
        <v>0</v>
      </c>
      <c r="I596">
        <v>3</v>
      </c>
      <c r="J596" s="52"/>
    </row>
    <row r="597" spans="1:10" hidden="1" x14ac:dyDescent="0.35">
      <c r="A597" s="2">
        <v>44681</v>
      </c>
      <c r="B597" t="s">
        <v>38</v>
      </c>
      <c r="C597" t="s">
        <v>18</v>
      </c>
      <c r="E597">
        <v>42</v>
      </c>
      <c r="F597">
        <v>17</v>
      </c>
      <c r="G597">
        <v>46</v>
      </c>
      <c r="H597">
        <v>17</v>
      </c>
      <c r="I597">
        <v>17</v>
      </c>
      <c r="J597" s="52"/>
    </row>
    <row r="598" spans="1:10" hidden="1" x14ac:dyDescent="0.35">
      <c r="A598" s="2">
        <v>44681</v>
      </c>
      <c r="B598" t="s">
        <v>67</v>
      </c>
      <c r="C598" t="s">
        <v>18</v>
      </c>
      <c r="E598">
        <v>31</v>
      </c>
      <c r="F598">
        <v>5</v>
      </c>
      <c r="G598">
        <v>13</v>
      </c>
      <c r="H598">
        <v>4</v>
      </c>
      <c r="I598">
        <v>9</v>
      </c>
      <c r="J598" s="52"/>
    </row>
    <row r="599" spans="1:10" hidden="1" x14ac:dyDescent="0.35">
      <c r="A599" s="2">
        <v>44681</v>
      </c>
      <c r="B599" t="s">
        <v>13</v>
      </c>
      <c r="C599" t="s">
        <v>25</v>
      </c>
      <c r="E599">
        <v>27</v>
      </c>
      <c r="F599">
        <v>2</v>
      </c>
      <c r="G599">
        <v>19</v>
      </c>
      <c r="H599">
        <v>4</v>
      </c>
      <c r="I599">
        <v>11</v>
      </c>
      <c r="J599" s="52"/>
    </row>
    <row r="600" spans="1:10" hidden="1" x14ac:dyDescent="0.35">
      <c r="A600" s="2">
        <v>44681</v>
      </c>
      <c r="B600" t="s">
        <v>13</v>
      </c>
      <c r="C600" t="s">
        <v>23</v>
      </c>
      <c r="E600">
        <v>20</v>
      </c>
      <c r="F600">
        <v>0</v>
      </c>
      <c r="G600">
        <v>9</v>
      </c>
      <c r="H600">
        <v>1</v>
      </c>
      <c r="I600">
        <v>9</v>
      </c>
      <c r="J600" s="52"/>
    </row>
    <row r="601" spans="1:10" hidden="1" x14ac:dyDescent="0.35">
      <c r="A601" s="2">
        <v>44681</v>
      </c>
      <c r="B601" t="s">
        <v>41</v>
      </c>
      <c r="C601" t="s">
        <v>23</v>
      </c>
      <c r="E601">
        <v>13</v>
      </c>
      <c r="F601">
        <v>5</v>
      </c>
      <c r="G601">
        <v>14</v>
      </c>
      <c r="H601">
        <v>3</v>
      </c>
      <c r="I601">
        <v>3</v>
      </c>
      <c r="J601" s="52"/>
    </row>
    <row r="602" spans="1:10" hidden="1" x14ac:dyDescent="0.35">
      <c r="A602" s="2">
        <v>44681</v>
      </c>
      <c r="B602" t="s">
        <v>41</v>
      </c>
      <c r="C602" t="s">
        <v>24</v>
      </c>
      <c r="E602">
        <v>20</v>
      </c>
      <c r="F602">
        <v>2</v>
      </c>
      <c r="G602">
        <v>10</v>
      </c>
      <c r="H602">
        <v>4</v>
      </c>
      <c r="I602">
        <v>3</v>
      </c>
      <c r="J602" s="52"/>
    </row>
    <row r="603" spans="1:10" hidden="1" x14ac:dyDescent="0.35">
      <c r="A603" s="2">
        <v>44681</v>
      </c>
      <c r="B603" t="s">
        <v>12</v>
      </c>
      <c r="C603" t="s">
        <v>24</v>
      </c>
      <c r="E603">
        <v>36</v>
      </c>
      <c r="F603">
        <v>1</v>
      </c>
      <c r="G603">
        <v>25</v>
      </c>
      <c r="H603">
        <v>4</v>
      </c>
      <c r="I603">
        <v>17</v>
      </c>
      <c r="J603" s="52"/>
    </row>
    <row r="604" spans="1:10" hidden="1" x14ac:dyDescent="0.35">
      <c r="A604" s="2">
        <v>44681</v>
      </c>
      <c r="B604" t="s">
        <v>12</v>
      </c>
      <c r="C604" t="s">
        <v>37</v>
      </c>
      <c r="E604">
        <v>26</v>
      </c>
      <c r="F604">
        <v>13</v>
      </c>
      <c r="G604">
        <v>27</v>
      </c>
      <c r="H604">
        <v>6</v>
      </c>
      <c r="I604">
        <v>18</v>
      </c>
      <c r="J604" s="52"/>
    </row>
    <row r="605" spans="1:10" hidden="1" x14ac:dyDescent="0.35">
      <c r="A605" s="2">
        <v>44681</v>
      </c>
      <c r="B605" t="s">
        <v>50</v>
      </c>
      <c r="C605" t="s">
        <v>37</v>
      </c>
      <c r="E605">
        <v>57</v>
      </c>
      <c r="F605">
        <v>9</v>
      </c>
      <c r="G605">
        <v>30</v>
      </c>
      <c r="H605">
        <v>10</v>
      </c>
      <c r="I605">
        <v>16</v>
      </c>
      <c r="J605" s="52"/>
    </row>
    <row r="606" spans="1:10" hidden="1" x14ac:dyDescent="0.35">
      <c r="A606" s="2">
        <v>44681</v>
      </c>
      <c r="B606" t="s">
        <v>40</v>
      </c>
      <c r="C606" t="s">
        <v>19</v>
      </c>
      <c r="E606">
        <v>35</v>
      </c>
      <c r="F606">
        <v>4</v>
      </c>
      <c r="G606">
        <v>32</v>
      </c>
      <c r="H606">
        <v>3</v>
      </c>
      <c r="I606">
        <v>14</v>
      </c>
      <c r="J606" s="52"/>
    </row>
    <row r="607" spans="1:10" hidden="1" x14ac:dyDescent="0.35">
      <c r="A607" s="2">
        <v>44681</v>
      </c>
      <c r="B607" t="s">
        <v>42</v>
      </c>
      <c r="C607" t="s">
        <v>19</v>
      </c>
      <c r="E607">
        <v>40</v>
      </c>
      <c r="F607">
        <v>2</v>
      </c>
      <c r="G607">
        <v>34</v>
      </c>
      <c r="H607">
        <v>3</v>
      </c>
      <c r="I607">
        <v>12</v>
      </c>
      <c r="J607" s="52"/>
    </row>
    <row r="608" spans="1:10" hidden="1" x14ac:dyDescent="0.35">
      <c r="A608" s="2">
        <v>44681</v>
      </c>
      <c r="B608" t="s">
        <v>74</v>
      </c>
      <c r="C608" t="s">
        <v>22</v>
      </c>
      <c r="E608">
        <v>23</v>
      </c>
      <c r="F608">
        <v>20</v>
      </c>
      <c r="G608">
        <v>3</v>
      </c>
      <c r="H608">
        <v>4</v>
      </c>
      <c r="I608">
        <v>2</v>
      </c>
      <c r="J608" s="52"/>
    </row>
    <row r="609" spans="1:10" hidden="1" x14ac:dyDescent="0.35">
      <c r="A609" s="2">
        <v>44681</v>
      </c>
      <c r="B609" t="s">
        <v>66</v>
      </c>
      <c r="C609" t="s">
        <v>22</v>
      </c>
      <c r="E609">
        <v>31</v>
      </c>
      <c r="F609">
        <v>18</v>
      </c>
      <c r="G609">
        <v>21</v>
      </c>
      <c r="H609">
        <v>10</v>
      </c>
      <c r="I609">
        <v>28</v>
      </c>
      <c r="J609" s="52"/>
    </row>
    <row r="610" spans="1:10" hidden="1" x14ac:dyDescent="0.35">
      <c r="A610" s="2">
        <v>44681</v>
      </c>
      <c r="B610" t="s">
        <v>43</v>
      </c>
      <c r="C610" t="s">
        <v>27</v>
      </c>
      <c r="E610">
        <v>38</v>
      </c>
      <c r="F610">
        <v>6</v>
      </c>
      <c r="G610">
        <v>29</v>
      </c>
      <c r="H610">
        <v>0</v>
      </c>
      <c r="I610">
        <v>20</v>
      </c>
      <c r="J610" s="52"/>
    </row>
    <row r="611" spans="1:10" hidden="1" x14ac:dyDescent="0.35">
      <c r="A611" s="2">
        <v>44681</v>
      </c>
      <c r="B611" t="s">
        <v>49</v>
      </c>
      <c r="C611" t="s">
        <v>9</v>
      </c>
      <c r="E611">
        <v>41</v>
      </c>
      <c r="F611">
        <v>1</v>
      </c>
      <c r="G611">
        <v>33</v>
      </c>
      <c r="H611">
        <v>1</v>
      </c>
      <c r="I611">
        <v>10</v>
      </c>
      <c r="J611" s="52"/>
    </row>
    <row r="612" spans="1:10" hidden="1" x14ac:dyDescent="0.35">
      <c r="A612" s="2">
        <v>44681</v>
      </c>
      <c r="B612" t="s">
        <v>14</v>
      </c>
      <c r="C612" t="s">
        <v>21</v>
      </c>
      <c r="E612">
        <v>20</v>
      </c>
      <c r="F612">
        <v>27</v>
      </c>
      <c r="G612">
        <v>31</v>
      </c>
      <c r="H612">
        <v>17</v>
      </c>
      <c r="I612">
        <v>18</v>
      </c>
      <c r="J612" s="52"/>
    </row>
    <row r="613" spans="1:10" hidden="1" x14ac:dyDescent="0.35">
      <c r="A613" s="2">
        <v>44681</v>
      </c>
      <c r="B613" t="s">
        <v>56</v>
      </c>
      <c r="C613" t="s">
        <v>54</v>
      </c>
      <c r="E613">
        <v>19</v>
      </c>
      <c r="F613">
        <v>7</v>
      </c>
      <c r="G613">
        <v>16</v>
      </c>
      <c r="H613">
        <v>7</v>
      </c>
      <c r="I613">
        <v>8</v>
      </c>
      <c r="J613" s="52"/>
    </row>
    <row r="614" spans="1:10" hidden="1" x14ac:dyDescent="0.35">
      <c r="A614" s="2">
        <v>44681</v>
      </c>
      <c r="B614" t="s">
        <v>72</v>
      </c>
      <c r="C614" t="s">
        <v>54</v>
      </c>
      <c r="E614">
        <v>35</v>
      </c>
      <c r="F614">
        <v>12</v>
      </c>
      <c r="G614">
        <v>8</v>
      </c>
      <c r="H614">
        <v>1</v>
      </c>
      <c r="I614">
        <v>7</v>
      </c>
      <c r="J614" s="52"/>
    </row>
    <row r="615" spans="1:10" hidden="1" x14ac:dyDescent="0.35">
      <c r="A615" s="2">
        <v>44681</v>
      </c>
      <c r="B615" t="s">
        <v>57</v>
      </c>
      <c r="C615" t="s">
        <v>55</v>
      </c>
      <c r="E615">
        <v>34</v>
      </c>
      <c r="F615">
        <v>4</v>
      </c>
      <c r="G615">
        <v>21</v>
      </c>
      <c r="H615">
        <v>5</v>
      </c>
      <c r="I615">
        <v>9</v>
      </c>
      <c r="J615" s="52"/>
    </row>
    <row r="616" spans="1:10" hidden="1" x14ac:dyDescent="0.35">
      <c r="A616" s="2">
        <v>44681</v>
      </c>
      <c r="B616" t="s">
        <v>59</v>
      </c>
      <c r="C616" t="s">
        <v>58</v>
      </c>
      <c r="E616">
        <v>4</v>
      </c>
      <c r="F616">
        <v>10</v>
      </c>
      <c r="G616">
        <v>8</v>
      </c>
      <c r="H616">
        <v>13</v>
      </c>
      <c r="I616">
        <v>5</v>
      </c>
      <c r="J616" s="52"/>
    </row>
    <row r="617" spans="1:10" hidden="1" x14ac:dyDescent="0.35">
      <c r="A617" s="2">
        <v>44681</v>
      </c>
      <c r="B617" t="s">
        <v>65</v>
      </c>
      <c r="C617" t="s">
        <v>58</v>
      </c>
      <c r="E617">
        <v>23</v>
      </c>
      <c r="F617">
        <v>12</v>
      </c>
      <c r="G617">
        <v>4</v>
      </c>
      <c r="H617">
        <v>7</v>
      </c>
      <c r="I617">
        <v>6</v>
      </c>
      <c r="J617" s="52"/>
    </row>
    <row r="618" spans="1:10" hidden="1" x14ac:dyDescent="0.35">
      <c r="A618" s="2">
        <v>44681</v>
      </c>
      <c r="B618" t="s">
        <v>64</v>
      </c>
      <c r="C618" t="s">
        <v>62</v>
      </c>
      <c r="E618">
        <v>16</v>
      </c>
      <c r="F618">
        <v>7</v>
      </c>
      <c r="G618">
        <v>15</v>
      </c>
      <c r="H618">
        <v>8</v>
      </c>
      <c r="I618">
        <v>10</v>
      </c>
      <c r="J618" s="52"/>
    </row>
    <row r="619" spans="1:10" hidden="1" x14ac:dyDescent="0.35">
      <c r="A619" s="2">
        <v>44681</v>
      </c>
      <c r="B619" t="s">
        <v>75</v>
      </c>
      <c r="C619" t="s">
        <v>61</v>
      </c>
      <c r="E619">
        <v>39</v>
      </c>
      <c r="F619">
        <v>10</v>
      </c>
      <c r="G619">
        <v>5</v>
      </c>
      <c r="H619">
        <v>5</v>
      </c>
      <c r="I619">
        <v>12</v>
      </c>
      <c r="J619" s="52"/>
    </row>
    <row r="620" spans="1:10" hidden="1" x14ac:dyDescent="0.35">
      <c r="A620" s="2">
        <v>44681</v>
      </c>
      <c r="B620" t="s">
        <v>69</v>
      </c>
      <c r="C620" t="s">
        <v>63</v>
      </c>
      <c r="E620">
        <v>20</v>
      </c>
      <c r="F620">
        <v>3</v>
      </c>
      <c r="G620">
        <v>5</v>
      </c>
      <c r="H620">
        <v>2</v>
      </c>
      <c r="I620">
        <v>9</v>
      </c>
      <c r="J620" s="52"/>
    </row>
    <row r="621" spans="1:10" hidden="1" x14ac:dyDescent="0.35">
      <c r="A621" s="2">
        <v>44711</v>
      </c>
      <c r="C621" t="s">
        <v>24</v>
      </c>
      <c r="D621">
        <v>584</v>
      </c>
      <c r="J621" s="52">
        <v>138250</v>
      </c>
    </row>
    <row r="622" spans="1:10" hidden="1" x14ac:dyDescent="0.35">
      <c r="A622" s="2">
        <v>44711</v>
      </c>
      <c r="C622" t="s">
        <v>9</v>
      </c>
      <c r="D622">
        <v>385</v>
      </c>
      <c r="J622" s="52">
        <v>143060</v>
      </c>
    </row>
    <row r="623" spans="1:10" hidden="1" x14ac:dyDescent="0.35">
      <c r="A623" s="2">
        <v>44711</v>
      </c>
      <c r="C623" t="s">
        <v>37</v>
      </c>
      <c r="D623">
        <v>736</v>
      </c>
      <c r="J623" s="57">
        <v>601000</v>
      </c>
    </row>
    <row r="624" spans="1:10" hidden="1" x14ac:dyDescent="0.35">
      <c r="A624" s="2">
        <v>44711</v>
      </c>
      <c r="C624" t="s">
        <v>23</v>
      </c>
      <c r="D624">
        <v>358</v>
      </c>
      <c r="J624" s="52">
        <v>134000</v>
      </c>
    </row>
    <row r="625" spans="1:10" hidden="1" x14ac:dyDescent="0.35">
      <c r="A625" s="2">
        <v>44711</v>
      </c>
      <c r="C625" t="s">
        <v>27</v>
      </c>
      <c r="D625">
        <v>357</v>
      </c>
      <c r="J625" s="57">
        <v>362550</v>
      </c>
    </row>
    <row r="626" spans="1:10" hidden="1" x14ac:dyDescent="0.35">
      <c r="A626" s="2">
        <v>44711</v>
      </c>
      <c r="C626" t="s">
        <v>26</v>
      </c>
      <c r="D626">
        <v>276</v>
      </c>
      <c r="J626" s="52">
        <v>177950</v>
      </c>
    </row>
    <row r="627" spans="1:10" hidden="1" x14ac:dyDescent="0.35">
      <c r="A627" s="2">
        <v>44711</v>
      </c>
      <c r="C627" t="s">
        <v>20</v>
      </c>
      <c r="D627">
        <v>436</v>
      </c>
      <c r="J627" s="52">
        <v>687400</v>
      </c>
    </row>
    <row r="628" spans="1:10" hidden="1" x14ac:dyDescent="0.35">
      <c r="A628" s="2">
        <v>44711</v>
      </c>
      <c r="C628" t="s">
        <v>25</v>
      </c>
      <c r="D628">
        <v>333</v>
      </c>
      <c r="J628" s="57">
        <v>158400</v>
      </c>
    </row>
    <row r="629" spans="1:10" hidden="1" x14ac:dyDescent="0.35">
      <c r="A629" s="2">
        <v>44711</v>
      </c>
      <c r="C629" t="s">
        <v>19</v>
      </c>
      <c r="D629">
        <v>341</v>
      </c>
      <c r="J629" s="57">
        <v>335400</v>
      </c>
    </row>
    <row r="630" spans="1:10" hidden="1" x14ac:dyDescent="0.35">
      <c r="A630" s="2">
        <v>44711</v>
      </c>
      <c r="C630" t="s">
        <v>21</v>
      </c>
      <c r="D630">
        <v>381</v>
      </c>
      <c r="J630" s="57">
        <v>239150</v>
      </c>
    </row>
    <row r="631" spans="1:10" hidden="1" x14ac:dyDescent="0.35">
      <c r="A631" s="2">
        <v>44711</v>
      </c>
      <c r="C631" t="s">
        <v>18</v>
      </c>
      <c r="D631">
        <v>731</v>
      </c>
      <c r="J631" s="52">
        <v>473950</v>
      </c>
    </row>
    <row r="632" spans="1:10" hidden="1" x14ac:dyDescent="0.35">
      <c r="A632" s="2">
        <v>44711</v>
      </c>
      <c r="C632" t="s">
        <v>22</v>
      </c>
      <c r="D632">
        <v>396</v>
      </c>
      <c r="J632" s="57">
        <v>338400</v>
      </c>
    </row>
    <row r="633" spans="1:10" hidden="1" x14ac:dyDescent="0.35">
      <c r="A633" s="2">
        <v>44711</v>
      </c>
      <c r="C633" t="s">
        <v>54</v>
      </c>
      <c r="D633">
        <v>392</v>
      </c>
      <c r="J633" s="57">
        <v>246400</v>
      </c>
    </row>
    <row r="634" spans="1:10" hidden="1" x14ac:dyDescent="0.35">
      <c r="A634" s="2">
        <v>44711</v>
      </c>
      <c r="C634" t="s">
        <v>55</v>
      </c>
      <c r="D634">
        <v>505</v>
      </c>
      <c r="J634" s="57">
        <v>93300</v>
      </c>
    </row>
    <row r="635" spans="1:10" hidden="1" x14ac:dyDescent="0.35">
      <c r="A635" s="2">
        <v>44711</v>
      </c>
      <c r="C635" t="s">
        <v>58</v>
      </c>
      <c r="D635">
        <v>559</v>
      </c>
      <c r="J635" s="57">
        <v>150350</v>
      </c>
    </row>
    <row r="636" spans="1:10" hidden="1" x14ac:dyDescent="0.35">
      <c r="A636" s="2">
        <v>44711</v>
      </c>
      <c r="C636" t="s">
        <v>62</v>
      </c>
      <c r="D636">
        <v>441</v>
      </c>
      <c r="J636" s="52">
        <v>66950</v>
      </c>
    </row>
    <row r="637" spans="1:10" hidden="1" x14ac:dyDescent="0.35">
      <c r="A637" s="2">
        <v>44711</v>
      </c>
      <c r="C637" t="s">
        <v>61</v>
      </c>
      <c r="D637">
        <v>714</v>
      </c>
      <c r="J637" s="52">
        <v>170420</v>
      </c>
    </row>
    <row r="638" spans="1:10" hidden="1" x14ac:dyDescent="0.35">
      <c r="A638" s="2">
        <v>44711</v>
      </c>
      <c r="C638" t="s">
        <v>63</v>
      </c>
      <c r="D638">
        <v>243</v>
      </c>
      <c r="J638" s="52">
        <v>149500</v>
      </c>
    </row>
    <row r="639" spans="1:10" hidden="1" x14ac:dyDescent="0.35">
      <c r="A639" s="2">
        <v>44711</v>
      </c>
      <c r="C639" t="s">
        <v>73</v>
      </c>
      <c r="D639">
        <v>249</v>
      </c>
      <c r="J639" s="52">
        <v>133850</v>
      </c>
    </row>
    <row r="640" spans="1:10" hidden="1" x14ac:dyDescent="0.35">
      <c r="A640" s="2">
        <v>44711</v>
      </c>
      <c r="B640" t="s">
        <v>17</v>
      </c>
      <c r="C640" t="s">
        <v>20</v>
      </c>
      <c r="E640">
        <v>0</v>
      </c>
      <c r="F640">
        <v>0</v>
      </c>
      <c r="G640">
        <v>4</v>
      </c>
      <c r="H640">
        <v>0</v>
      </c>
      <c r="I640">
        <v>2</v>
      </c>
      <c r="J640" s="52"/>
    </row>
    <row r="641" spans="1:10" hidden="1" x14ac:dyDescent="0.35">
      <c r="A641" s="2">
        <v>44711</v>
      </c>
      <c r="B641" t="s">
        <v>71</v>
      </c>
      <c r="C641" t="s">
        <v>20</v>
      </c>
      <c r="E641">
        <v>47</v>
      </c>
      <c r="F641">
        <v>2</v>
      </c>
      <c r="G641">
        <v>20</v>
      </c>
      <c r="H641">
        <v>2</v>
      </c>
      <c r="I641">
        <v>19</v>
      </c>
      <c r="J641" s="52"/>
    </row>
    <row r="642" spans="1:10" hidden="1" x14ac:dyDescent="0.35">
      <c r="A642" s="2">
        <v>44711</v>
      </c>
      <c r="B642" t="s">
        <v>36</v>
      </c>
      <c r="C642" t="s">
        <v>20</v>
      </c>
      <c r="E642">
        <v>33</v>
      </c>
      <c r="F642">
        <v>2</v>
      </c>
      <c r="G642">
        <v>68</v>
      </c>
      <c r="H642">
        <v>5</v>
      </c>
      <c r="I642">
        <v>26</v>
      </c>
      <c r="J642" s="52"/>
    </row>
    <row r="643" spans="1:10" hidden="1" x14ac:dyDescent="0.35">
      <c r="A643" s="2">
        <v>44711</v>
      </c>
      <c r="B643" t="s">
        <v>70</v>
      </c>
      <c r="C643" t="s">
        <v>26</v>
      </c>
      <c r="E643">
        <v>34</v>
      </c>
      <c r="F643">
        <v>4</v>
      </c>
      <c r="G643">
        <v>40</v>
      </c>
      <c r="H643">
        <v>1</v>
      </c>
      <c r="I643">
        <v>12</v>
      </c>
      <c r="J643" s="52"/>
    </row>
    <row r="644" spans="1:10" hidden="1" x14ac:dyDescent="0.35">
      <c r="A644" s="2">
        <v>44711</v>
      </c>
      <c r="B644" t="s">
        <v>70</v>
      </c>
      <c r="C644" t="s">
        <v>20</v>
      </c>
      <c r="E644">
        <v>3</v>
      </c>
      <c r="F644">
        <v>1</v>
      </c>
      <c r="G644">
        <v>2</v>
      </c>
      <c r="H644">
        <v>1</v>
      </c>
      <c r="I644">
        <v>3</v>
      </c>
      <c r="J644" s="52"/>
    </row>
    <row r="645" spans="1:10" hidden="1" x14ac:dyDescent="0.35">
      <c r="A645" s="2">
        <v>44711</v>
      </c>
      <c r="B645" t="s">
        <v>17</v>
      </c>
      <c r="C645" t="s">
        <v>26</v>
      </c>
      <c r="E645">
        <v>0</v>
      </c>
      <c r="F645">
        <v>0</v>
      </c>
      <c r="G645">
        <v>0</v>
      </c>
      <c r="H645">
        <v>0</v>
      </c>
      <c r="I645">
        <v>2</v>
      </c>
      <c r="J645" s="52"/>
    </row>
    <row r="646" spans="1:10" hidden="1" x14ac:dyDescent="0.35">
      <c r="A646" s="2">
        <v>44711</v>
      </c>
      <c r="B646" t="s">
        <v>38</v>
      </c>
      <c r="C646" t="s">
        <v>18</v>
      </c>
      <c r="E646">
        <v>41</v>
      </c>
      <c r="F646">
        <v>14</v>
      </c>
      <c r="G646">
        <v>38</v>
      </c>
      <c r="H646">
        <v>15</v>
      </c>
      <c r="I646">
        <v>24</v>
      </c>
      <c r="J646" s="52"/>
    </row>
    <row r="647" spans="1:10" hidden="1" x14ac:dyDescent="0.35">
      <c r="A647" s="2">
        <v>44711</v>
      </c>
      <c r="B647" t="s">
        <v>67</v>
      </c>
      <c r="C647" t="s">
        <v>18</v>
      </c>
      <c r="E647">
        <v>40</v>
      </c>
      <c r="F647">
        <v>14</v>
      </c>
      <c r="G647">
        <v>33</v>
      </c>
      <c r="H647">
        <v>10</v>
      </c>
      <c r="I647">
        <v>10</v>
      </c>
      <c r="J647" s="52"/>
    </row>
    <row r="648" spans="1:10" hidden="1" x14ac:dyDescent="0.35">
      <c r="A648" s="2">
        <v>44711</v>
      </c>
      <c r="B648" t="s">
        <v>13</v>
      </c>
      <c r="C648" t="s">
        <v>25</v>
      </c>
      <c r="E648">
        <v>36</v>
      </c>
      <c r="F648">
        <v>10</v>
      </c>
      <c r="G648">
        <v>37</v>
      </c>
      <c r="H648">
        <v>2</v>
      </c>
      <c r="I648">
        <v>12</v>
      </c>
      <c r="J648" s="52"/>
    </row>
    <row r="649" spans="1:10" hidden="1" x14ac:dyDescent="0.35">
      <c r="A649" s="2">
        <v>44711</v>
      </c>
      <c r="B649" t="s">
        <v>13</v>
      </c>
      <c r="C649" t="s">
        <v>23</v>
      </c>
      <c r="E649">
        <v>18</v>
      </c>
      <c r="F649">
        <v>3</v>
      </c>
      <c r="G649">
        <v>18</v>
      </c>
      <c r="H649">
        <v>1</v>
      </c>
      <c r="I649">
        <v>6</v>
      </c>
      <c r="J649" s="52"/>
    </row>
    <row r="650" spans="1:10" hidden="1" x14ac:dyDescent="0.35">
      <c r="A650" s="2">
        <v>44711</v>
      </c>
      <c r="B650" t="s">
        <v>41</v>
      </c>
      <c r="C650" t="s">
        <v>23</v>
      </c>
      <c r="E650">
        <v>13</v>
      </c>
      <c r="F650">
        <v>3</v>
      </c>
      <c r="G650">
        <v>18</v>
      </c>
      <c r="H650">
        <v>1</v>
      </c>
      <c r="I650">
        <v>5</v>
      </c>
      <c r="J650" s="52"/>
    </row>
    <row r="651" spans="1:10" hidden="1" x14ac:dyDescent="0.35">
      <c r="A651" s="2">
        <v>44711</v>
      </c>
      <c r="B651" t="s">
        <v>41</v>
      </c>
      <c r="C651" t="s">
        <v>24</v>
      </c>
      <c r="E651">
        <v>24</v>
      </c>
      <c r="F651">
        <v>1</v>
      </c>
      <c r="G651">
        <v>15</v>
      </c>
      <c r="H651">
        <v>0</v>
      </c>
      <c r="I651">
        <v>3</v>
      </c>
      <c r="J651" s="52"/>
    </row>
    <row r="652" spans="1:10" hidden="1" x14ac:dyDescent="0.35">
      <c r="A652" s="2">
        <v>44711</v>
      </c>
      <c r="B652" t="s">
        <v>12</v>
      </c>
      <c r="C652" t="s">
        <v>24</v>
      </c>
      <c r="E652">
        <v>21</v>
      </c>
      <c r="F652">
        <v>1</v>
      </c>
      <c r="G652">
        <v>28</v>
      </c>
      <c r="H652">
        <v>6</v>
      </c>
      <c r="I652">
        <v>7</v>
      </c>
      <c r="J652" s="52"/>
    </row>
    <row r="653" spans="1:10" hidden="1" x14ac:dyDescent="0.35">
      <c r="A653" s="2">
        <v>44711</v>
      </c>
      <c r="B653" t="s">
        <v>12</v>
      </c>
      <c r="C653" t="s">
        <v>37</v>
      </c>
      <c r="E653">
        <v>27</v>
      </c>
      <c r="F653">
        <v>7</v>
      </c>
      <c r="G653">
        <v>33</v>
      </c>
      <c r="H653">
        <v>9</v>
      </c>
      <c r="I653">
        <v>19</v>
      </c>
      <c r="J653" s="52"/>
    </row>
    <row r="654" spans="1:10" hidden="1" x14ac:dyDescent="0.35">
      <c r="A654" s="2">
        <v>44711</v>
      </c>
      <c r="B654" t="s">
        <v>50</v>
      </c>
      <c r="C654" t="s">
        <v>37</v>
      </c>
      <c r="E654">
        <v>32</v>
      </c>
      <c r="F654">
        <v>6</v>
      </c>
      <c r="G654">
        <v>43</v>
      </c>
      <c r="H654">
        <v>14</v>
      </c>
      <c r="I654">
        <v>14</v>
      </c>
      <c r="J654" s="52"/>
    </row>
    <row r="655" spans="1:10" hidden="1" x14ac:dyDescent="0.35">
      <c r="A655" s="2">
        <v>44711</v>
      </c>
      <c r="B655" t="s">
        <v>17</v>
      </c>
      <c r="C655" t="s">
        <v>37</v>
      </c>
      <c r="E655">
        <v>32</v>
      </c>
      <c r="F655">
        <v>12</v>
      </c>
      <c r="G655">
        <v>9</v>
      </c>
      <c r="H655">
        <v>4</v>
      </c>
      <c r="I655">
        <v>9</v>
      </c>
      <c r="J655" s="52"/>
    </row>
    <row r="656" spans="1:10" hidden="1" x14ac:dyDescent="0.35">
      <c r="A656" s="2">
        <v>44711</v>
      </c>
      <c r="B656" t="s">
        <v>40</v>
      </c>
      <c r="C656" t="s">
        <v>19</v>
      </c>
      <c r="E656">
        <v>22</v>
      </c>
      <c r="F656">
        <v>1</v>
      </c>
      <c r="G656">
        <v>33</v>
      </c>
      <c r="H656">
        <v>4</v>
      </c>
      <c r="I656">
        <v>11</v>
      </c>
      <c r="J656" s="52"/>
    </row>
    <row r="657" spans="1:10" hidden="1" x14ac:dyDescent="0.35">
      <c r="A657" s="2">
        <v>44711</v>
      </c>
      <c r="B657" t="s">
        <v>42</v>
      </c>
      <c r="C657" t="s">
        <v>19</v>
      </c>
      <c r="E657">
        <v>22</v>
      </c>
      <c r="F657">
        <v>0</v>
      </c>
      <c r="G657">
        <v>54</v>
      </c>
      <c r="H657">
        <v>2</v>
      </c>
      <c r="I657">
        <v>12</v>
      </c>
      <c r="J657" s="52"/>
    </row>
    <row r="658" spans="1:10" hidden="1" x14ac:dyDescent="0.35">
      <c r="A658" s="2">
        <v>44711</v>
      </c>
      <c r="B658" t="s">
        <v>74</v>
      </c>
      <c r="C658" t="s">
        <v>22</v>
      </c>
      <c r="E658">
        <v>16</v>
      </c>
      <c r="F658">
        <v>22</v>
      </c>
      <c r="G658">
        <v>14</v>
      </c>
      <c r="H658">
        <v>6</v>
      </c>
      <c r="I658">
        <v>9</v>
      </c>
      <c r="J658" s="52"/>
    </row>
    <row r="659" spans="1:10" hidden="1" x14ac:dyDescent="0.35">
      <c r="A659" s="2">
        <v>44711</v>
      </c>
      <c r="B659" t="s">
        <v>66</v>
      </c>
      <c r="C659" t="s">
        <v>22</v>
      </c>
      <c r="E659">
        <v>18</v>
      </c>
      <c r="F659">
        <v>19</v>
      </c>
      <c r="G659">
        <v>14</v>
      </c>
      <c r="H659">
        <v>8</v>
      </c>
      <c r="I659">
        <v>16</v>
      </c>
      <c r="J659" s="52"/>
    </row>
    <row r="660" spans="1:10" hidden="1" x14ac:dyDescent="0.35">
      <c r="A660" s="2">
        <v>44711</v>
      </c>
      <c r="B660" t="s">
        <v>43</v>
      </c>
      <c r="C660" t="s">
        <v>27</v>
      </c>
      <c r="E660">
        <v>42</v>
      </c>
      <c r="F660">
        <v>6</v>
      </c>
      <c r="G660">
        <v>46</v>
      </c>
      <c r="H660">
        <v>0</v>
      </c>
      <c r="I660">
        <v>25</v>
      </c>
      <c r="J660" s="52"/>
    </row>
    <row r="661" spans="1:10" hidden="1" x14ac:dyDescent="0.35">
      <c r="A661" s="2">
        <v>44711</v>
      </c>
      <c r="B661" t="s">
        <v>49</v>
      </c>
      <c r="C661" t="s">
        <v>9</v>
      </c>
      <c r="E661">
        <v>36</v>
      </c>
      <c r="F661">
        <v>1</v>
      </c>
      <c r="G661">
        <v>38</v>
      </c>
      <c r="H661">
        <v>2</v>
      </c>
      <c r="I661">
        <v>11</v>
      </c>
      <c r="J661" s="52"/>
    </row>
    <row r="662" spans="1:10" hidden="1" x14ac:dyDescent="0.35">
      <c r="A662" s="2">
        <v>44711</v>
      </c>
      <c r="B662" t="s">
        <v>14</v>
      </c>
      <c r="C662" t="s">
        <v>21</v>
      </c>
      <c r="E662">
        <v>32</v>
      </c>
      <c r="F662">
        <v>20</v>
      </c>
      <c r="G662">
        <v>28</v>
      </c>
      <c r="H662">
        <v>12</v>
      </c>
      <c r="I662">
        <v>16</v>
      </c>
      <c r="J662" s="52"/>
    </row>
    <row r="663" spans="1:10" hidden="1" x14ac:dyDescent="0.35">
      <c r="A663" s="2">
        <v>44711</v>
      </c>
      <c r="B663" t="s">
        <v>78</v>
      </c>
      <c r="C663" t="s">
        <v>21</v>
      </c>
      <c r="E663">
        <v>15</v>
      </c>
      <c r="F663">
        <v>0</v>
      </c>
      <c r="G663">
        <v>1</v>
      </c>
      <c r="H663">
        <v>0</v>
      </c>
      <c r="I663">
        <v>1</v>
      </c>
      <c r="J663" s="52"/>
    </row>
    <row r="664" spans="1:10" hidden="1" x14ac:dyDescent="0.35">
      <c r="A664" s="2">
        <v>44711</v>
      </c>
      <c r="B664" t="s">
        <v>56</v>
      </c>
      <c r="C664" t="s">
        <v>54</v>
      </c>
      <c r="E664">
        <v>27</v>
      </c>
      <c r="F664">
        <v>16</v>
      </c>
      <c r="G664">
        <v>16</v>
      </c>
      <c r="H664">
        <v>6</v>
      </c>
      <c r="I664">
        <v>8</v>
      </c>
      <c r="J664" s="52"/>
    </row>
    <row r="665" spans="1:10" hidden="1" x14ac:dyDescent="0.35">
      <c r="A665" s="2">
        <v>44711</v>
      </c>
      <c r="B665" t="s">
        <v>72</v>
      </c>
      <c r="C665" t="s">
        <v>54</v>
      </c>
      <c r="E665">
        <v>10</v>
      </c>
      <c r="F665">
        <v>14</v>
      </c>
      <c r="G665">
        <v>7</v>
      </c>
      <c r="H665">
        <v>2</v>
      </c>
      <c r="I665">
        <v>9</v>
      </c>
      <c r="J665" s="52"/>
    </row>
    <row r="666" spans="1:10" hidden="1" x14ac:dyDescent="0.35">
      <c r="A666" s="2">
        <v>44711</v>
      </c>
      <c r="B666" t="s">
        <v>57</v>
      </c>
      <c r="C666" t="s">
        <v>55</v>
      </c>
      <c r="E666">
        <v>30</v>
      </c>
      <c r="F666">
        <v>5</v>
      </c>
      <c r="G666">
        <v>15</v>
      </c>
      <c r="H666">
        <v>5</v>
      </c>
      <c r="I666">
        <v>7</v>
      </c>
      <c r="J666" s="52"/>
    </row>
    <row r="667" spans="1:10" hidden="1" x14ac:dyDescent="0.35">
      <c r="A667" s="2">
        <v>44711</v>
      </c>
      <c r="B667" t="s">
        <v>59</v>
      </c>
      <c r="C667" t="s">
        <v>58</v>
      </c>
      <c r="E667">
        <v>20</v>
      </c>
      <c r="F667">
        <v>16</v>
      </c>
      <c r="G667">
        <v>4</v>
      </c>
      <c r="H667">
        <v>7</v>
      </c>
      <c r="I667">
        <v>4</v>
      </c>
      <c r="J667" s="52"/>
    </row>
    <row r="668" spans="1:10" hidden="1" x14ac:dyDescent="0.35">
      <c r="A668" s="2">
        <v>44711</v>
      </c>
      <c r="B668" t="s">
        <v>65</v>
      </c>
      <c r="C668" t="s">
        <v>58</v>
      </c>
      <c r="E668">
        <v>24</v>
      </c>
      <c r="F668">
        <v>11</v>
      </c>
      <c r="G668">
        <v>12</v>
      </c>
      <c r="H668">
        <v>7</v>
      </c>
      <c r="I668">
        <v>7</v>
      </c>
      <c r="J668" s="52"/>
    </row>
    <row r="669" spans="1:10" hidden="1" x14ac:dyDescent="0.35">
      <c r="A669" s="2">
        <v>44711</v>
      </c>
      <c r="B669" t="s">
        <v>64</v>
      </c>
      <c r="C669" t="s">
        <v>62</v>
      </c>
      <c r="E669">
        <v>32</v>
      </c>
      <c r="F669">
        <v>10</v>
      </c>
      <c r="G669">
        <v>20</v>
      </c>
      <c r="H669">
        <v>8</v>
      </c>
      <c r="I669">
        <v>5</v>
      </c>
      <c r="J669" s="52"/>
    </row>
    <row r="670" spans="1:10" hidden="1" x14ac:dyDescent="0.35">
      <c r="A670" s="2">
        <v>44711</v>
      </c>
      <c r="B670" t="s">
        <v>75</v>
      </c>
      <c r="C670" t="s">
        <v>61</v>
      </c>
      <c r="E670">
        <v>38</v>
      </c>
      <c r="F670">
        <v>8</v>
      </c>
      <c r="G670">
        <v>11</v>
      </c>
      <c r="H670">
        <v>1</v>
      </c>
      <c r="I670">
        <v>13</v>
      </c>
      <c r="J670" s="52"/>
    </row>
    <row r="671" spans="1:10" hidden="1" x14ac:dyDescent="0.35">
      <c r="A671" s="2">
        <v>44711</v>
      </c>
      <c r="B671" t="s">
        <v>69</v>
      </c>
      <c r="C671" t="s">
        <v>63</v>
      </c>
      <c r="E671">
        <v>17</v>
      </c>
      <c r="F671">
        <v>7</v>
      </c>
      <c r="G671">
        <v>10</v>
      </c>
      <c r="H671">
        <v>2</v>
      </c>
      <c r="I671">
        <v>12</v>
      </c>
      <c r="J671" s="52"/>
    </row>
    <row r="672" spans="1:10" hidden="1" x14ac:dyDescent="0.35">
      <c r="A672" s="2">
        <v>44711</v>
      </c>
      <c r="B672" t="s">
        <v>77</v>
      </c>
      <c r="C672" t="s">
        <v>73</v>
      </c>
      <c r="E672">
        <v>23</v>
      </c>
      <c r="F672">
        <v>5</v>
      </c>
      <c r="G672">
        <v>4</v>
      </c>
      <c r="H672">
        <v>2</v>
      </c>
      <c r="I672">
        <v>10</v>
      </c>
      <c r="J672" s="52"/>
    </row>
    <row r="673" spans="1:10" hidden="1" x14ac:dyDescent="0.35">
      <c r="A673" s="2">
        <v>44742</v>
      </c>
      <c r="C673" t="s">
        <v>24</v>
      </c>
      <c r="D673">
        <v>531</v>
      </c>
      <c r="J673" s="52">
        <v>117500</v>
      </c>
    </row>
    <row r="674" spans="1:10" hidden="1" x14ac:dyDescent="0.35">
      <c r="A674" s="2">
        <v>44742</v>
      </c>
      <c r="C674" t="s">
        <v>9</v>
      </c>
      <c r="D674">
        <v>350</v>
      </c>
      <c r="J674" s="52">
        <v>144250</v>
      </c>
    </row>
    <row r="675" spans="1:10" hidden="1" x14ac:dyDescent="0.35">
      <c r="A675" s="2">
        <v>44742</v>
      </c>
      <c r="C675" t="s">
        <v>37</v>
      </c>
      <c r="D675">
        <v>684</v>
      </c>
      <c r="J675" s="57">
        <v>654350</v>
      </c>
    </row>
    <row r="676" spans="1:10" hidden="1" x14ac:dyDescent="0.35">
      <c r="A676" s="2">
        <v>44742</v>
      </c>
      <c r="C676" t="s">
        <v>23</v>
      </c>
      <c r="D676">
        <v>300</v>
      </c>
      <c r="J676" s="52">
        <v>150000</v>
      </c>
    </row>
    <row r="677" spans="1:10" hidden="1" x14ac:dyDescent="0.35">
      <c r="A677" s="2">
        <v>44742</v>
      </c>
      <c r="C677" t="s">
        <v>27</v>
      </c>
      <c r="D677">
        <v>322</v>
      </c>
      <c r="J677" s="57">
        <v>365500</v>
      </c>
    </row>
    <row r="678" spans="1:10" hidden="1" x14ac:dyDescent="0.35">
      <c r="A678" s="2">
        <v>44742</v>
      </c>
      <c r="C678" t="s">
        <v>26</v>
      </c>
      <c r="D678">
        <v>283</v>
      </c>
      <c r="J678" s="52">
        <v>128000</v>
      </c>
    </row>
    <row r="679" spans="1:10" hidden="1" x14ac:dyDescent="0.35">
      <c r="A679" s="2">
        <v>44742</v>
      </c>
      <c r="C679" t="s">
        <v>20</v>
      </c>
      <c r="D679">
        <v>452</v>
      </c>
      <c r="J679" s="52">
        <v>488650</v>
      </c>
    </row>
    <row r="680" spans="1:10" hidden="1" x14ac:dyDescent="0.35">
      <c r="A680" s="2">
        <v>44742</v>
      </c>
      <c r="C680" t="s">
        <v>25</v>
      </c>
      <c r="D680">
        <v>300</v>
      </c>
      <c r="J680" s="52">
        <v>169900</v>
      </c>
    </row>
    <row r="681" spans="1:10" hidden="1" x14ac:dyDescent="0.35">
      <c r="A681" s="2">
        <v>44742</v>
      </c>
      <c r="C681" t="s">
        <v>19</v>
      </c>
      <c r="D681">
        <v>367</v>
      </c>
      <c r="J681" s="52">
        <v>307400</v>
      </c>
    </row>
    <row r="682" spans="1:10" hidden="1" x14ac:dyDescent="0.35">
      <c r="A682" s="2">
        <v>44742</v>
      </c>
      <c r="C682" t="s">
        <v>21</v>
      </c>
      <c r="D682">
        <v>343</v>
      </c>
      <c r="J682" s="52">
        <v>202800</v>
      </c>
    </row>
    <row r="683" spans="1:10" hidden="1" x14ac:dyDescent="0.35">
      <c r="A683" s="2">
        <v>44742</v>
      </c>
      <c r="C683" t="s">
        <v>18</v>
      </c>
      <c r="D683">
        <v>632</v>
      </c>
      <c r="J683" s="52">
        <v>419700</v>
      </c>
    </row>
    <row r="684" spans="1:10" hidden="1" x14ac:dyDescent="0.35">
      <c r="A684" s="2">
        <v>44742</v>
      </c>
      <c r="C684" t="s">
        <v>22</v>
      </c>
      <c r="D684">
        <v>401</v>
      </c>
      <c r="J684" s="52">
        <v>251000</v>
      </c>
    </row>
    <row r="685" spans="1:10" hidden="1" x14ac:dyDescent="0.35">
      <c r="A685" s="2">
        <v>44742</v>
      </c>
      <c r="C685" t="s">
        <v>54</v>
      </c>
      <c r="D685">
        <v>372</v>
      </c>
      <c r="J685" s="52">
        <v>184850</v>
      </c>
    </row>
    <row r="686" spans="1:10" hidden="1" x14ac:dyDescent="0.35">
      <c r="A686" s="2">
        <v>44742</v>
      </c>
      <c r="C686" t="s">
        <v>55</v>
      </c>
      <c r="D686">
        <v>454</v>
      </c>
      <c r="J686" s="52">
        <v>106500</v>
      </c>
    </row>
    <row r="687" spans="1:10" hidden="1" x14ac:dyDescent="0.35">
      <c r="A687" s="2">
        <v>44742</v>
      </c>
      <c r="C687" t="s">
        <v>58</v>
      </c>
      <c r="D687">
        <v>506</v>
      </c>
      <c r="J687" s="52">
        <v>149300</v>
      </c>
    </row>
    <row r="688" spans="1:10" hidden="1" x14ac:dyDescent="0.35">
      <c r="A688" s="2">
        <v>44742</v>
      </c>
      <c r="C688" t="s">
        <v>62</v>
      </c>
      <c r="D688">
        <v>445</v>
      </c>
      <c r="J688" s="52">
        <v>109050</v>
      </c>
    </row>
    <row r="689" spans="1:10" hidden="1" x14ac:dyDescent="0.35">
      <c r="A689" s="2">
        <v>44742</v>
      </c>
      <c r="C689" t="s">
        <v>61</v>
      </c>
      <c r="D689">
        <v>609</v>
      </c>
      <c r="J689" s="52">
        <v>154950</v>
      </c>
    </row>
    <row r="690" spans="1:10" hidden="1" x14ac:dyDescent="0.35">
      <c r="A690" s="2">
        <v>44742</v>
      </c>
      <c r="C690" t="s">
        <v>63</v>
      </c>
      <c r="D690">
        <v>240</v>
      </c>
      <c r="J690" s="52">
        <v>88000</v>
      </c>
    </row>
    <row r="691" spans="1:10" hidden="1" x14ac:dyDescent="0.35">
      <c r="A691" s="2">
        <v>44742</v>
      </c>
      <c r="C691" t="s">
        <v>73</v>
      </c>
      <c r="D691">
        <v>255</v>
      </c>
      <c r="J691" s="52">
        <v>105900</v>
      </c>
    </row>
    <row r="692" spans="1:10" hidden="1" x14ac:dyDescent="0.35">
      <c r="A692" s="2">
        <v>44742</v>
      </c>
      <c r="C692" t="s">
        <v>76</v>
      </c>
      <c r="D692">
        <v>221</v>
      </c>
      <c r="J692" s="52">
        <v>0</v>
      </c>
    </row>
    <row r="693" spans="1:10" hidden="1" x14ac:dyDescent="0.35">
      <c r="A693" s="2">
        <v>44742</v>
      </c>
      <c r="B693" t="s">
        <v>71</v>
      </c>
      <c r="C693" t="s">
        <v>20</v>
      </c>
      <c r="E693">
        <v>32</v>
      </c>
      <c r="F693">
        <v>4</v>
      </c>
      <c r="G693">
        <v>16</v>
      </c>
      <c r="H693">
        <v>2</v>
      </c>
      <c r="I693">
        <v>14</v>
      </c>
      <c r="J693" s="52"/>
    </row>
    <row r="694" spans="1:10" hidden="1" x14ac:dyDescent="0.35">
      <c r="A694" s="2">
        <v>44742</v>
      </c>
      <c r="B694" t="s">
        <v>36</v>
      </c>
      <c r="C694" t="s">
        <v>20</v>
      </c>
      <c r="E694">
        <v>55</v>
      </c>
      <c r="F694">
        <v>9</v>
      </c>
      <c r="G694">
        <v>59</v>
      </c>
      <c r="H694">
        <v>2</v>
      </c>
      <c r="I694">
        <v>19</v>
      </c>
      <c r="J694" s="52"/>
    </row>
    <row r="695" spans="1:10" hidden="1" x14ac:dyDescent="0.35">
      <c r="A695" s="2">
        <v>44742</v>
      </c>
      <c r="B695" t="s">
        <v>70</v>
      </c>
      <c r="C695" t="s">
        <v>26</v>
      </c>
      <c r="E695">
        <v>31</v>
      </c>
      <c r="F695">
        <v>3</v>
      </c>
      <c r="G695">
        <v>42</v>
      </c>
      <c r="H695">
        <v>2</v>
      </c>
      <c r="I695">
        <v>10</v>
      </c>
      <c r="J695" s="52"/>
    </row>
    <row r="696" spans="1:10" hidden="1" x14ac:dyDescent="0.35">
      <c r="A696" s="2">
        <v>44742</v>
      </c>
      <c r="B696" t="s">
        <v>70</v>
      </c>
      <c r="C696" t="s">
        <v>20</v>
      </c>
      <c r="E696">
        <v>0</v>
      </c>
      <c r="F696">
        <v>1</v>
      </c>
      <c r="G696">
        <v>0</v>
      </c>
      <c r="H696">
        <v>1</v>
      </c>
      <c r="I696">
        <v>2</v>
      </c>
      <c r="J696" s="52"/>
    </row>
    <row r="697" spans="1:10" hidden="1" x14ac:dyDescent="0.35">
      <c r="A697" s="2">
        <v>44742</v>
      </c>
      <c r="B697" t="s">
        <v>38</v>
      </c>
      <c r="C697" t="s">
        <v>18</v>
      </c>
      <c r="E697">
        <v>35</v>
      </c>
      <c r="F697">
        <v>9</v>
      </c>
      <c r="G697">
        <v>37</v>
      </c>
      <c r="H697">
        <v>27</v>
      </c>
      <c r="I697">
        <v>26</v>
      </c>
      <c r="J697" s="52"/>
    </row>
    <row r="698" spans="1:10" hidden="1" x14ac:dyDescent="0.35">
      <c r="A698" s="2">
        <v>44742</v>
      </c>
      <c r="B698" t="s">
        <v>67</v>
      </c>
      <c r="C698" t="s">
        <v>18</v>
      </c>
      <c r="E698">
        <v>33</v>
      </c>
      <c r="F698">
        <v>14</v>
      </c>
      <c r="G698">
        <v>17</v>
      </c>
      <c r="H698">
        <v>13</v>
      </c>
      <c r="I698">
        <v>4</v>
      </c>
      <c r="J698" s="52"/>
    </row>
    <row r="699" spans="1:10" hidden="1" x14ac:dyDescent="0.35">
      <c r="A699" s="2">
        <v>44742</v>
      </c>
      <c r="B699" t="s">
        <v>13</v>
      </c>
      <c r="C699" t="s">
        <v>25</v>
      </c>
      <c r="E699">
        <v>43</v>
      </c>
      <c r="F699">
        <v>6</v>
      </c>
      <c r="G699">
        <v>28</v>
      </c>
      <c r="H699">
        <v>4</v>
      </c>
      <c r="I699">
        <v>13</v>
      </c>
      <c r="J699" s="52"/>
    </row>
    <row r="700" spans="1:10" hidden="1" x14ac:dyDescent="0.35">
      <c r="A700" s="2">
        <v>44742</v>
      </c>
      <c r="B700" t="s">
        <v>13</v>
      </c>
      <c r="C700" t="s">
        <v>23</v>
      </c>
      <c r="E700">
        <v>24</v>
      </c>
      <c r="F700">
        <v>0</v>
      </c>
      <c r="G700">
        <v>10</v>
      </c>
      <c r="H700">
        <v>3</v>
      </c>
      <c r="I700">
        <v>5</v>
      </c>
      <c r="J700" s="52"/>
    </row>
    <row r="701" spans="1:10" hidden="1" x14ac:dyDescent="0.35">
      <c r="A701" s="2">
        <v>44742</v>
      </c>
      <c r="B701" t="s">
        <v>41</v>
      </c>
      <c r="C701" t="s">
        <v>23</v>
      </c>
      <c r="E701">
        <v>19</v>
      </c>
      <c r="F701">
        <v>4</v>
      </c>
      <c r="G701">
        <v>15</v>
      </c>
      <c r="H701">
        <v>2</v>
      </c>
      <c r="I701">
        <v>7</v>
      </c>
      <c r="J701" s="52"/>
    </row>
    <row r="702" spans="1:10" hidden="1" x14ac:dyDescent="0.35">
      <c r="A702" s="2">
        <v>44742</v>
      </c>
      <c r="B702" t="s">
        <v>41</v>
      </c>
      <c r="C702" t="s">
        <v>24</v>
      </c>
      <c r="E702">
        <v>19</v>
      </c>
      <c r="F702">
        <v>6</v>
      </c>
      <c r="G702">
        <v>18</v>
      </c>
      <c r="H702">
        <v>3</v>
      </c>
      <c r="I702">
        <v>3</v>
      </c>
      <c r="J702" s="52"/>
    </row>
    <row r="703" spans="1:10" hidden="1" x14ac:dyDescent="0.35">
      <c r="A703" s="2">
        <v>44742</v>
      </c>
      <c r="B703" t="s">
        <v>12</v>
      </c>
      <c r="C703" t="s">
        <v>24</v>
      </c>
      <c r="E703">
        <v>25</v>
      </c>
      <c r="F703">
        <v>4</v>
      </c>
      <c r="G703">
        <v>17</v>
      </c>
      <c r="H703">
        <v>3</v>
      </c>
      <c r="I703">
        <v>6</v>
      </c>
      <c r="J703" s="52"/>
    </row>
    <row r="704" spans="1:10" hidden="1" x14ac:dyDescent="0.35">
      <c r="A704" s="2">
        <v>44742</v>
      </c>
      <c r="B704" t="s">
        <v>12</v>
      </c>
      <c r="C704" t="s">
        <v>37</v>
      </c>
      <c r="E704">
        <v>23</v>
      </c>
      <c r="F704">
        <v>8</v>
      </c>
      <c r="G704">
        <v>31</v>
      </c>
      <c r="H704">
        <v>2</v>
      </c>
      <c r="I704">
        <v>13</v>
      </c>
      <c r="J704" s="52"/>
    </row>
    <row r="705" spans="1:10" hidden="1" x14ac:dyDescent="0.35">
      <c r="A705" s="2">
        <v>44742</v>
      </c>
      <c r="B705" t="s">
        <v>50</v>
      </c>
      <c r="C705" t="s">
        <v>37</v>
      </c>
      <c r="E705">
        <v>14</v>
      </c>
      <c r="F705">
        <v>0</v>
      </c>
      <c r="G705">
        <v>21</v>
      </c>
      <c r="H705">
        <v>3</v>
      </c>
      <c r="I705">
        <v>11</v>
      </c>
      <c r="J705" s="52"/>
    </row>
    <row r="706" spans="1:10" hidden="1" x14ac:dyDescent="0.35">
      <c r="A706" s="2">
        <v>44742</v>
      </c>
      <c r="B706" t="s">
        <v>17</v>
      </c>
      <c r="C706" t="s">
        <v>37</v>
      </c>
      <c r="E706">
        <v>45</v>
      </c>
      <c r="F706">
        <v>15</v>
      </c>
      <c r="G706">
        <v>25</v>
      </c>
      <c r="H706">
        <v>2</v>
      </c>
      <c r="I706">
        <v>21</v>
      </c>
      <c r="J706" s="52"/>
    </row>
    <row r="707" spans="1:10" hidden="1" x14ac:dyDescent="0.35">
      <c r="A707" s="2">
        <v>44742</v>
      </c>
      <c r="B707" t="s">
        <v>40</v>
      </c>
      <c r="C707" t="s">
        <v>19</v>
      </c>
      <c r="E707">
        <v>32</v>
      </c>
      <c r="F707">
        <v>1</v>
      </c>
      <c r="G707">
        <v>41</v>
      </c>
      <c r="H707">
        <v>8</v>
      </c>
      <c r="I707">
        <v>14</v>
      </c>
      <c r="J707" s="52"/>
    </row>
    <row r="708" spans="1:10" hidden="1" x14ac:dyDescent="0.35">
      <c r="A708" s="2">
        <v>44742</v>
      </c>
      <c r="B708" t="s">
        <v>42</v>
      </c>
      <c r="C708" t="s">
        <v>19</v>
      </c>
      <c r="E708">
        <v>22</v>
      </c>
      <c r="F708">
        <v>4</v>
      </c>
      <c r="G708">
        <v>30</v>
      </c>
      <c r="H708">
        <v>2</v>
      </c>
      <c r="I708">
        <v>7</v>
      </c>
      <c r="J708" s="52"/>
    </row>
    <row r="709" spans="1:10" hidden="1" x14ac:dyDescent="0.35">
      <c r="A709" s="2">
        <v>44742</v>
      </c>
      <c r="B709" t="s">
        <v>74</v>
      </c>
      <c r="C709" t="s">
        <v>22</v>
      </c>
      <c r="E709">
        <v>20</v>
      </c>
      <c r="F709">
        <v>19</v>
      </c>
      <c r="G709">
        <v>12</v>
      </c>
      <c r="H709">
        <v>4</v>
      </c>
      <c r="I709">
        <v>8</v>
      </c>
      <c r="J709" s="52"/>
    </row>
    <row r="710" spans="1:10" hidden="1" x14ac:dyDescent="0.35">
      <c r="A710" s="2">
        <v>44742</v>
      </c>
      <c r="B710" t="s">
        <v>66</v>
      </c>
      <c r="C710" t="s">
        <v>22</v>
      </c>
      <c r="E710">
        <v>23</v>
      </c>
      <c r="F710">
        <v>13</v>
      </c>
      <c r="G710">
        <v>17</v>
      </c>
      <c r="H710">
        <v>11</v>
      </c>
      <c r="I710">
        <v>12</v>
      </c>
      <c r="J710" s="52"/>
    </row>
    <row r="711" spans="1:10" hidden="1" x14ac:dyDescent="0.35">
      <c r="A711" s="2">
        <v>44742</v>
      </c>
      <c r="B711" t="s">
        <v>43</v>
      </c>
      <c r="C711" t="s">
        <v>27</v>
      </c>
      <c r="E711">
        <v>48</v>
      </c>
      <c r="F711">
        <v>0</v>
      </c>
      <c r="G711">
        <v>36</v>
      </c>
      <c r="H711">
        <v>0</v>
      </c>
      <c r="I711">
        <v>25</v>
      </c>
      <c r="J711" s="52"/>
    </row>
    <row r="712" spans="1:10" hidden="1" x14ac:dyDescent="0.35">
      <c r="A712" s="2">
        <v>44742</v>
      </c>
      <c r="B712" t="s">
        <v>49</v>
      </c>
      <c r="C712" t="s">
        <v>9</v>
      </c>
      <c r="E712">
        <v>43</v>
      </c>
      <c r="F712">
        <v>2</v>
      </c>
      <c r="G712">
        <v>36</v>
      </c>
      <c r="H712">
        <v>1</v>
      </c>
      <c r="I712">
        <v>6</v>
      </c>
      <c r="J712" s="52"/>
    </row>
    <row r="713" spans="1:10" hidden="1" x14ac:dyDescent="0.35">
      <c r="A713" s="2">
        <v>44742</v>
      </c>
      <c r="B713" t="s">
        <v>79</v>
      </c>
      <c r="C713" t="s">
        <v>9</v>
      </c>
      <c r="E713">
        <v>32</v>
      </c>
      <c r="F713">
        <v>0</v>
      </c>
      <c r="G713">
        <v>5</v>
      </c>
      <c r="H713">
        <v>1</v>
      </c>
      <c r="I713">
        <v>4</v>
      </c>
      <c r="J713" s="52"/>
    </row>
    <row r="714" spans="1:10" hidden="1" x14ac:dyDescent="0.35">
      <c r="A714" s="2">
        <v>44742</v>
      </c>
      <c r="B714" t="s">
        <v>14</v>
      </c>
      <c r="C714" t="s">
        <v>21</v>
      </c>
      <c r="E714">
        <v>18</v>
      </c>
      <c r="F714">
        <v>22</v>
      </c>
      <c r="G714">
        <v>31</v>
      </c>
      <c r="H714">
        <v>15</v>
      </c>
      <c r="I714">
        <v>12</v>
      </c>
      <c r="J714" s="52"/>
    </row>
    <row r="715" spans="1:10" hidden="1" x14ac:dyDescent="0.35">
      <c r="A715" s="2">
        <v>44742</v>
      </c>
      <c r="B715" t="s">
        <v>78</v>
      </c>
      <c r="C715" t="s">
        <v>21</v>
      </c>
      <c r="E715">
        <v>23</v>
      </c>
      <c r="F715">
        <v>1</v>
      </c>
      <c r="G715">
        <v>1</v>
      </c>
      <c r="H715">
        <v>0</v>
      </c>
      <c r="I715">
        <v>2</v>
      </c>
      <c r="J715" s="52"/>
    </row>
    <row r="716" spans="1:10" hidden="1" x14ac:dyDescent="0.35">
      <c r="A716" s="2">
        <v>44742</v>
      </c>
      <c r="B716" t="s">
        <v>78</v>
      </c>
      <c r="C716" t="s">
        <v>76</v>
      </c>
      <c r="E716">
        <v>12</v>
      </c>
      <c r="F716">
        <v>4</v>
      </c>
      <c r="G716">
        <v>0</v>
      </c>
      <c r="H716">
        <v>0</v>
      </c>
      <c r="I716">
        <v>0</v>
      </c>
      <c r="J716" s="52"/>
    </row>
    <row r="717" spans="1:10" hidden="1" x14ac:dyDescent="0.35">
      <c r="A717" s="2">
        <v>44742</v>
      </c>
      <c r="B717" t="s">
        <v>56</v>
      </c>
      <c r="C717" t="s">
        <v>54</v>
      </c>
      <c r="E717">
        <v>4</v>
      </c>
      <c r="F717">
        <v>2</v>
      </c>
      <c r="G717">
        <v>12</v>
      </c>
      <c r="H717">
        <v>3</v>
      </c>
      <c r="I717">
        <v>8</v>
      </c>
      <c r="J717" s="52"/>
    </row>
    <row r="718" spans="1:10" hidden="1" x14ac:dyDescent="0.35">
      <c r="A718" s="2">
        <v>44742</v>
      </c>
      <c r="B718" t="s">
        <v>72</v>
      </c>
      <c r="C718" t="s">
        <v>54</v>
      </c>
      <c r="E718">
        <v>8</v>
      </c>
      <c r="F718">
        <v>9</v>
      </c>
      <c r="G718">
        <v>4</v>
      </c>
      <c r="H718">
        <v>1</v>
      </c>
      <c r="I718">
        <v>5</v>
      </c>
      <c r="J718" s="52"/>
    </row>
    <row r="719" spans="1:10" hidden="1" x14ac:dyDescent="0.35">
      <c r="A719" s="2">
        <v>44742</v>
      </c>
      <c r="B719" t="s">
        <v>57</v>
      </c>
      <c r="C719" t="s">
        <v>55</v>
      </c>
      <c r="E719">
        <v>29</v>
      </c>
      <c r="F719">
        <v>7</v>
      </c>
      <c r="G719">
        <v>13</v>
      </c>
      <c r="H719">
        <v>14</v>
      </c>
      <c r="I719">
        <v>8</v>
      </c>
      <c r="J719" s="52"/>
    </row>
    <row r="720" spans="1:10" hidden="1" x14ac:dyDescent="0.35">
      <c r="A720" s="2">
        <v>44742</v>
      </c>
      <c r="B720" t="s">
        <v>65</v>
      </c>
      <c r="C720" t="s">
        <v>58</v>
      </c>
      <c r="E720">
        <v>28</v>
      </c>
      <c r="F720">
        <v>25</v>
      </c>
      <c r="G720">
        <v>9</v>
      </c>
      <c r="H720">
        <v>10</v>
      </c>
      <c r="I720">
        <v>11</v>
      </c>
      <c r="J720" s="52"/>
    </row>
    <row r="721" spans="1:10" hidden="1" x14ac:dyDescent="0.35">
      <c r="A721" s="2">
        <v>44742</v>
      </c>
      <c r="B721" t="s">
        <v>64</v>
      </c>
      <c r="C721" t="s">
        <v>62</v>
      </c>
      <c r="E721">
        <v>27</v>
      </c>
      <c r="F721">
        <v>11</v>
      </c>
      <c r="G721">
        <v>13</v>
      </c>
      <c r="H721">
        <v>11</v>
      </c>
      <c r="I721">
        <v>8</v>
      </c>
      <c r="J721" s="52"/>
    </row>
    <row r="722" spans="1:10" hidden="1" x14ac:dyDescent="0.35">
      <c r="A722" s="2">
        <v>44742</v>
      </c>
      <c r="B722" t="s">
        <v>75</v>
      </c>
      <c r="C722" t="s">
        <v>61</v>
      </c>
      <c r="E722">
        <v>49</v>
      </c>
      <c r="F722">
        <v>7</v>
      </c>
      <c r="G722">
        <v>14</v>
      </c>
      <c r="H722">
        <v>5</v>
      </c>
      <c r="I722">
        <v>12</v>
      </c>
      <c r="J722" s="52"/>
    </row>
    <row r="723" spans="1:10" hidden="1" x14ac:dyDescent="0.35">
      <c r="A723" s="2">
        <v>44742</v>
      </c>
      <c r="B723" t="s">
        <v>69</v>
      </c>
      <c r="C723" t="s">
        <v>63</v>
      </c>
      <c r="E723">
        <v>23</v>
      </c>
      <c r="F723">
        <v>8</v>
      </c>
      <c r="G723">
        <v>14</v>
      </c>
      <c r="H723">
        <v>7</v>
      </c>
      <c r="I723">
        <v>7</v>
      </c>
      <c r="J723" s="52"/>
    </row>
    <row r="724" spans="1:10" hidden="1" x14ac:dyDescent="0.35">
      <c r="A724" s="2">
        <v>44742</v>
      </c>
      <c r="B724" t="s">
        <v>77</v>
      </c>
      <c r="C724" t="s">
        <v>73</v>
      </c>
      <c r="E724">
        <v>25</v>
      </c>
      <c r="F724">
        <v>8</v>
      </c>
      <c r="G724">
        <v>9</v>
      </c>
      <c r="H724">
        <v>3</v>
      </c>
      <c r="I724">
        <v>8</v>
      </c>
      <c r="J724" s="52"/>
    </row>
    <row r="725" spans="1:10" hidden="1" x14ac:dyDescent="0.35">
      <c r="A725" s="35">
        <v>44772</v>
      </c>
      <c r="B725" s="36"/>
      <c r="C725" s="36" t="s">
        <v>24</v>
      </c>
      <c r="D725" s="36">
        <v>639</v>
      </c>
      <c r="E725" s="36"/>
      <c r="F725" s="36"/>
      <c r="G725" s="36"/>
      <c r="H725" s="36"/>
      <c r="I725" s="36"/>
      <c r="J725" s="60">
        <v>333700</v>
      </c>
    </row>
    <row r="726" spans="1:10" hidden="1" x14ac:dyDescent="0.35">
      <c r="A726" s="35">
        <v>44772</v>
      </c>
      <c r="B726" s="36"/>
      <c r="C726" s="36" t="s">
        <v>9</v>
      </c>
      <c r="D726" s="36">
        <v>422</v>
      </c>
      <c r="E726" s="36"/>
      <c r="F726" s="36"/>
      <c r="G726" s="36"/>
      <c r="H726" s="36"/>
      <c r="I726" s="36"/>
      <c r="J726" s="60">
        <v>224850</v>
      </c>
    </row>
    <row r="727" spans="1:10" hidden="1" x14ac:dyDescent="0.35">
      <c r="A727" s="35">
        <v>44772</v>
      </c>
      <c r="B727" s="36"/>
      <c r="C727" s="36" t="s">
        <v>37</v>
      </c>
      <c r="D727" s="36">
        <v>623</v>
      </c>
      <c r="E727" s="36"/>
      <c r="F727" s="36"/>
      <c r="G727" s="36"/>
      <c r="H727" s="36"/>
      <c r="I727" s="36"/>
      <c r="J727" s="60">
        <v>635650</v>
      </c>
    </row>
    <row r="728" spans="1:10" hidden="1" x14ac:dyDescent="0.35">
      <c r="A728" s="35">
        <v>44772</v>
      </c>
      <c r="B728" s="36"/>
      <c r="C728" s="36" t="s">
        <v>23</v>
      </c>
      <c r="D728" s="36">
        <v>359</v>
      </c>
      <c r="E728" s="36"/>
      <c r="F728" s="36"/>
      <c r="G728" s="36"/>
      <c r="H728" s="36"/>
      <c r="I728" s="36"/>
      <c r="J728" s="60">
        <v>165000</v>
      </c>
    </row>
    <row r="729" spans="1:10" hidden="1" x14ac:dyDescent="0.35">
      <c r="A729" s="35">
        <v>44772</v>
      </c>
      <c r="B729" s="36"/>
      <c r="C729" s="36" t="s">
        <v>27</v>
      </c>
      <c r="D729" s="36">
        <v>442</v>
      </c>
      <c r="E729" s="36"/>
      <c r="F729" s="36"/>
      <c r="G729" s="36"/>
      <c r="H729" s="36"/>
      <c r="I729" s="36"/>
      <c r="J729" s="60">
        <v>381750</v>
      </c>
    </row>
    <row r="730" spans="1:10" hidden="1" x14ac:dyDescent="0.35">
      <c r="A730" s="35">
        <v>44772</v>
      </c>
      <c r="B730" s="36"/>
      <c r="C730" s="36" t="s">
        <v>26</v>
      </c>
      <c r="D730" s="36">
        <v>321</v>
      </c>
      <c r="E730" s="36"/>
      <c r="F730" s="36"/>
      <c r="G730" s="36"/>
      <c r="H730" s="36"/>
      <c r="I730" s="36"/>
      <c r="J730" s="60">
        <v>126300</v>
      </c>
    </row>
    <row r="731" spans="1:10" hidden="1" x14ac:dyDescent="0.35">
      <c r="A731" s="35">
        <v>44772</v>
      </c>
      <c r="B731" s="36"/>
      <c r="C731" s="36" t="s">
        <v>20</v>
      </c>
      <c r="D731" s="36">
        <v>570</v>
      </c>
      <c r="E731" s="36"/>
      <c r="F731" s="36"/>
      <c r="G731" s="36"/>
      <c r="H731" s="36"/>
      <c r="I731" s="36"/>
      <c r="J731" s="60">
        <v>610150</v>
      </c>
    </row>
    <row r="732" spans="1:10" hidden="1" x14ac:dyDescent="0.35">
      <c r="A732" s="35">
        <v>44772</v>
      </c>
      <c r="B732" s="36"/>
      <c r="C732" s="36" t="s">
        <v>25</v>
      </c>
      <c r="D732" s="36">
        <v>381</v>
      </c>
      <c r="E732" s="36"/>
      <c r="F732" s="36"/>
      <c r="G732" s="36"/>
      <c r="H732" s="36"/>
      <c r="I732" s="36"/>
      <c r="J732" s="60">
        <v>185450</v>
      </c>
    </row>
    <row r="733" spans="1:10" hidden="1" x14ac:dyDescent="0.35">
      <c r="A733" s="35">
        <v>44772</v>
      </c>
      <c r="B733" s="36"/>
      <c r="C733" s="36" t="s">
        <v>19</v>
      </c>
      <c r="D733" s="36">
        <v>329</v>
      </c>
      <c r="E733" s="36"/>
      <c r="F733" s="36"/>
      <c r="G733" s="36"/>
      <c r="H733" s="36"/>
      <c r="I733" s="36"/>
      <c r="J733" s="60">
        <v>548300</v>
      </c>
    </row>
    <row r="734" spans="1:10" hidden="1" x14ac:dyDescent="0.35">
      <c r="A734" s="35">
        <v>44772</v>
      </c>
      <c r="B734" s="36"/>
      <c r="C734" s="36" t="s">
        <v>21</v>
      </c>
      <c r="D734" s="36">
        <v>433</v>
      </c>
      <c r="E734" s="36"/>
      <c r="F734" s="36"/>
      <c r="G734" s="36"/>
      <c r="H734" s="36"/>
      <c r="I734" s="36"/>
      <c r="J734" s="60">
        <v>298350</v>
      </c>
    </row>
    <row r="735" spans="1:10" hidden="1" x14ac:dyDescent="0.35">
      <c r="A735" s="35">
        <v>44772</v>
      </c>
      <c r="B735" s="36"/>
      <c r="C735" s="36" t="s">
        <v>18</v>
      </c>
      <c r="D735" s="36">
        <v>781</v>
      </c>
      <c r="E735" s="36"/>
      <c r="F735" s="36"/>
      <c r="G735" s="36"/>
      <c r="H735" s="36"/>
      <c r="I735" s="36"/>
      <c r="J735" s="60">
        <v>571850</v>
      </c>
    </row>
    <row r="736" spans="1:10" hidden="1" x14ac:dyDescent="0.35">
      <c r="A736" s="35">
        <v>44772</v>
      </c>
      <c r="B736" s="36"/>
      <c r="C736" s="36" t="s">
        <v>22</v>
      </c>
      <c r="D736" s="36">
        <v>517</v>
      </c>
      <c r="E736" s="36"/>
      <c r="F736" s="36"/>
      <c r="G736" s="36"/>
      <c r="H736" s="36"/>
      <c r="I736" s="36"/>
      <c r="J736" s="60">
        <v>258250</v>
      </c>
    </row>
    <row r="737" spans="1:10" hidden="1" x14ac:dyDescent="0.35">
      <c r="A737" s="35">
        <v>44772</v>
      </c>
      <c r="B737" s="36"/>
      <c r="C737" s="36" t="s">
        <v>54</v>
      </c>
      <c r="D737" s="36">
        <v>481</v>
      </c>
      <c r="E737" s="36"/>
      <c r="F737" s="36"/>
      <c r="G737" s="36"/>
      <c r="H737" s="36"/>
      <c r="I737" s="36"/>
      <c r="J737" s="60">
        <v>275850</v>
      </c>
    </row>
    <row r="738" spans="1:10" hidden="1" x14ac:dyDescent="0.35">
      <c r="A738" s="35">
        <v>44772</v>
      </c>
      <c r="B738" s="36"/>
      <c r="C738" s="36" t="s">
        <v>55</v>
      </c>
      <c r="D738" s="36">
        <v>573</v>
      </c>
      <c r="E738" s="36"/>
      <c r="F738" s="36"/>
      <c r="G738" s="36"/>
      <c r="H738" s="36"/>
      <c r="I738" s="36"/>
      <c r="J738" s="60">
        <v>185605</v>
      </c>
    </row>
    <row r="739" spans="1:10" hidden="1" x14ac:dyDescent="0.35">
      <c r="A739" s="35">
        <v>44772</v>
      </c>
      <c r="B739" s="36"/>
      <c r="C739" s="36" t="s">
        <v>58</v>
      </c>
      <c r="D739" s="36">
        <v>629</v>
      </c>
      <c r="E739" s="36"/>
      <c r="F739" s="36"/>
      <c r="G739" s="36"/>
      <c r="H739" s="36"/>
      <c r="I739" s="36"/>
      <c r="J739" s="60">
        <v>255750</v>
      </c>
    </row>
    <row r="740" spans="1:10" hidden="1" x14ac:dyDescent="0.35">
      <c r="A740" s="35">
        <v>44772</v>
      </c>
      <c r="B740" s="36"/>
      <c r="C740" s="36" t="s">
        <v>62</v>
      </c>
      <c r="D740" s="36">
        <v>479</v>
      </c>
      <c r="E740" s="36"/>
      <c r="F740" s="36"/>
      <c r="G740" s="36"/>
      <c r="H740" s="36"/>
      <c r="I740" s="36"/>
      <c r="J740" s="60">
        <v>147300</v>
      </c>
    </row>
    <row r="741" spans="1:10" hidden="1" x14ac:dyDescent="0.35">
      <c r="A741" s="35">
        <v>44772</v>
      </c>
      <c r="B741" s="36"/>
      <c r="C741" s="36" t="s">
        <v>61</v>
      </c>
      <c r="D741" s="36">
        <v>705</v>
      </c>
      <c r="E741" s="36"/>
      <c r="F741" s="36"/>
      <c r="G741" s="36"/>
      <c r="H741" s="36"/>
      <c r="I741" s="36"/>
      <c r="J741" s="60">
        <v>182980</v>
      </c>
    </row>
    <row r="742" spans="1:10" hidden="1" x14ac:dyDescent="0.35">
      <c r="A742" s="35">
        <v>44772</v>
      </c>
      <c r="B742" s="36"/>
      <c r="C742" s="36" t="s">
        <v>63</v>
      </c>
      <c r="D742" s="36">
        <v>308</v>
      </c>
      <c r="E742" s="36"/>
      <c r="F742" s="36"/>
      <c r="G742" s="36"/>
      <c r="H742" s="36"/>
      <c r="I742" s="36"/>
      <c r="J742" s="60">
        <v>177000</v>
      </c>
    </row>
    <row r="743" spans="1:10" hidden="1" x14ac:dyDescent="0.35">
      <c r="A743" s="35">
        <v>44772</v>
      </c>
      <c r="B743" s="36"/>
      <c r="C743" s="36" t="s">
        <v>73</v>
      </c>
      <c r="D743" s="36">
        <v>309</v>
      </c>
      <c r="E743" s="36"/>
      <c r="F743" s="36"/>
      <c r="G743" s="36"/>
      <c r="H743" s="36"/>
      <c r="I743" s="36"/>
      <c r="J743" s="60">
        <v>51500</v>
      </c>
    </row>
    <row r="744" spans="1:10" hidden="1" x14ac:dyDescent="0.35">
      <c r="A744" s="35">
        <v>44772</v>
      </c>
      <c r="B744" s="36"/>
      <c r="C744" s="36" t="s">
        <v>76</v>
      </c>
      <c r="D744" s="36">
        <v>258</v>
      </c>
      <c r="E744" s="36"/>
      <c r="F744" s="36"/>
      <c r="G744" s="36"/>
      <c r="H744" s="36"/>
      <c r="I744" s="36"/>
      <c r="J744" s="60">
        <v>26000</v>
      </c>
    </row>
    <row r="745" spans="1:10" hidden="1" x14ac:dyDescent="0.35">
      <c r="A745" s="35">
        <v>44772</v>
      </c>
      <c r="B745" s="36" t="s">
        <v>71</v>
      </c>
      <c r="C745" s="36" t="s">
        <v>20</v>
      </c>
      <c r="D745" s="36"/>
      <c r="E745" s="36">
        <v>19</v>
      </c>
      <c r="F745" s="36">
        <v>3</v>
      </c>
      <c r="G745" s="36">
        <v>22</v>
      </c>
      <c r="H745" s="36">
        <v>2</v>
      </c>
      <c r="I745" s="36">
        <v>19</v>
      </c>
      <c r="J745" s="60"/>
    </row>
    <row r="746" spans="1:10" hidden="1" x14ac:dyDescent="0.35">
      <c r="A746" s="35">
        <v>44772</v>
      </c>
      <c r="B746" s="36" t="s">
        <v>36</v>
      </c>
      <c r="C746" s="36" t="s">
        <v>20</v>
      </c>
      <c r="D746" s="36"/>
      <c r="E746" s="36">
        <v>66</v>
      </c>
      <c r="F746" s="36">
        <v>5</v>
      </c>
      <c r="G746" s="36">
        <v>62</v>
      </c>
      <c r="H746" s="36">
        <v>4</v>
      </c>
      <c r="I746" s="36">
        <v>25</v>
      </c>
      <c r="J746" s="60"/>
    </row>
    <row r="747" spans="1:10" hidden="1" x14ac:dyDescent="0.35">
      <c r="A747" s="35">
        <v>44772</v>
      </c>
      <c r="B747" s="36" t="s">
        <v>70</v>
      </c>
      <c r="C747" s="36" t="s">
        <v>26</v>
      </c>
      <c r="D747" s="36"/>
      <c r="E747" s="36">
        <v>26</v>
      </c>
      <c r="F747" s="36">
        <v>3</v>
      </c>
      <c r="G747" s="36">
        <v>24</v>
      </c>
      <c r="H747" s="36">
        <v>3</v>
      </c>
      <c r="I747" s="36">
        <v>10</v>
      </c>
      <c r="J747" s="60"/>
    </row>
    <row r="748" spans="1:10" hidden="1" x14ac:dyDescent="0.35">
      <c r="A748" s="35">
        <v>44772</v>
      </c>
      <c r="B748" s="36" t="s">
        <v>70</v>
      </c>
      <c r="C748" s="36" t="s">
        <v>20</v>
      </c>
      <c r="D748" s="36"/>
      <c r="E748" s="36">
        <v>1</v>
      </c>
      <c r="F748" s="36">
        <v>0</v>
      </c>
      <c r="G748" s="36">
        <v>7</v>
      </c>
      <c r="H748" s="36">
        <v>0</v>
      </c>
      <c r="I748" s="36">
        <v>1</v>
      </c>
      <c r="J748" s="60"/>
    </row>
    <row r="749" spans="1:10" hidden="1" x14ac:dyDescent="0.35">
      <c r="A749" s="35">
        <v>44772</v>
      </c>
      <c r="B749" s="36" t="s">
        <v>38</v>
      </c>
      <c r="C749" s="36" t="s">
        <v>18</v>
      </c>
      <c r="D749" s="36"/>
      <c r="E749" s="36">
        <v>29</v>
      </c>
      <c r="F749" s="36">
        <v>19</v>
      </c>
      <c r="G749" s="36">
        <v>45</v>
      </c>
      <c r="H749" s="36">
        <v>16</v>
      </c>
      <c r="I749" s="36">
        <v>35</v>
      </c>
      <c r="J749" s="60"/>
    </row>
    <row r="750" spans="1:10" hidden="1" x14ac:dyDescent="0.35">
      <c r="A750" s="35">
        <v>44772</v>
      </c>
      <c r="B750" s="36" t="s">
        <v>80</v>
      </c>
      <c r="C750" s="36" t="s">
        <v>18</v>
      </c>
      <c r="D750" s="36"/>
      <c r="E750" s="36">
        <v>38</v>
      </c>
      <c r="F750" s="36">
        <v>16</v>
      </c>
      <c r="G750" s="36">
        <v>0</v>
      </c>
      <c r="H750" s="36">
        <v>0</v>
      </c>
      <c r="I750" s="36">
        <v>5</v>
      </c>
      <c r="J750" s="60"/>
    </row>
    <row r="751" spans="1:10" hidden="1" x14ac:dyDescent="0.35">
      <c r="A751" s="35">
        <v>44772</v>
      </c>
      <c r="B751" s="36" t="s">
        <v>13</v>
      </c>
      <c r="C751" s="36" t="s">
        <v>25</v>
      </c>
      <c r="D751" s="36"/>
      <c r="E751" s="36">
        <v>47</v>
      </c>
      <c r="F751" s="36">
        <v>4</v>
      </c>
      <c r="G751" s="36">
        <v>28</v>
      </c>
      <c r="H751" s="36">
        <v>5</v>
      </c>
      <c r="I751" s="36">
        <v>14</v>
      </c>
      <c r="J751" s="60"/>
    </row>
    <row r="752" spans="1:10" hidden="1" x14ac:dyDescent="0.35">
      <c r="A752" s="35">
        <v>44772</v>
      </c>
      <c r="B752" s="36" t="s">
        <v>13</v>
      </c>
      <c r="C752" s="36" t="s">
        <v>23</v>
      </c>
      <c r="D752" s="36"/>
      <c r="E752" s="36">
        <v>18</v>
      </c>
      <c r="F752" s="36">
        <v>1</v>
      </c>
      <c r="G752" s="36">
        <v>7</v>
      </c>
      <c r="H752" s="36">
        <v>1</v>
      </c>
      <c r="I752" s="36">
        <v>8</v>
      </c>
      <c r="J752" s="60"/>
    </row>
    <row r="753" spans="1:10" hidden="1" x14ac:dyDescent="0.35">
      <c r="A753" s="35">
        <v>44772</v>
      </c>
      <c r="B753" s="36" t="s">
        <v>41</v>
      </c>
      <c r="C753" s="36" t="s">
        <v>23</v>
      </c>
      <c r="D753" s="36"/>
      <c r="E753" s="36">
        <v>20</v>
      </c>
      <c r="F753" s="36">
        <v>2</v>
      </c>
      <c r="G753" s="36">
        <v>19</v>
      </c>
      <c r="H753" s="36">
        <v>1</v>
      </c>
      <c r="I753" s="36">
        <v>5</v>
      </c>
      <c r="J753" s="60"/>
    </row>
    <row r="754" spans="1:10" hidden="1" x14ac:dyDescent="0.35">
      <c r="A754" s="35">
        <v>44772</v>
      </c>
      <c r="B754" s="36" t="s">
        <v>41</v>
      </c>
      <c r="C754" s="36" t="s">
        <v>24</v>
      </c>
      <c r="D754" s="36"/>
      <c r="E754" s="36">
        <v>23</v>
      </c>
      <c r="F754" s="36">
        <v>8</v>
      </c>
      <c r="G754" s="36">
        <v>18</v>
      </c>
      <c r="H754" s="36">
        <v>4</v>
      </c>
      <c r="I754" s="36">
        <v>9</v>
      </c>
      <c r="J754" s="60"/>
    </row>
    <row r="755" spans="1:10" hidden="1" x14ac:dyDescent="0.35">
      <c r="A755" s="35">
        <v>44772</v>
      </c>
      <c r="B755" s="36" t="s">
        <v>12</v>
      </c>
      <c r="C755" s="36" t="s">
        <v>24</v>
      </c>
      <c r="D755" s="36"/>
      <c r="E755" s="36">
        <v>37</v>
      </c>
      <c r="F755" s="36">
        <v>7</v>
      </c>
      <c r="G755" s="36">
        <v>35</v>
      </c>
      <c r="H755" s="36">
        <v>2</v>
      </c>
      <c r="I755" s="36">
        <v>16</v>
      </c>
      <c r="J755" s="60"/>
    </row>
    <row r="756" spans="1:10" hidden="1" x14ac:dyDescent="0.35">
      <c r="A756" s="35">
        <v>44772</v>
      </c>
      <c r="B756" s="36" t="s">
        <v>12</v>
      </c>
      <c r="C756" s="36" t="s">
        <v>37</v>
      </c>
      <c r="D756" s="36"/>
      <c r="E756" s="36">
        <v>22</v>
      </c>
      <c r="F756" s="36">
        <v>11</v>
      </c>
      <c r="G756" s="36">
        <v>32</v>
      </c>
      <c r="H756" s="36">
        <v>9</v>
      </c>
      <c r="I756" s="36">
        <v>20</v>
      </c>
      <c r="J756" s="60"/>
    </row>
    <row r="757" spans="1:10" hidden="1" x14ac:dyDescent="0.35">
      <c r="A757" s="35">
        <v>44772</v>
      </c>
      <c r="B757" s="36" t="s">
        <v>50</v>
      </c>
      <c r="C757" s="36" t="s">
        <v>37</v>
      </c>
      <c r="D757" s="36"/>
      <c r="E757" s="36">
        <v>29</v>
      </c>
      <c r="F757" s="36">
        <v>9</v>
      </c>
      <c r="G757" s="36">
        <v>32</v>
      </c>
      <c r="H757" s="36">
        <v>8</v>
      </c>
      <c r="I757" s="36">
        <v>15</v>
      </c>
      <c r="J757" s="60"/>
    </row>
    <row r="758" spans="1:10" hidden="1" x14ac:dyDescent="0.35">
      <c r="A758" s="35">
        <v>44772</v>
      </c>
      <c r="B758" s="36" t="s">
        <v>17</v>
      </c>
      <c r="C758" s="36" t="s">
        <v>37</v>
      </c>
      <c r="D758" s="36"/>
      <c r="E758" s="36">
        <v>22</v>
      </c>
      <c r="F758" s="36">
        <v>14</v>
      </c>
      <c r="G758" s="36">
        <v>13</v>
      </c>
      <c r="H758" s="36">
        <v>1</v>
      </c>
      <c r="I758" s="36">
        <v>8</v>
      </c>
      <c r="J758" s="60"/>
    </row>
    <row r="759" spans="1:10" hidden="1" x14ac:dyDescent="0.35">
      <c r="A759" s="35">
        <v>44772</v>
      </c>
      <c r="B759" s="36" t="s">
        <v>40</v>
      </c>
      <c r="C759" s="36" t="s">
        <v>19</v>
      </c>
      <c r="D759" s="36"/>
      <c r="E759" s="36">
        <v>32</v>
      </c>
      <c r="F759" s="36">
        <v>4</v>
      </c>
      <c r="G759" s="36">
        <v>45</v>
      </c>
      <c r="H759" s="36">
        <v>9</v>
      </c>
      <c r="I759" s="36">
        <v>20</v>
      </c>
      <c r="J759" s="60"/>
    </row>
    <row r="760" spans="1:10" hidden="1" x14ac:dyDescent="0.35">
      <c r="A760" s="35">
        <v>44772</v>
      </c>
      <c r="B760" s="36" t="s">
        <v>42</v>
      </c>
      <c r="C760" s="36" t="s">
        <v>19</v>
      </c>
      <c r="D760" s="36"/>
      <c r="E760" s="36">
        <v>28</v>
      </c>
      <c r="F760" s="36">
        <v>5</v>
      </c>
      <c r="G760" s="36">
        <v>54</v>
      </c>
      <c r="H760" s="36">
        <v>2</v>
      </c>
      <c r="I760" s="36">
        <v>19</v>
      </c>
      <c r="J760" s="60"/>
    </row>
    <row r="761" spans="1:10" hidden="1" x14ac:dyDescent="0.35">
      <c r="A761" s="35">
        <v>44772</v>
      </c>
      <c r="B761" s="36" t="s">
        <v>74</v>
      </c>
      <c r="C761" s="36" t="s">
        <v>22</v>
      </c>
      <c r="D761" s="36"/>
      <c r="E761" s="36">
        <v>19</v>
      </c>
      <c r="F761" s="36">
        <v>12</v>
      </c>
      <c r="G761" s="36">
        <v>11</v>
      </c>
      <c r="H761" s="36">
        <v>4</v>
      </c>
      <c r="I761" s="36">
        <v>11</v>
      </c>
      <c r="J761" s="60"/>
    </row>
    <row r="762" spans="1:10" hidden="1" x14ac:dyDescent="0.35">
      <c r="A762" s="35">
        <v>44772</v>
      </c>
      <c r="B762" s="36" t="s">
        <v>66</v>
      </c>
      <c r="C762" s="36" t="s">
        <v>22</v>
      </c>
      <c r="D762" s="36"/>
      <c r="E762" s="36">
        <v>19</v>
      </c>
      <c r="F762" s="36">
        <v>14</v>
      </c>
      <c r="G762" s="36">
        <v>31</v>
      </c>
      <c r="H762" s="36">
        <v>9</v>
      </c>
      <c r="I762" s="36">
        <v>9</v>
      </c>
      <c r="J762" s="60"/>
    </row>
    <row r="763" spans="1:10" hidden="1" x14ac:dyDescent="0.35">
      <c r="A763" s="35">
        <v>44772</v>
      </c>
      <c r="B763" s="36" t="s">
        <v>43</v>
      </c>
      <c r="C763" s="36" t="s">
        <v>27</v>
      </c>
      <c r="D763" s="36"/>
      <c r="E763" s="36">
        <v>49</v>
      </c>
      <c r="F763" s="36">
        <v>0</v>
      </c>
      <c r="G763" s="36">
        <v>50</v>
      </c>
      <c r="H763" s="36">
        <v>0</v>
      </c>
      <c r="I763" s="36">
        <v>27</v>
      </c>
      <c r="J763" s="60"/>
    </row>
    <row r="764" spans="1:10" hidden="1" x14ac:dyDescent="0.35">
      <c r="A764" s="35">
        <v>44772</v>
      </c>
      <c r="B764" s="36" t="s">
        <v>49</v>
      </c>
      <c r="C764" s="36" t="s">
        <v>9</v>
      </c>
      <c r="D764" s="36"/>
      <c r="E764" s="36">
        <v>40</v>
      </c>
      <c r="F764" s="36">
        <v>3</v>
      </c>
      <c r="G764" s="36">
        <v>41</v>
      </c>
      <c r="H764" s="36">
        <v>0</v>
      </c>
      <c r="I764" s="36">
        <v>12</v>
      </c>
      <c r="J764" s="60"/>
    </row>
    <row r="765" spans="1:10" hidden="1" x14ac:dyDescent="0.35">
      <c r="A765" s="35">
        <v>44772</v>
      </c>
      <c r="B765" s="36" t="s">
        <v>79</v>
      </c>
      <c r="C765" s="36" t="s">
        <v>9</v>
      </c>
      <c r="D765" s="36"/>
      <c r="E765" s="36">
        <v>5</v>
      </c>
      <c r="F765" s="36">
        <v>3</v>
      </c>
      <c r="G765" s="36">
        <v>8</v>
      </c>
      <c r="H765" s="36">
        <v>2</v>
      </c>
      <c r="I765" s="36">
        <v>4</v>
      </c>
      <c r="J765" s="60"/>
    </row>
    <row r="766" spans="1:10" hidden="1" x14ac:dyDescent="0.35">
      <c r="A766" s="35">
        <v>44772</v>
      </c>
      <c r="B766" s="36" t="s">
        <v>14</v>
      </c>
      <c r="C766" s="36" t="s">
        <v>21</v>
      </c>
      <c r="D766" s="36"/>
      <c r="E766" s="36">
        <v>24</v>
      </c>
      <c r="F766" s="36">
        <v>16</v>
      </c>
      <c r="G766" s="36">
        <v>31</v>
      </c>
      <c r="H766" s="36">
        <v>14</v>
      </c>
      <c r="I766" s="36">
        <v>19</v>
      </c>
      <c r="J766" s="60"/>
    </row>
    <row r="767" spans="1:10" hidden="1" x14ac:dyDescent="0.35">
      <c r="A767" s="35">
        <v>44772</v>
      </c>
      <c r="B767" s="36" t="s">
        <v>78</v>
      </c>
      <c r="C767" s="36" t="s">
        <v>21</v>
      </c>
      <c r="D767" s="36"/>
      <c r="E767" s="36">
        <v>0</v>
      </c>
      <c r="F767" s="36">
        <v>0</v>
      </c>
      <c r="G767" s="36">
        <v>4</v>
      </c>
      <c r="H767" s="36">
        <v>0</v>
      </c>
      <c r="I767" s="36">
        <v>3</v>
      </c>
      <c r="J767" s="60"/>
    </row>
    <row r="768" spans="1:10" hidden="1" x14ac:dyDescent="0.35">
      <c r="A768" s="35">
        <v>44772</v>
      </c>
      <c r="B768" s="36" t="s">
        <v>78</v>
      </c>
      <c r="C768" s="36" t="s">
        <v>76</v>
      </c>
      <c r="D768" s="36"/>
      <c r="E768" s="36">
        <v>15</v>
      </c>
      <c r="F768" s="36">
        <v>15</v>
      </c>
      <c r="G768" s="36">
        <v>1</v>
      </c>
      <c r="H768" s="36">
        <v>0</v>
      </c>
      <c r="I768" s="36">
        <v>2</v>
      </c>
      <c r="J768" s="60"/>
    </row>
    <row r="769" spans="1:10" hidden="1" x14ac:dyDescent="0.35">
      <c r="A769" s="35">
        <v>44772</v>
      </c>
      <c r="B769" s="36" t="s">
        <v>56</v>
      </c>
      <c r="C769" s="36" t="s">
        <v>54</v>
      </c>
      <c r="D769" s="36"/>
      <c r="E769" s="36">
        <v>21</v>
      </c>
      <c r="F769" s="36">
        <v>3</v>
      </c>
      <c r="G769" s="36">
        <v>14</v>
      </c>
      <c r="H769" s="36">
        <v>9</v>
      </c>
      <c r="I769" s="36">
        <v>10</v>
      </c>
      <c r="J769" s="60"/>
    </row>
    <row r="770" spans="1:10" hidden="1" x14ac:dyDescent="0.35">
      <c r="A770" s="35">
        <v>44772</v>
      </c>
      <c r="B770" s="36" t="s">
        <v>72</v>
      </c>
      <c r="C770" s="36" t="s">
        <v>54</v>
      </c>
      <c r="D770" s="36"/>
      <c r="E770" s="36">
        <v>32</v>
      </c>
      <c r="F770" s="36">
        <v>13</v>
      </c>
      <c r="G770" s="36">
        <v>11</v>
      </c>
      <c r="H770" s="36">
        <v>6</v>
      </c>
      <c r="I770" s="36">
        <v>10</v>
      </c>
      <c r="J770" s="60"/>
    </row>
    <row r="771" spans="1:10" hidden="1" x14ac:dyDescent="0.35">
      <c r="A771" s="35">
        <v>44772</v>
      </c>
      <c r="B771" s="36" t="s">
        <v>57</v>
      </c>
      <c r="C771" s="36" t="s">
        <v>55</v>
      </c>
      <c r="D771" s="36"/>
      <c r="E771" s="36">
        <v>38</v>
      </c>
      <c r="F771" s="36">
        <v>14</v>
      </c>
      <c r="G771" s="36">
        <v>18</v>
      </c>
      <c r="H771" s="36">
        <v>10</v>
      </c>
      <c r="I771" s="36">
        <v>14</v>
      </c>
      <c r="J771" s="60"/>
    </row>
    <row r="772" spans="1:10" hidden="1" x14ac:dyDescent="0.35">
      <c r="A772" s="35">
        <v>44772</v>
      </c>
      <c r="B772" s="36" t="s">
        <v>65</v>
      </c>
      <c r="C772" s="36" t="s">
        <v>58</v>
      </c>
      <c r="D772" s="36"/>
      <c r="E772" s="36">
        <v>59</v>
      </c>
      <c r="F772" s="36">
        <v>36</v>
      </c>
      <c r="G772" s="36">
        <v>17</v>
      </c>
      <c r="H772" s="36">
        <v>20</v>
      </c>
      <c r="I772" s="36">
        <v>19</v>
      </c>
      <c r="J772" s="60"/>
    </row>
    <row r="773" spans="1:10" hidden="1" x14ac:dyDescent="0.35">
      <c r="A773" s="35">
        <v>44772</v>
      </c>
      <c r="B773" s="36" t="s">
        <v>64</v>
      </c>
      <c r="C773" s="36" t="s">
        <v>62</v>
      </c>
      <c r="D773" s="36"/>
      <c r="E773" s="36">
        <v>34</v>
      </c>
      <c r="F773" s="36">
        <v>15</v>
      </c>
      <c r="G773" s="36">
        <v>15</v>
      </c>
      <c r="H773" s="36">
        <v>12</v>
      </c>
      <c r="I773" s="36">
        <v>11</v>
      </c>
      <c r="J773" s="60"/>
    </row>
    <row r="774" spans="1:10" hidden="1" x14ac:dyDescent="0.35">
      <c r="A774" s="35">
        <v>44772</v>
      </c>
      <c r="B774" s="36" t="s">
        <v>75</v>
      </c>
      <c r="C774" s="36" t="s">
        <v>61</v>
      </c>
      <c r="D774" s="36"/>
      <c r="E774" s="36">
        <v>52</v>
      </c>
      <c r="F774" s="36">
        <v>8</v>
      </c>
      <c r="G774" s="36">
        <v>14</v>
      </c>
      <c r="H774" s="36">
        <v>4</v>
      </c>
      <c r="I774" s="36">
        <v>15</v>
      </c>
      <c r="J774" s="60"/>
    </row>
    <row r="775" spans="1:10" hidden="1" x14ac:dyDescent="0.35">
      <c r="A775" s="35">
        <v>44772</v>
      </c>
      <c r="B775" s="36" t="s">
        <v>69</v>
      </c>
      <c r="C775" s="36" t="s">
        <v>63</v>
      </c>
      <c r="D775" s="36"/>
      <c r="E775" s="36">
        <v>24</v>
      </c>
      <c r="F775" s="36">
        <v>12</v>
      </c>
      <c r="G775" s="36">
        <v>11</v>
      </c>
      <c r="H775" s="36">
        <v>4</v>
      </c>
      <c r="I775" s="36">
        <v>14</v>
      </c>
      <c r="J775" s="60"/>
    </row>
    <row r="776" spans="1:10" hidden="1" x14ac:dyDescent="0.35">
      <c r="A776" s="35">
        <v>44772</v>
      </c>
      <c r="B776" s="36" t="s">
        <v>77</v>
      </c>
      <c r="C776" s="36" t="s">
        <v>73</v>
      </c>
      <c r="D776" s="36"/>
      <c r="E776" s="36">
        <v>28</v>
      </c>
      <c r="F776" s="36">
        <v>17</v>
      </c>
      <c r="G776" s="36">
        <v>5</v>
      </c>
      <c r="H776" s="36">
        <v>1</v>
      </c>
      <c r="I776" s="36">
        <v>4</v>
      </c>
      <c r="J776" s="60"/>
    </row>
    <row r="777" spans="1:10" hidden="1" x14ac:dyDescent="0.35">
      <c r="A777" s="37">
        <v>44803</v>
      </c>
      <c r="C777" t="s">
        <v>24</v>
      </c>
      <c r="D777">
        <v>733</v>
      </c>
      <c r="J777" s="58">
        <v>276600</v>
      </c>
    </row>
    <row r="778" spans="1:10" hidden="1" x14ac:dyDescent="0.35">
      <c r="A778" s="38">
        <v>44803</v>
      </c>
      <c r="C778" t="s">
        <v>9</v>
      </c>
      <c r="D778">
        <v>457</v>
      </c>
      <c r="J778" s="58">
        <v>216630</v>
      </c>
    </row>
    <row r="779" spans="1:10" hidden="1" x14ac:dyDescent="0.35">
      <c r="A779" s="37">
        <v>44803</v>
      </c>
      <c r="C779" t="s">
        <v>37</v>
      </c>
      <c r="D779">
        <v>868</v>
      </c>
      <c r="J779" s="58">
        <v>544550</v>
      </c>
    </row>
    <row r="780" spans="1:10" hidden="1" x14ac:dyDescent="0.35">
      <c r="A780" s="38">
        <v>44803</v>
      </c>
      <c r="C780" t="s">
        <v>23</v>
      </c>
      <c r="D780">
        <v>438</v>
      </c>
      <c r="J780" s="58">
        <v>147450</v>
      </c>
    </row>
    <row r="781" spans="1:10" hidden="1" x14ac:dyDescent="0.35">
      <c r="A781" s="37">
        <v>44803</v>
      </c>
      <c r="C781" t="s">
        <v>27</v>
      </c>
      <c r="D781">
        <v>604</v>
      </c>
      <c r="J781" s="58">
        <v>491050</v>
      </c>
    </row>
    <row r="782" spans="1:10" hidden="1" x14ac:dyDescent="0.35">
      <c r="A782" s="38">
        <v>44803</v>
      </c>
      <c r="C782" t="s">
        <v>26</v>
      </c>
      <c r="D782">
        <v>369</v>
      </c>
      <c r="J782" s="58">
        <v>206900</v>
      </c>
    </row>
    <row r="783" spans="1:10" hidden="1" x14ac:dyDescent="0.35">
      <c r="A783" s="37">
        <v>44803</v>
      </c>
      <c r="C783" t="s">
        <v>20</v>
      </c>
      <c r="D783">
        <v>629</v>
      </c>
      <c r="J783" s="58">
        <v>442950</v>
      </c>
    </row>
    <row r="784" spans="1:10" hidden="1" x14ac:dyDescent="0.35">
      <c r="A784" s="38">
        <v>44803</v>
      </c>
      <c r="C784" t="s">
        <v>25</v>
      </c>
      <c r="D784">
        <v>408</v>
      </c>
      <c r="J784" s="58">
        <v>174900</v>
      </c>
    </row>
    <row r="785" spans="1:10" hidden="1" x14ac:dyDescent="0.35">
      <c r="A785" s="37">
        <v>44803</v>
      </c>
      <c r="C785" t="s">
        <v>19</v>
      </c>
      <c r="D785">
        <v>385</v>
      </c>
      <c r="J785" s="58">
        <v>430500</v>
      </c>
    </row>
    <row r="786" spans="1:10" hidden="1" x14ac:dyDescent="0.35">
      <c r="A786" s="38">
        <v>44803</v>
      </c>
      <c r="C786" t="s">
        <v>21</v>
      </c>
      <c r="D786">
        <v>467</v>
      </c>
      <c r="J786" s="58">
        <v>142550</v>
      </c>
    </row>
    <row r="787" spans="1:10" hidden="1" x14ac:dyDescent="0.35">
      <c r="A787" s="37">
        <v>44803</v>
      </c>
      <c r="C787" t="s">
        <v>18</v>
      </c>
      <c r="D787">
        <v>734</v>
      </c>
      <c r="J787" s="58">
        <v>348750</v>
      </c>
    </row>
    <row r="788" spans="1:10" hidden="1" x14ac:dyDescent="0.35">
      <c r="A788" s="38">
        <v>44803</v>
      </c>
      <c r="C788" t="s">
        <v>22</v>
      </c>
      <c r="D788">
        <v>477</v>
      </c>
      <c r="J788" s="58">
        <v>280750</v>
      </c>
    </row>
    <row r="789" spans="1:10" hidden="1" x14ac:dyDescent="0.35">
      <c r="A789" s="37">
        <v>44803</v>
      </c>
      <c r="C789" t="s">
        <v>54</v>
      </c>
      <c r="D789">
        <v>540</v>
      </c>
      <c r="J789" s="58">
        <v>210400</v>
      </c>
    </row>
    <row r="790" spans="1:10" hidden="1" x14ac:dyDescent="0.35">
      <c r="A790" s="38">
        <v>44803</v>
      </c>
      <c r="C790" t="s">
        <v>55</v>
      </c>
      <c r="D790">
        <v>625</v>
      </c>
      <c r="J790" s="58">
        <v>103950</v>
      </c>
    </row>
    <row r="791" spans="1:10" hidden="1" x14ac:dyDescent="0.35">
      <c r="A791" s="37">
        <v>44803</v>
      </c>
      <c r="C791" t="s">
        <v>58</v>
      </c>
      <c r="D791">
        <v>577</v>
      </c>
      <c r="J791" s="58">
        <v>276050</v>
      </c>
    </row>
    <row r="792" spans="1:10" hidden="1" x14ac:dyDescent="0.35">
      <c r="A792" s="38">
        <v>44803</v>
      </c>
      <c r="C792" t="s">
        <v>62</v>
      </c>
      <c r="D792">
        <v>528</v>
      </c>
      <c r="J792" s="58">
        <v>55000</v>
      </c>
    </row>
    <row r="793" spans="1:10" hidden="1" x14ac:dyDescent="0.35">
      <c r="A793" s="37">
        <v>44803</v>
      </c>
      <c r="C793" t="s">
        <v>61</v>
      </c>
      <c r="D793">
        <v>658</v>
      </c>
      <c r="J793" s="58">
        <v>117990</v>
      </c>
    </row>
    <row r="794" spans="1:10" hidden="1" x14ac:dyDescent="0.35">
      <c r="A794" s="38">
        <v>44803</v>
      </c>
      <c r="C794" t="s">
        <v>63</v>
      </c>
      <c r="D794">
        <v>390</v>
      </c>
      <c r="J794" s="58">
        <v>149500</v>
      </c>
    </row>
    <row r="795" spans="1:10" hidden="1" x14ac:dyDescent="0.35">
      <c r="A795" s="37">
        <v>44803</v>
      </c>
      <c r="C795" t="s">
        <v>73</v>
      </c>
      <c r="D795">
        <v>409</v>
      </c>
      <c r="J795" s="58">
        <v>189450</v>
      </c>
    </row>
    <row r="796" spans="1:10" hidden="1" x14ac:dyDescent="0.35">
      <c r="A796" s="38">
        <v>44803</v>
      </c>
      <c r="C796" t="s">
        <v>76</v>
      </c>
      <c r="D796">
        <v>391</v>
      </c>
      <c r="J796" s="58">
        <v>39500</v>
      </c>
    </row>
    <row r="797" spans="1:10" hidden="1" x14ac:dyDescent="0.35">
      <c r="A797" s="37">
        <v>44803</v>
      </c>
      <c r="C797" t="s">
        <v>81</v>
      </c>
      <c r="D797">
        <v>432</v>
      </c>
      <c r="J797" s="58">
        <v>55450</v>
      </c>
    </row>
    <row r="798" spans="1:10" hidden="1" x14ac:dyDescent="0.35">
      <c r="A798" s="38">
        <v>44803</v>
      </c>
      <c r="B798" t="s">
        <v>71</v>
      </c>
      <c r="C798" t="s">
        <v>20</v>
      </c>
      <c r="E798">
        <v>28</v>
      </c>
      <c r="F798">
        <v>4</v>
      </c>
      <c r="G798">
        <v>19</v>
      </c>
      <c r="H798">
        <v>9</v>
      </c>
      <c r="I798">
        <v>14</v>
      </c>
      <c r="J798" s="52"/>
    </row>
    <row r="799" spans="1:10" hidden="1" x14ac:dyDescent="0.35">
      <c r="A799" s="37">
        <v>44803</v>
      </c>
      <c r="B799" t="s">
        <v>36</v>
      </c>
      <c r="C799" t="s">
        <v>20</v>
      </c>
      <c r="E799">
        <v>73</v>
      </c>
      <c r="F799">
        <v>5</v>
      </c>
      <c r="G799">
        <v>36</v>
      </c>
      <c r="H799">
        <v>9</v>
      </c>
      <c r="I799">
        <v>18</v>
      </c>
      <c r="J799" s="52"/>
    </row>
    <row r="800" spans="1:10" hidden="1" x14ac:dyDescent="0.35">
      <c r="A800" s="37">
        <v>44803</v>
      </c>
      <c r="B800" t="s">
        <v>17</v>
      </c>
      <c r="C800" t="s">
        <v>26</v>
      </c>
      <c r="E800">
        <v>2</v>
      </c>
      <c r="H800">
        <v>2</v>
      </c>
      <c r="I800">
        <v>3</v>
      </c>
      <c r="J800" s="52"/>
    </row>
    <row r="801" spans="1:10" hidden="1" x14ac:dyDescent="0.35">
      <c r="A801" s="38">
        <v>44803</v>
      </c>
      <c r="B801" t="s">
        <v>70</v>
      </c>
      <c r="C801" t="s">
        <v>26</v>
      </c>
      <c r="E801">
        <v>38</v>
      </c>
      <c r="F801">
        <v>4</v>
      </c>
      <c r="G801">
        <v>27</v>
      </c>
      <c r="H801">
        <v>2</v>
      </c>
      <c r="I801">
        <v>13</v>
      </c>
      <c r="J801" s="52"/>
    </row>
    <row r="802" spans="1:10" hidden="1" x14ac:dyDescent="0.35">
      <c r="A802" s="37">
        <v>44803</v>
      </c>
      <c r="B802" t="s">
        <v>70</v>
      </c>
      <c r="C802" t="s">
        <v>20</v>
      </c>
      <c r="E802">
        <v>0</v>
      </c>
      <c r="F802">
        <v>0</v>
      </c>
      <c r="G802">
        <v>1</v>
      </c>
      <c r="H802">
        <v>1</v>
      </c>
      <c r="I802">
        <v>0</v>
      </c>
      <c r="J802" s="52"/>
    </row>
    <row r="803" spans="1:10" hidden="1" x14ac:dyDescent="0.35">
      <c r="A803" s="38">
        <v>44803</v>
      </c>
      <c r="B803" t="s">
        <v>38</v>
      </c>
      <c r="C803" t="s">
        <v>18</v>
      </c>
      <c r="E803">
        <v>27</v>
      </c>
      <c r="F803">
        <v>8</v>
      </c>
      <c r="G803">
        <v>49</v>
      </c>
      <c r="H803">
        <v>19</v>
      </c>
      <c r="I803">
        <v>17</v>
      </c>
      <c r="J803" s="52"/>
    </row>
    <row r="804" spans="1:10" hidden="1" x14ac:dyDescent="0.35">
      <c r="A804" s="37">
        <v>44803</v>
      </c>
      <c r="B804" t="s">
        <v>80</v>
      </c>
      <c r="C804" t="s">
        <v>18</v>
      </c>
      <c r="E804">
        <v>37</v>
      </c>
      <c r="F804">
        <v>24</v>
      </c>
      <c r="G804">
        <v>10</v>
      </c>
      <c r="H804">
        <v>6</v>
      </c>
      <c r="I804">
        <v>8</v>
      </c>
      <c r="J804" s="52"/>
    </row>
    <row r="805" spans="1:10" hidden="1" x14ac:dyDescent="0.35">
      <c r="A805" s="38">
        <v>44803</v>
      </c>
      <c r="B805" t="s">
        <v>13</v>
      </c>
      <c r="C805" t="s">
        <v>25</v>
      </c>
      <c r="E805">
        <v>48</v>
      </c>
      <c r="F805">
        <v>8</v>
      </c>
      <c r="G805">
        <v>28</v>
      </c>
      <c r="H805">
        <v>1</v>
      </c>
      <c r="I805">
        <v>13</v>
      </c>
      <c r="J805" s="52"/>
    </row>
    <row r="806" spans="1:10" hidden="1" x14ac:dyDescent="0.35">
      <c r="A806" s="37">
        <v>44803</v>
      </c>
      <c r="B806" t="s">
        <v>13</v>
      </c>
      <c r="C806" t="s">
        <v>23</v>
      </c>
      <c r="E806">
        <v>25</v>
      </c>
      <c r="F806">
        <v>5</v>
      </c>
      <c r="G806">
        <v>19</v>
      </c>
      <c r="H806">
        <v>2</v>
      </c>
      <c r="I806">
        <v>10</v>
      </c>
      <c r="J806" s="52"/>
    </row>
    <row r="807" spans="1:10" hidden="1" x14ac:dyDescent="0.35">
      <c r="A807" s="38">
        <v>44803</v>
      </c>
      <c r="B807" t="s">
        <v>41</v>
      </c>
      <c r="C807" t="s">
        <v>23</v>
      </c>
      <c r="E807">
        <v>11</v>
      </c>
      <c r="F807">
        <v>1</v>
      </c>
      <c r="G807">
        <v>4</v>
      </c>
      <c r="H807">
        <v>1</v>
      </c>
      <c r="I807">
        <v>2</v>
      </c>
      <c r="J807" s="52"/>
    </row>
    <row r="808" spans="1:10" hidden="1" x14ac:dyDescent="0.35">
      <c r="A808" s="37">
        <v>44803</v>
      </c>
      <c r="B808" t="s">
        <v>41</v>
      </c>
      <c r="C808" t="s">
        <v>24</v>
      </c>
      <c r="E808">
        <v>13</v>
      </c>
      <c r="F808">
        <v>3</v>
      </c>
      <c r="G808">
        <v>11</v>
      </c>
      <c r="H808">
        <v>1</v>
      </c>
      <c r="I808">
        <v>4</v>
      </c>
      <c r="J808" s="52"/>
    </row>
    <row r="809" spans="1:10" hidden="1" x14ac:dyDescent="0.35">
      <c r="A809" s="38">
        <v>44803</v>
      </c>
      <c r="B809" t="s">
        <v>12</v>
      </c>
      <c r="C809" t="s">
        <v>24</v>
      </c>
      <c r="E809">
        <v>53</v>
      </c>
      <c r="F809">
        <v>9</v>
      </c>
      <c r="G809">
        <v>33</v>
      </c>
      <c r="H809">
        <v>3</v>
      </c>
      <c r="I809">
        <v>16</v>
      </c>
      <c r="J809" s="52"/>
    </row>
    <row r="810" spans="1:10" hidden="1" x14ac:dyDescent="0.35">
      <c r="A810" s="37">
        <v>44803</v>
      </c>
      <c r="B810" t="s">
        <v>12</v>
      </c>
      <c r="C810" t="s">
        <v>37</v>
      </c>
      <c r="E810">
        <v>26</v>
      </c>
      <c r="F810">
        <v>5</v>
      </c>
      <c r="G810">
        <v>15</v>
      </c>
      <c r="H810">
        <v>5</v>
      </c>
      <c r="I810">
        <v>12</v>
      </c>
      <c r="J810" s="52"/>
    </row>
    <row r="811" spans="1:10" hidden="1" x14ac:dyDescent="0.35">
      <c r="A811" s="38">
        <v>44803</v>
      </c>
      <c r="B811" t="s">
        <v>50</v>
      </c>
      <c r="C811" t="s">
        <v>37</v>
      </c>
      <c r="E811">
        <v>24</v>
      </c>
      <c r="F811">
        <v>12</v>
      </c>
      <c r="G811">
        <v>26</v>
      </c>
      <c r="H811">
        <v>6</v>
      </c>
      <c r="I811">
        <v>8</v>
      </c>
      <c r="J811" s="52"/>
    </row>
    <row r="812" spans="1:10" hidden="1" x14ac:dyDescent="0.35">
      <c r="A812" s="37">
        <v>44803</v>
      </c>
      <c r="B812" t="s">
        <v>17</v>
      </c>
      <c r="C812" t="s">
        <v>37</v>
      </c>
      <c r="E812">
        <v>50</v>
      </c>
      <c r="F812">
        <v>7</v>
      </c>
      <c r="G812">
        <v>16</v>
      </c>
      <c r="H812">
        <v>7</v>
      </c>
      <c r="I812">
        <v>18</v>
      </c>
      <c r="J812" s="52"/>
    </row>
    <row r="813" spans="1:10" hidden="1" x14ac:dyDescent="0.35">
      <c r="A813" s="38">
        <v>44803</v>
      </c>
      <c r="B813" t="s">
        <v>40</v>
      </c>
      <c r="C813" t="s">
        <v>19</v>
      </c>
      <c r="E813">
        <v>36</v>
      </c>
      <c r="F813">
        <v>2</v>
      </c>
      <c r="G813">
        <v>48</v>
      </c>
      <c r="H813">
        <v>9</v>
      </c>
      <c r="I813">
        <v>13</v>
      </c>
      <c r="J813" s="52"/>
    </row>
    <row r="814" spans="1:10" hidden="1" x14ac:dyDescent="0.35">
      <c r="A814" s="37">
        <v>44803</v>
      </c>
      <c r="B814" t="s">
        <v>42</v>
      </c>
      <c r="C814" t="s">
        <v>19</v>
      </c>
      <c r="E814">
        <v>45</v>
      </c>
      <c r="F814">
        <v>4</v>
      </c>
      <c r="G814">
        <v>53</v>
      </c>
      <c r="H814">
        <v>8</v>
      </c>
      <c r="I814">
        <v>18</v>
      </c>
      <c r="J814" s="52"/>
    </row>
    <row r="815" spans="1:10" hidden="1" x14ac:dyDescent="0.35">
      <c r="A815" s="38">
        <v>44803</v>
      </c>
      <c r="B815" t="s">
        <v>74</v>
      </c>
      <c r="C815" t="s">
        <v>22</v>
      </c>
      <c r="E815">
        <v>26</v>
      </c>
      <c r="F815">
        <v>8</v>
      </c>
      <c r="G815">
        <v>9</v>
      </c>
      <c r="H815">
        <v>8</v>
      </c>
      <c r="I815">
        <v>8</v>
      </c>
      <c r="J815" s="52"/>
    </row>
    <row r="816" spans="1:10" hidden="1" x14ac:dyDescent="0.35">
      <c r="A816" s="37">
        <v>44803</v>
      </c>
      <c r="B816" t="s">
        <v>66</v>
      </c>
      <c r="C816" t="s">
        <v>22</v>
      </c>
      <c r="E816">
        <v>46</v>
      </c>
      <c r="F816">
        <v>12</v>
      </c>
      <c r="G816">
        <v>26</v>
      </c>
      <c r="H816">
        <v>7</v>
      </c>
      <c r="I816">
        <v>13</v>
      </c>
      <c r="J816" s="52"/>
    </row>
    <row r="817" spans="1:10" hidden="1" x14ac:dyDescent="0.35">
      <c r="A817" s="38">
        <v>44803</v>
      </c>
      <c r="B817" t="s">
        <v>43</v>
      </c>
      <c r="C817" t="s">
        <v>27</v>
      </c>
      <c r="E817">
        <v>56</v>
      </c>
      <c r="F817">
        <v>0</v>
      </c>
      <c r="G817">
        <v>45</v>
      </c>
      <c r="H817">
        <v>0</v>
      </c>
      <c r="I817">
        <v>32</v>
      </c>
      <c r="J817" s="52"/>
    </row>
    <row r="818" spans="1:10" hidden="1" x14ac:dyDescent="0.35">
      <c r="A818" s="37">
        <v>44803</v>
      </c>
      <c r="B818" t="s">
        <v>49</v>
      </c>
      <c r="C818" t="s">
        <v>9</v>
      </c>
      <c r="E818">
        <v>48</v>
      </c>
      <c r="F818">
        <v>1</v>
      </c>
      <c r="G818">
        <v>51</v>
      </c>
      <c r="H818">
        <v>1</v>
      </c>
      <c r="I818">
        <v>15</v>
      </c>
      <c r="J818" s="52"/>
    </row>
    <row r="819" spans="1:10" hidden="1" x14ac:dyDescent="0.35">
      <c r="A819" s="38">
        <v>44803</v>
      </c>
      <c r="B819" t="s">
        <v>14</v>
      </c>
      <c r="C819" t="s">
        <v>21</v>
      </c>
      <c r="E819">
        <v>14</v>
      </c>
      <c r="F819">
        <v>18</v>
      </c>
      <c r="G819">
        <v>26</v>
      </c>
      <c r="H819">
        <v>8</v>
      </c>
      <c r="I819">
        <v>10</v>
      </c>
      <c r="J819" s="52"/>
    </row>
    <row r="820" spans="1:10" hidden="1" x14ac:dyDescent="0.35">
      <c r="A820" s="37">
        <v>44803</v>
      </c>
      <c r="B820" t="s">
        <v>78</v>
      </c>
      <c r="C820" t="s">
        <v>21</v>
      </c>
      <c r="E820">
        <v>26</v>
      </c>
      <c r="F820">
        <v>1</v>
      </c>
      <c r="G820">
        <v>3</v>
      </c>
      <c r="H820">
        <v>0</v>
      </c>
      <c r="I820">
        <v>0</v>
      </c>
      <c r="J820" s="52"/>
    </row>
    <row r="821" spans="1:10" hidden="1" x14ac:dyDescent="0.35">
      <c r="A821" s="38">
        <v>44803</v>
      </c>
      <c r="B821" t="s">
        <v>78</v>
      </c>
      <c r="C821" t="s">
        <v>76</v>
      </c>
      <c r="E821">
        <v>13</v>
      </c>
      <c r="F821">
        <v>10</v>
      </c>
      <c r="G821">
        <v>2</v>
      </c>
      <c r="H821">
        <v>2</v>
      </c>
      <c r="I821">
        <v>3</v>
      </c>
      <c r="J821" s="52"/>
    </row>
    <row r="822" spans="1:10" hidden="1" x14ac:dyDescent="0.35">
      <c r="A822" s="37">
        <v>44803</v>
      </c>
      <c r="B822" t="s">
        <v>56</v>
      </c>
      <c r="C822" t="s">
        <v>54</v>
      </c>
      <c r="E822">
        <v>22</v>
      </c>
      <c r="F822">
        <v>2</v>
      </c>
      <c r="G822">
        <v>45</v>
      </c>
      <c r="H822">
        <v>10</v>
      </c>
      <c r="I822">
        <v>6</v>
      </c>
      <c r="J822" s="52"/>
    </row>
    <row r="823" spans="1:10" hidden="1" x14ac:dyDescent="0.35">
      <c r="A823" s="38">
        <v>44803</v>
      </c>
      <c r="B823" t="s">
        <v>72</v>
      </c>
      <c r="C823" t="s">
        <v>54</v>
      </c>
      <c r="E823">
        <v>28</v>
      </c>
      <c r="F823">
        <v>14</v>
      </c>
      <c r="G823">
        <v>16</v>
      </c>
      <c r="H823">
        <v>4</v>
      </c>
      <c r="I823">
        <v>9</v>
      </c>
      <c r="J823" s="52"/>
    </row>
    <row r="824" spans="1:10" hidden="1" x14ac:dyDescent="0.35">
      <c r="A824" s="37">
        <v>44803</v>
      </c>
      <c r="B824" t="s">
        <v>57</v>
      </c>
      <c r="C824" t="s">
        <v>55</v>
      </c>
      <c r="E824">
        <v>44</v>
      </c>
      <c r="F824">
        <v>10</v>
      </c>
      <c r="G824">
        <v>22</v>
      </c>
      <c r="H824">
        <v>7</v>
      </c>
      <c r="I824">
        <v>8</v>
      </c>
      <c r="J824" s="52"/>
    </row>
    <row r="825" spans="1:10" hidden="1" x14ac:dyDescent="0.35">
      <c r="A825" s="38">
        <v>44803</v>
      </c>
      <c r="B825" t="s">
        <v>65</v>
      </c>
      <c r="C825" t="s">
        <v>58</v>
      </c>
      <c r="E825">
        <v>20</v>
      </c>
      <c r="F825">
        <v>28</v>
      </c>
      <c r="G825">
        <v>13</v>
      </c>
      <c r="H825">
        <v>44</v>
      </c>
      <c r="I825">
        <v>20</v>
      </c>
      <c r="J825" s="52"/>
    </row>
    <row r="826" spans="1:10" hidden="1" x14ac:dyDescent="0.35">
      <c r="A826" s="37">
        <v>44803</v>
      </c>
      <c r="B826" t="s">
        <v>64</v>
      </c>
      <c r="C826" t="s">
        <v>62</v>
      </c>
      <c r="E826">
        <v>41</v>
      </c>
      <c r="F826">
        <v>13</v>
      </c>
      <c r="G826">
        <v>23</v>
      </c>
      <c r="H826">
        <v>16</v>
      </c>
      <c r="I826">
        <v>4</v>
      </c>
      <c r="J826" s="52"/>
    </row>
    <row r="827" spans="1:10" hidden="1" x14ac:dyDescent="0.35">
      <c r="A827" s="38">
        <v>44803</v>
      </c>
      <c r="B827" t="s">
        <v>75</v>
      </c>
      <c r="C827" t="s">
        <v>61</v>
      </c>
      <c r="E827">
        <v>42</v>
      </c>
      <c r="F827">
        <v>17</v>
      </c>
      <c r="G827">
        <v>15</v>
      </c>
      <c r="H827">
        <v>1</v>
      </c>
      <c r="I827">
        <v>10</v>
      </c>
      <c r="J827" s="52"/>
    </row>
    <row r="828" spans="1:10" hidden="1" x14ac:dyDescent="0.35">
      <c r="A828" s="37">
        <v>44803</v>
      </c>
      <c r="B828" t="s">
        <v>69</v>
      </c>
      <c r="C828" t="s">
        <v>63</v>
      </c>
      <c r="E828">
        <v>32</v>
      </c>
      <c r="F828">
        <v>12</v>
      </c>
      <c r="G828">
        <v>6</v>
      </c>
      <c r="H828">
        <v>0</v>
      </c>
      <c r="I828">
        <v>12</v>
      </c>
      <c r="J828" s="52"/>
    </row>
    <row r="829" spans="1:10" hidden="1" x14ac:dyDescent="0.35">
      <c r="A829" s="38">
        <v>44803</v>
      </c>
      <c r="B829" t="s">
        <v>77</v>
      </c>
      <c r="C829" t="s">
        <v>73</v>
      </c>
      <c r="E829">
        <v>27</v>
      </c>
      <c r="F829">
        <v>12</v>
      </c>
      <c r="G829">
        <v>14</v>
      </c>
      <c r="H829">
        <v>9</v>
      </c>
      <c r="I829">
        <v>15</v>
      </c>
      <c r="J829" s="52"/>
    </row>
    <row r="830" spans="1:10" hidden="1" x14ac:dyDescent="0.35">
      <c r="A830" s="37">
        <v>44803</v>
      </c>
      <c r="B830" t="s">
        <v>82</v>
      </c>
      <c r="C830" t="s">
        <v>81</v>
      </c>
      <c r="E830">
        <v>27</v>
      </c>
      <c r="F830">
        <v>2</v>
      </c>
      <c r="G830">
        <v>0</v>
      </c>
      <c r="H830">
        <v>0</v>
      </c>
      <c r="I830">
        <v>4</v>
      </c>
      <c r="J830" s="52"/>
    </row>
    <row r="831" spans="1:10" hidden="1" x14ac:dyDescent="0.35">
      <c r="A831" s="38">
        <v>44834</v>
      </c>
      <c r="C831" t="s">
        <v>24</v>
      </c>
      <c r="D831">
        <v>749</v>
      </c>
      <c r="J831" s="61">
        <v>195600</v>
      </c>
    </row>
    <row r="832" spans="1:10" hidden="1" x14ac:dyDescent="0.35">
      <c r="A832" s="37">
        <v>44834</v>
      </c>
      <c r="C832" t="s">
        <v>9</v>
      </c>
      <c r="D832">
        <v>516</v>
      </c>
      <c r="J832" s="52">
        <v>199530</v>
      </c>
    </row>
    <row r="833" spans="1:10" hidden="1" x14ac:dyDescent="0.35">
      <c r="A833" s="38">
        <v>44834</v>
      </c>
      <c r="C833" t="s">
        <v>37</v>
      </c>
      <c r="D833">
        <v>951</v>
      </c>
      <c r="J833" s="61">
        <v>540350</v>
      </c>
    </row>
    <row r="834" spans="1:10" hidden="1" x14ac:dyDescent="0.35">
      <c r="A834" s="37">
        <v>44834</v>
      </c>
      <c r="C834" t="s">
        <v>23</v>
      </c>
      <c r="D834">
        <v>469</v>
      </c>
      <c r="J834" s="52">
        <v>140900</v>
      </c>
    </row>
    <row r="835" spans="1:10" hidden="1" x14ac:dyDescent="0.35">
      <c r="A835" s="38">
        <v>44834</v>
      </c>
      <c r="C835" t="s">
        <v>27</v>
      </c>
      <c r="D835">
        <v>544</v>
      </c>
      <c r="J835" s="61">
        <v>525750</v>
      </c>
    </row>
    <row r="836" spans="1:10" hidden="1" x14ac:dyDescent="0.35">
      <c r="A836" s="37">
        <v>44834</v>
      </c>
      <c r="C836" t="s">
        <v>26</v>
      </c>
      <c r="D836">
        <v>420</v>
      </c>
      <c r="J836" s="52">
        <v>158700</v>
      </c>
    </row>
    <row r="837" spans="1:10" hidden="1" x14ac:dyDescent="0.35">
      <c r="A837" s="38">
        <v>44834</v>
      </c>
      <c r="C837" t="s">
        <v>20</v>
      </c>
      <c r="D837">
        <v>663</v>
      </c>
      <c r="J837" s="52">
        <v>414900</v>
      </c>
    </row>
    <row r="838" spans="1:10" hidden="1" x14ac:dyDescent="0.35">
      <c r="A838" s="37">
        <v>44834</v>
      </c>
      <c r="C838" t="s">
        <v>25</v>
      </c>
      <c r="D838">
        <v>480</v>
      </c>
      <c r="J838" s="62">
        <v>201250</v>
      </c>
    </row>
    <row r="839" spans="1:10" hidden="1" x14ac:dyDescent="0.35">
      <c r="A839" s="38">
        <v>44834</v>
      </c>
      <c r="C839" t="s">
        <v>19</v>
      </c>
      <c r="D839">
        <v>352</v>
      </c>
      <c r="J839" s="61">
        <v>330200</v>
      </c>
    </row>
    <row r="840" spans="1:10" hidden="1" x14ac:dyDescent="0.35">
      <c r="A840" s="37">
        <v>44834</v>
      </c>
      <c r="C840" t="s">
        <v>21</v>
      </c>
      <c r="D840">
        <v>557</v>
      </c>
      <c r="J840" s="52">
        <v>251750</v>
      </c>
    </row>
    <row r="841" spans="1:10" hidden="1" x14ac:dyDescent="0.35">
      <c r="A841" s="38">
        <v>44834</v>
      </c>
      <c r="C841" t="s">
        <v>18</v>
      </c>
      <c r="D841">
        <v>776</v>
      </c>
      <c r="J841" s="61">
        <v>369350</v>
      </c>
    </row>
    <row r="842" spans="1:10" hidden="1" x14ac:dyDescent="0.35">
      <c r="A842" s="37">
        <v>44834</v>
      </c>
      <c r="C842" t="s">
        <v>22</v>
      </c>
      <c r="D842">
        <v>610</v>
      </c>
      <c r="J842" s="62">
        <v>400400</v>
      </c>
    </row>
    <row r="843" spans="1:10" hidden="1" x14ac:dyDescent="0.35">
      <c r="A843" s="38">
        <v>44834</v>
      </c>
      <c r="C843" t="s">
        <v>54</v>
      </c>
      <c r="D843">
        <v>528</v>
      </c>
      <c r="J843" s="61">
        <v>185650</v>
      </c>
    </row>
    <row r="844" spans="1:10" hidden="1" x14ac:dyDescent="0.35">
      <c r="A844" s="37">
        <v>44834</v>
      </c>
      <c r="C844" t="s">
        <v>55</v>
      </c>
      <c r="D844">
        <v>628</v>
      </c>
      <c r="J844" s="62">
        <v>160200</v>
      </c>
    </row>
    <row r="845" spans="1:10" hidden="1" x14ac:dyDescent="0.35">
      <c r="A845" s="38">
        <v>44834</v>
      </c>
      <c r="C845" t="s">
        <v>58</v>
      </c>
      <c r="D845">
        <v>692</v>
      </c>
      <c r="J845" s="52">
        <v>217800</v>
      </c>
    </row>
    <row r="846" spans="1:10" hidden="1" x14ac:dyDescent="0.35">
      <c r="A846" s="37">
        <v>44834</v>
      </c>
      <c r="C846" t="s">
        <v>62</v>
      </c>
      <c r="D846">
        <v>554</v>
      </c>
      <c r="J846" s="52">
        <v>126750</v>
      </c>
    </row>
    <row r="847" spans="1:10" hidden="1" x14ac:dyDescent="0.35">
      <c r="A847" s="38">
        <v>44834</v>
      </c>
      <c r="C847" t="s">
        <v>61</v>
      </c>
      <c r="D847">
        <v>816</v>
      </c>
      <c r="J847" s="52">
        <v>123980</v>
      </c>
    </row>
    <row r="848" spans="1:10" hidden="1" x14ac:dyDescent="0.35">
      <c r="A848" s="37">
        <v>44834</v>
      </c>
      <c r="C848" t="s">
        <v>63</v>
      </c>
      <c r="D848">
        <v>361</v>
      </c>
      <c r="J848" s="52">
        <v>152500</v>
      </c>
    </row>
    <row r="849" spans="1:10" hidden="1" x14ac:dyDescent="0.35">
      <c r="A849" s="38">
        <v>44834</v>
      </c>
      <c r="C849" t="s">
        <v>73</v>
      </c>
      <c r="D849">
        <v>360</v>
      </c>
      <c r="J849" s="52">
        <v>146800</v>
      </c>
    </row>
    <row r="850" spans="1:10" hidden="1" x14ac:dyDescent="0.35">
      <c r="A850" s="37">
        <v>44834</v>
      </c>
      <c r="C850" t="s">
        <v>76</v>
      </c>
      <c r="D850">
        <v>473</v>
      </c>
      <c r="J850" s="52">
        <v>0</v>
      </c>
    </row>
    <row r="851" spans="1:10" hidden="1" x14ac:dyDescent="0.35">
      <c r="A851" s="38">
        <v>44834</v>
      </c>
      <c r="C851" t="s">
        <v>81</v>
      </c>
      <c r="D851">
        <v>444</v>
      </c>
      <c r="J851" s="52">
        <v>141650</v>
      </c>
    </row>
    <row r="852" spans="1:10" hidden="1" x14ac:dyDescent="0.35">
      <c r="A852" s="37">
        <v>44834</v>
      </c>
      <c r="C852" t="s">
        <v>83</v>
      </c>
      <c r="D852">
        <v>173</v>
      </c>
      <c r="J852" s="52">
        <v>27000</v>
      </c>
    </row>
    <row r="853" spans="1:10" hidden="1" x14ac:dyDescent="0.35">
      <c r="A853" s="38">
        <v>44834</v>
      </c>
      <c r="B853" t="s">
        <v>71</v>
      </c>
      <c r="C853" t="s">
        <v>20</v>
      </c>
      <c r="E853">
        <v>26</v>
      </c>
      <c r="F853">
        <v>9</v>
      </c>
      <c r="G853">
        <v>26</v>
      </c>
      <c r="H853">
        <v>6</v>
      </c>
      <c r="I853">
        <v>12</v>
      </c>
      <c r="J853" s="52"/>
    </row>
    <row r="854" spans="1:10" hidden="1" x14ac:dyDescent="0.35">
      <c r="A854" s="37">
        <v>44834</v>
      </c>
      <c r="B854" t="s">
        <v>36</v>
      </c>
      <c r="C854" t="s">
        <v>20</v>
      </c>
      <c r="E854">
        <v>73</v>
      </c>
      <c r="F854">
        <v>5</v>
      </c>
      <c r="G854">
        <v>51</v>
      </c>
      <c r="H854">
        <v>0</v>
      </c>
      <c r="I854">
        <v>19</v>
      </c>
      <c r="J854" s="52"/>
    </row>
    <row r="855" spans="1:10" hidden="1" x14ac:dyDescent="0.35">
      <c r="A855" s="37">
        <v>44834</v>
      </c>
      <c r="B855" t="s">
        <v>70</v>
      </c>
      <c r="C855" t="s">
        <v>26</v>
      </c>
      <c r="E855">
        <v>24</v>
      </c>
      <c r="F855">
        <v>3</v>
      </c>
      <c r="G855">
        <v>23</v>
      </c>
      <c r="H855">
        <v>2</v>
      </c>
      <c r="I855">
        <v>12</v>
      </c>
      <c r="J855" s="52"/>
    </row>
    <row r="856" spans="1:10" hidden="1" x14ac:dyDescent="0.35">
      <c r="A856" s="37">
        <v>44834</v>
      </c>
      <c r="B856" t="s">
        <v>38</v>
      </c>
      <c r="C856" t="s">
        <v>18</v>
      </c>
      <c r="E856">
        <v>20</v>
      </c>
      <c r="F856">
        <v>4</v>
      </c>
      <c r="G856">
        <v>26</v>
      </c>
      <c r="H856">
        <v>12</v>
      </c>
      <c r="I856">
        <v>12</v>
      </c>
      <c r="J856" s="52"/>
    </row>
    <row r="857" spans="1:10" hidden="1" x14ac:dyDescent="0.35">
      <c r="A857" s="38">
        <v>44834</v>
      </c>
      <c r="B857" t="s">
        <v>80</v>
      </c>
      <c r="C857" t="s">
        <v>18</v>
      </c>
      <c r="E857">
        <v>36</v>
      </c>
      <c r="F857">
        <v>8</v>
      </c>
      <c r="G857">
        <v>10</v>
      </c>
      <c r="H857">
        <v>5</v>
      </c>
      <c r="I857">
        <v>14</v>
      </c>
      <c r="J857" s="52"/>
    </row>
    <row r="858" spans="1:10" hidden="1" x14ac:dyDescent="0.35">
      <c r="A858" s="37">
        <v>44834</v>
      </c>
      <c r="B858" t="s">
        <v>13</v>
      </c>
      <c r="C858" t="s">
        <v>25</v>
      </c>
      <c r="E858">
        <v>63</v>
      </c>
      <c r="F858">
        <v>5</v>
      </c>
      <c r="G858">
        <v>29</v>
      </c>
      <c r="H858">
        <v>8</v>
      </c>
      <c r="I858">
        <v>15</v>
      </c>
      <c r="J858" s="52"/>
    </row>
    <row r="859" spans="1:10" hidden="1" x14ac:dyDescent="0.35">
      <c r="A859" s="38">
        <v>44834</v>
      </c>
      <c r="B859" t="s">
        <v>13</v>
      </c>
      <c r="C859" t="s">
        <v>23</v>
      </c>
      <c r="E859">
        <v>19</v>
      </c>
      <c r="F859">
        <v>3</v>
      </c>
      <c r="G859">
        <v>17</v>
      </c>
      <c r="H859">
        <v>1</v>
      </c>
      <c r="I859">
        <v>8</v>
      </c>
      <c r="J859" s="52"/>
    </row>
    <row r="860" spans="1:10" hidden="1" x14ac:dyDescent="0.35">
      <c r="A860" s="37">
        <v>44834</v>
      </c>
      <c r="B860" t="s">
        <v>41</v>
      </c>
      <c r="C860" t="s">
        <v>23</v>
      </c>
      <c r="E860">
        <v>29</v>
      </c>
      <c r="F860">
        <v>6</v>
      </c>
      <c r="G860">
        <v>14</v>
      </c>
      <c r="H860">
        <v>3</v>
      </c>
      <c r="I860">
        <v>3</v>
      </c>
      <c r="J860" s="52"/>
    </row>
    <row r="861" spans="1:10" hidden="1" x14ac:dyDescent="0.35">
      <c r="A861" s="38">
        <v>44834</v>
      </c>
      <c r="B861" t="s">
        <v>41</v>
      </c>
      <c r="C861" t="s">
        <v>24</v>
      </c>
      <c r="E861">
        <v>19</v>
      </c>
      <c r="F861">
        <v>5</v>
      </c>
      <c r="G861">
        <v>7</v>
      </c>
      <c r="H861">
        <v>0</v>
      </c>
      <c r="I861">
        <v>1</v>
      </c>
      <c r="J861" s="52"/>
    </row>
    <row r="862" spans="1:10" hidden="1" x14ac:dyDescent="0.35">
      <c r="A862" s="37">
        <v>44834</v>
      </c>
      <c r="B862" t="s">
        <v>12</v>
      </c>
      <c r="C862" t="s">
        <v>24</v>
      </c>
      <c r="E862">
        <v>43</v>
      </c>
      <c r="F862">
        <v>4</v>
      </c>
      <c r="G862">
        <v>26</v>
      </c>
      <c r="H862">
        <v>1</v>
      </c>
      <c r="I862">
        <v>14</v>
      </c>
      <c r="J862" s="52"/>
    </row>
    <row r="863" spans="1:10" hidden="1" x14ac:dyDescent="0.35">
      <c r="A863" s="38">
        <v>44834</v>
      </c>
      <c r="B863" t="s">
        <v>12</v>
      </c>
      <c r="C863" t="s">
        <v>37</v>
      </c>
      <c r="E863">
        <v>28</v>
      </c>
      <c r="F863">
        <v>10</v>
      </c>
      <c r="G863">
        <v>38</v>
      </c>
      <c r="H863">
        <v>7</v>
      </c>
      <c r="I863">
        <v>14</v>
      </c>
      <c r="J863" s="52"/>
    </row>
    <row r="864" spans="1:10" hidden="1" x14ac:dyDescent="0.35">
      <c r="A864" s="37">
        <v>44834</v>
      </c>
      <c r="B864" t="s">
        <v>50</v>
      </c>
      <c r="C864" t="s">
        <v>37</v>
      </c>
      <c r="E864">
        <v>33</v>
      </c>
      <c r="F864">
        <v>7</v>
      </c>
      <c r="G864">
        <v>30</v>
      </c>
      <c r="H864">
        <v>3</v>
      </c>
      <c r="I864">
        <v>12</v>
      </c>
      <c r="J864" s="52"/>
    </row>
    <row r="865" spans="1:10" hidden="1" x14ac:dyDescent="0.35">
      <c r="A865" s="38">
        <v>44834</v>
      </c>
      <c r="B865" t="s">
        <v>17</v>
      </c>
      <c r="C865" t="s">
        <v>37</v>
      </c>
      <c r="E865">
        <v>29</v>
      </c>
      <c r="F865">
        <v>1</v>
      </c>
      <c r="G865">
        <v>18</v>
      </c>
      <c r="H865">
        <v>4</v>
      </c>
      <c r="I865">
        <v>12</v>
      </c>
      <c r="J865" s="52"/>
    </row>
    <row r="866" spans="1:10" hidden="1" x14ac:dyDescent="0.35">
      <c r="A866" s="37">
        <v>44834</v>
      </c>
      <c r="B866" t="s">
        <v>40</v>
      </c>
      <c r="C866" t="s">
        <v>19</v>
      </c>
      <c r="E866">
        <v>45</v>
      </c>
      <c r="F866">
        <v>3</v>
      </c>
      <c r="G866">
        <v>37</v>
      </c>
      <c r="H866">
        <v>1</v>
      </c>
      <c r="I866">
        <v>10</v>
      </c>
      <c r="J866" s="52"/>
    </row>
    <row r="867" spans="1:10" hidden="1" x14ac:dyDescent="0.35">
      <c r="A867" s="38">
        <v>44834</v>
      </c>
      <c r="B867" t="s">
        <v>42</v>
      </c>
      <c r="C867" t="s">
        <v>19</v>
      </c>
      <c r="E867">
        <v>25</v>
      </c>
      <c r="F867">
        <v>2</v>
      </c>
      <c r="G867">
        <v>34</v>
      </c>
      <c r="H867">
        <v>3</v>
      </c>
      <c r="I867">
        <v>13</v>
      </c>
      <c r="J867" s="52"/>
    </row>
    <row r="868" spans="1:10" hidden="1" x14ac:dyDescent="0.35">
      <c r="A868" s="37">
        <v>44834</v>
      </c>
      <c r="B868" t="s">
        <v>74</v>
      </c>
      <c r="C868" t="s">
        <v>22</v>
      </c>
      <c r="E868">
        <v>22</v>
      </c>
      <c r="F868">
        <v>6</v>
      </c>
      <c r="G868">
        <v>12</v>
      </c>
      <c r="H868">
        <v>3</v>
      </c>
      <c r="I868">
        <v>8</v>
      </c>
      <c r="J868" s="52"/>
    </row>
    <row r="869" spans="1:10" hidden="1" x14ac:dyDescent="0.35">
      <c r="A869" s="38">
        <v>44834</v>
      </c>
      <c r="B869" t="s">
        <v>66</v>
      </c>
      <c r="C869" t="s">
        <v>22</v>
      </c>
      <c r="E869">
        <v>36</v>
      </c>
      <c r="F869">
        <v>10</v>
      </c>
      <c r="G869">
        <v>23</v>
      </c>
      <c r="H869">
        <v>5</v>
      </c>
      <c r="I869">
        <v>22</v>
      </c>
      <c r="J869" s="52"/>
    </row>
    <row r="870" spans="1:10" hidden="1" x14ac:dyDescent="0.35">
      <c r="A870" s="37">
        <v>44834</v>
      </c>
      <c r="B870" t="s">
        <v>43</v>
      </c>
      <c r="C870" t="s">
        <v>27</v>
      </c>
      <c r="E870">
        <v>52</v>
      </c>
      <c r="F870">
        <v>0</v>
      </c>
      <c r="G870">
        <v>37</v>
      </c>
      <c r="H870">
        <v>0</v>
      </c>
      <c r="I870">
        <v>35</v>
      </c>
      <c r="J870" s="52"/>
    </row>
    <row r="871" spans="1:10" hidden="1" x14ac:dyDescent="0.35">
      <c r="A871" s="38">
        <v>44834</v>
      </c>
      <c r="B871" t="s">
        <v>17</v>
      </c>
      <c r="C871" t="s">
        <v>9</v>
      </c>
      <c r="E871">
        <v>43</v>
      </c>
      <c r="F871">
        <v>0</v>
      </c>
      <c r="G871">
        <v>3</v>
      </c>
      <c r="H871">
        <v>0</v>
      </c>
      <c r="I871">
        <v>10</v>
      </c>
      <c r="J871" s="52"/>
    </row>
    <row r="872" spans="1:10" hidden="1" x14ac:dyDescent="0.35">
      <c r="A872" s="37">
        <v>44834</v>
      </c>
      <c r="B872" t="s">
        <v>49</v>
      </c>
      <c r="C872" t="s">
        <v>9</v>
      </c>
      <c r="E872">
        <v>10</v>
      </c>
      <c r="F872">
        <v>0</v>
      </c>
      <c r="G872">
        <v>74</v>
      </c>
      <c r="H872">
        <v>7</v>
      </c>
      <c r="I872">
        <v>5</v>
      </c>
      <c r="J872" s="52"/>
    </row>
    <row r="873" spans="1:10" hidden="1" x14ac:dyDescent="0.35">
      <c r="A873" s="38">
        <v>44834</v>
      </c>
      <c r="B873" t="s">
        <v>14</v>
      </c>
      <c r="C873" t="s">
        <v>21</v>
      </c>
      <c r="E873">
        <v>27</v>
      </c>
      <c r="F873">
        <v>25</v>
      </c>
      <c r="G873">
        <v>32</v>
      </c>
      <c r="H873">
        <v>15</v>
      </c>
      <c r="I873">
        <v>17</v>
      </c>
      <c r="J873" s="52"/>
    </row>
    <row r="874" spans="1:10" hidden="1" x14ac:dyDescent="0.35">
      <c r="A874" s="37">
        <v>44834</v>
      </c>
      <c r="B874" t="s">
        <v>78</v>
      </c>
      <c r="C874" t="s">
        <v>21</v>
      </c>
      <c r="E874">
        <v>3</v>
      </c>
      <c r="F874">
        <v>0</v>
      </c>
      <c r="G874">
        <v>0</v>
      </c>
      <c r="H874">
        <v>2</v>
      </c>
      <c r="I874">
        <v>1</v>
      </c>
      <c r="J874" s="52"/>
    </row>
    <row r="875" spans="1:10" hidden="1" x14ac:dyDescent="0.35">
      <c r="A875" s="38">
        <v>44834</v>
      </c>
      <c r="B875" t="s">
        <v>78</v>
      </c>
      <c r="C875" t="s">
        <v>76</v>
      </c>
      <c r="E875">
        <v>9</v>
      </c>
      <c r="F875">
        <v>6</v>
      </c>
      <c r="G875">
        <v>0</v>
      </c>
      <c r="H875">
        <v>2</v>
      </c>
      <c r="I875">
        <v>0</v>
      </c>
      <c r="J875" s="52"/>
    </row>
    <row r="876" spans="1:10" hidden="1" x14ac:dyDescent="0.35">
      <c r="A876" s="37">
        <v>44834</v>
      </c>
      <c r="B876" t="s">
        <v>56</v>
      </c>
      <c r="C876" t="s">
        <v>54</v>
      </c>
      <c r="E876">
        <v>2</v>
      </c>
      <c r="F876">
        <v>0</v>
      </c>
      <c r="G876">
        <v>0</v>
      </c>
      <c r="H876">
        <v>0</v>
      </c>
      <c r="I876">
        <v>1</v>
      </c>
      <c r="J876" s="52"/>
    </row>
    <row r="877" spans="1:10" hidden="1" x14ac:dyDescent="0.35">
      <c r="A877" s="38">
        <v>44834</v>
      </c>
      <c r="B877" t="s">
        <v>72</v>
      </c>
      <c r="C877" t="s">
        <v>54</v>
      </c>
      <c r="E877">
        <v>19</v>
      </c>
      <c r="F877">
        <v>6</v>
      </c>
      <c r="G877">
        <v>16</v>
      </c>
      <c r="H877">
        <v>8</v>
      </c>
      <c r="I877">
        <v>12</v>
      </c>
      <c r="J877" s="52"/>
    </row>
    <row r="878" spans="1:10" hidden="1" x14ac:dyDescent="0.35">
      <c r="A878" s="37">
        <v>44834</v>
      </c>
      <c r="B878" t="s">
        <v>57</v>
      </c>
      <c r="C878" t="s">
        <v>55</v>
      </c>
      <c r="E878">
        <v>39</v>
      </c>
      <c r="F878">
        <v>12</v>
      </c>
      <c r="G878">
        <v>30</v>
      </c>
      <c r="H878">
        <v>9</v>
      </c>
      <c r="I878">
        <v>12</v>
      </c>
      <c r="J878" s="52"/>
    </row>
    <row r="879" spans="1:10" hidden="1" x14ac:dyDescent="0.35">
      <c r="A879" s="38">
        <v>44834</v>
      </c>
      <c r="B879" t="s">
        <v>65</v>
      </c>
      <c r="C879" t="s">
        <v>58</v>
      </c>
      <c r="E879">
        <v>32</v>
      </c>
      <c r="F879">
        <v>27</v>
      </c>
      <c r="G879">
        <v>21</v>
      </c>
      <c r="H879">
        <v>29</v>
      </c>
      <c r="I879">
        <v>16</v>
      </c>
      <c r="J879" s="52"/>
    </row>
    <row r="880" spans="1:10" hidden="1" x14ac:dyDescent="0.35">
      <c r="A880" s="37">
        <v>44834</v>
      </c>
      <c r="B880" t="s">
        <v>64</v>
      </c>
      <c r="C880" t="s">
        <v>62</v>
      </c>
      <c r="E880">
        <v>38</v>
      </c>
      <c r="F880">
        <v>11</v>
      </c>
      <c r="G880">
        <v>25</v>
      </c>
      <c r="H880">
        <v>9</v>
      </c>
      <c r="I880">
        <v>9</v>
      </c>
      <c r="J880" s="52"/>
    </row>
    <row r="881" spans="1:10" hidden="1" x14ac:dyDescent="0.35">
      <c r="A881" s="38">
        <v>44834</v>
      </c>
      <c r="B881" t="s">
        <v>75</v>
      </c>
      <c r="C881" t="s">
        <v>61</v>
      </c>
      <c r="E881">
        <v>57</v>
      </c>
      <c r="F881">
        <v>9</v>
      </c>
      <c r="G881">
        <v>16</v>
      </c>
      <c r="H881">
        <v>3</v>
      </c>
      <c r="I881">
        <v>10</v>
      </c>
      <c r="J881" s="52"/>
    </row>
    <row r="882" spans="1:10" hidden="1" x14ac:dyDescent="0.35">
      <c r="A882" s="37">
        <v>44834</v>
      </c>
      <c r="B882" t="s">
        <v>69</v>
      </c>
      <c r="C882" t="s">
        <v>63</v>
      </c>
      <c r="E882">
        <v>28</v>
      </c>
      <c r="F882">
        <v>16</v>
      </c>
      <c r="G882">
        <v>13</v>
      </c>
      <c r="H882">
        <v>7</v>
      </c>
      <c r="I882">
        <v>12</v>
      </c>
      <c r="J882" s="52"/>
    </row>
    <row r="883" spans="1:10" hidden="1" x14ac:dyDescent="0.35">
      <c r="A883" s="38">
        <v>44834</v>
      </c>
      <c r="B883" t="s">
        <v>77</v>
      </c>
      <c r="C883" t="s">
        <v>73</v>
      </c>
      <c r="E883">
        <v>29</v>
      </c>
      <c r="F883">
        <v>14</v>
      </c>
      <c r="G883">
        <v>11</v>
      </c>
      <c r="H883">
        <v>10</v>
      </c>
      <c r="I883">
        <v>11</v>
      </c>
      <c r="J883" s="52"/>
    </row>
    <row r="884" spans="1:10" hidden="1" x14ac:dyDescent="0.35">
      <c r="A884" s="37">
        <v>44834</v>
      </c>
      <c r="B884" t="s">
        <v>36</v>
      </c>
      <c r="C884" t="s">
        <v>81</v>
      </c>
      <c r="E884">
        <v>1</v>
      </c>
      <c r="F884">
        <v>0</v>
      </c>
      <c r="G884">
        <v>0</v>
      </c>
      <c r="H884">
        <v>0</v>
      </c>
      <c r="I884">
        <v>1</v>
      </c>
      <c r="J884" s="52"/>
    </row>
    <row r="885" spans="1:10" hidden="1" x14ac:dyDescent="0.35">
      <c r="A885" s="38">
        <v>44834</v>
      </c>
      <c r="B885" t="s">
        <v>70</v>
      </c>
      <c r="C885" t="s">
        <v>81</v>
      </c>
      <c r="E885">
        <v>6</v>
      </c>
      <c r="F885">
        <v>0</v>
      </c>
      <c r="G885">
        <v>1</v>
      </c>
      <c r="H885">
        <v>0</v>
      </c>
      <c r="I885">
        <v>2</v>
      </c>
      <c r="J885" s="52"/>
    </row>
    <row r="886" spans="1:10" hidden="1" x14ac:dyDescent="0.35">
      <c r="A886" s="37">
        <v>44834</v>
      </c>
      <c r="B886" t="s">
        <v>71</v>
      </c>
      <c r="C886" t="s">
        <v>81</v>
      </c>
      <c r="E886">
        <v>15</v>
      </c>
      <c r="F886">
        <v>0</v>
      </c>
      <c r="G886">
        <v>0</v>
      </c>
      <c r="H886">
        <v>0</v>
      </c>
      <c r="I886">
        <v>5</v>
      </c>
      <c r="J886" s="52"/>
    </row>
    <row r="887" spans="1:10" hidden="1" x14ac:dyDescent="0.35">
      <c r="A887" s="38">
        <v>44834</v>
      </c>
      <c r="B887" t="s">
        <v>17</v>
      </c>
      <c r="C887" t="s">
        <v>81</v>
      </c>
      <c r="E887">
        <v>2</v>
      </c>
      <c r="F887">
        <v>0</v>
      </c>
      <c r="G887">
        <v>0</v>
      </c>
      <c r="H887">
        <v>0</v>
      </c>
      <c r="I887">
        <v>2</v>
      </c>
      <c r="J887" s="52"/>
    </row>
    <row r="888" spans="1:10" hidden="1" x14ac:dyDescent="0.35">
      <c r="A888" s="37">
        <v>44834</v>
      </c>
      <c r="B888" s="9" t="s">
        <v>84</v>
      </c>
      <c r="C888" s="9" t="s">
        <v>83</v>
      </c>
      <c r="D888" s="9"/>
      <c r="E888" s="9">
        <v>0</v>
      </c>
      <c r="F888" s="9">
        <v>8</v>
      </c>
      <c r="G888" s="9">
        <v>0</v>
      </c>
      <c r="H888" s="9">
        <v>0</v>
      </c>
      <c r="I888" s="9">
        <v>2</v>
      </c>
      <c r="J888" s="61"/>
    </row>
    <row r="889" spans="1:10" hidden="1" x14ac:dyDescent="0.35">
      <c r="A889" s="2">
        <v>44864</v>
      </c>
      <c r="C889" t="s">
        <v>24</v>
      </c>
      <c r="D889">
        <v>712</v>
      </c>
      <c r="J889" s="52">
        <v>188650</v>
      </c>
    </row>
    <row r="890" spans="1:10" hidden="1" x14ac:dyDescent="0.35">
      <c r="A890" s="2">
        <v>44864</v>
      </c>
      <c r="C890" t="s">
        <v>9</v>
      </c>
      <c r="D890">
        <v>462</v>
      </c>
      <c r="J890" s="52">
        <v>206200</v>
      </c>
    </row>
    <row r="891" spans="1:10" hidden="1" x14ac:dyDescent="0.35">
      <c r="A891" s="2">
        <v>44864</v>
      </c>
      <c r="C891" t="s">
        <v>37</v>
      </c>
      <c r="D891">
        <v>861</v>
      </c>
      <c r="J891" s="52">
        <v>499050</v>
      </c>
    </row>
    <row r="892" spans="1:10" hidden="1" x14ac:dyDescent="0.35">
      <c r="A892" s="2">
        <v>44864</v>
      </c>
      <c r="C892" t="s">
        <v>23</v>
      </c>
      <c r="D892">
        <v>383</v>
      </c>
      <c r="J892" s="52">
        <v>219400</v>
      </c>
    </row>
    <row r="893" spans="1:10" hidden="1" x14ac:dyDescent="0.35">
      <c r="A893" s="2">
        <v>44864</v>
      </c>
      <c r="C893" t="s">
        <v>27</v>
      </c>
      <c r="D893">
        <v>488</v>
      </c>
      <c r="J893" s="52">
        <v>543800</v>
      </c>
    </row>
    <row r="894" spans="1:10" hidden="1" x14ac:dyDescent="0.35">
      <c r="A894" s="2">
        <v>44864</v>
      </c>
      <c r="C894" t="s">
        <v>26</v>
      </c>
      <c r="D894">
        <v>373</v>
      </c>
      <c r="J894" s="52">
        <v>155450</v>
      </c>
    </row>
    <row r="895" spans="1:10" hidden="1" x14ac:dyDescent="0.35">
      <c r="A895" s="2">
        <v>44864</v>
      </c>
      <c r="C895" t="s">
        <v>20</v>
      </c>
      <c r="D895">
        <v>733</v>
      </c>
      <c r="J895" s="52">
        <v>407200</v>
      </c>
    </row>
    <row r="896" spans="1:10" hidden="1" x14ac:dyDescent="0.35">
      <c r="A896" s="2">
        <v>44864</v>
      </c>
      <c r="C896" t="s">
        <v>25</v>
      </c>
      <c r="D896">
        <v>464</v>
      </c>
      <c r="J896" s="52">
        <v>193900</v>
      </c>
    </row>
    <row r="897" spans="1:10" hidden="1" x14ac:dyDescent="0.35">
      <c r="A897" s="2">
        <v>44864</v>
      </c>
      <c r="C897" t="s">
        <v>19</v>
      </c>
      <c r="D897">
        <v>389</v>
      </c>
      <c r="J897" s="52">
        <v>217000</v>
      </c>
    </row>
    <row r="898" spans="1:10" hidden="1" x14ac:dyDescent="0.35">
      <c r="A898" s="2">
        <v>44864</v>
      </c>
      <c r="C898" t="s">
        <v>21</v>
      </c>
      <c r="D898">
        <v>489</v>
      </c>
      <c r="J898" s="52">
        <v>185300</v>
      </c>
    </row>
    <row r="899" spans="1:10" hidden="1" x14ac:dyDescent="0.35">
      <c r="A899" s="2">
        <v>44864</v>
      </c>
      <c r="C899" t="s">
        <v>18</v>
      </c>
      <c r="D899">
        <v>658</v>
      </c>
      <c r="J899" s="52">
        <v>431800</v>
      </c>
    </row>
    <row r="900" spans="1:10" hidden="1" x14ac:dyDescent="0.35">
      <c r="A900" s="2">
        <v>44864</v>
      </c>
      <c r="C900" t="s">
        <v>22</v>
      </c>
      <c r="D900">
        <v>638</v>
      </c>
      <c r="J900" s="52">
        <v>271300</v>
      </c>
    </row>
    <row r="901" spans="1:10" hidden="1" x14ac:dyDescent="0.35">
      <c r="A901" s="2">
        <v>44864</v>
      </c>
      <c r="C901" t="s">
        <v>54</v>
      </c>
      <c r="D901">
        <v>541</v>
      </c>
      <c r="J901" s="52">
        <v>153200</v>
      </c>
    </row>
    <row r="902" spans="1:10" hidden="1" x14ac:dyDescent="0.35">
      <c r="A902" s="2">
        <v>44864</v>
      </c>
      <c r="C902" t="s">
        <v>55</v>
      </c>
      <c r="D902">
        <v>523</v>
      </c>
      <c r="J902" s="52">
        <v>146150</v>
      </c>
    </row>
    <row r="903" spans="1:10" hidden="1" x14ac:dyDescent="0.35">
      <c r="A903" s="2">
        <v>44864</v>
      </c>
      <c r="C903" t="s">
        <v>58</v>
      </c>
      <c r="D903">
        <v>766</v>
      </c>
      <c r="J903" s="52">
        <v>280900</v>
      </c>
    </row>
    <row r="904" spans="1:10" hidden="1" x14ac:dyDescent="0.35">
      <c r="A904" s="2">
        <v>44864</v>
      </c>
      <c r="C904" t="s">
        <v>62</v>
      </c>
      <c r="D904">
        <v>532</v>
      </c>
      <c r="J904" s="52">
        <v>38900</v>
      </c>
    </row>
    <row r="905" spans="1:10" hidden="1" x14ac:dyDescent="0.35">
      <c r="A905" s="2">
        <v>44864</v>
      </c>
      <c r="C905" t="s">
        <v>61</v>
      </c>
      <c r="D905">
        <v>865</v>
      </c>
      <c r="J905" s="52">
        <v>130960</v>
      </c>
    </row>
    <row r="906" spans="1:10" hidden="1" x14ac:dyDescent="0.35">
      <c r="A906" s="2">
        <v>44864</v>
      </c>
      <c r="C906" t="s">
        <v>63</v>
      </c>
      <c r="D906">
        <v>385</v>
      </c>
      <c r="J906" s="52">
        <v>203500</v>
      </c>
    </row>
    <row r="907" spans="1:10" hidden="1" x14ac:dyDescent="0.35">
      <c r="A907" s="2">
        <v>44864</v>
      </c>
      <c r="C907" t="s">
        <v>73</v>
      </c>
      <c r="D907">
        <v>437</v>
      </c>
      <c r="J907" s="52">
        <v>210300</v>
      </c>
    </row>
    <row r="908" spans="1:10" hidden="1" x14ac:dyDescent="0.35">
      <c r="A908" s="2">
        <v>44864</v>
      </c>
      <c r="C908" t="s">
        <v>76</v>
      </c>
      <c r="D908">
        <v>177</v>
      </c>
      <c r="J908" s="52">
        <v>26000</v>
      </c>
    </row>
    <row r="909" spans="1:10" hidden="1" x14ac:dyDescent="0.35">
      <c r="A909" s="2">
        <v>44864</v>
      </c>
      <c r="C909" t="s">
        <v>81</v>
      </c>
      <c r="D909">
        <v>475</v>
      </c>
      <c r="J909" s="52">
        <v>158650</v>
      </c>
    </row>
    <row r="910" spans="1:10" hidden="1" x14ac:dyDescent="0.35">
      <c r="A910" s="2">
        <v>44864</v>
      </c>
      <c r="C910" t="s">
        <v>83</v>
      </c>
      <c r="D910">
        <v>201</v>
      </c>
      <c r="J910" s="52">
        <v>26000</v>
      </c>
    </row>
    <row r="911" spans="1:10" hidden="1" x14ac:dyDescent="0.35">
      <c r="A911" s="2">
        <v>44864</v>
      </c>
      <c r="B911" t="s">
        <v>71</v>
      </c>
      <c r="C911" t="s">
        <v>20</v>
      </c>
      <c r="E911">
        <v>18</v>
      </c>
      <c r="F911">
        <v>8</v>
      </c>
      <c r="G911">
        <v>23</v>
      </c>
      <c r="H911">
        <v>0</v>
      </c>
      <c r="I911">
        <v>9</v>
      </c>
      <c r="J911" s="52"/>
    </row>
    <row r="912" spans="1:10" hidden="1" x14ac:dyDescent="0.35">
      <c r="A912" s="2">
        <v>44864</v>
      </c>
      <c r="B912" t="s">
        <v>36</v>
      </c>
      <c r="C912" t="s">
        <v>20</v>
      </c>
      <c r="E912">
        <v>50</v>
      </c>
      <c r="F912">
        <v>12</v>
      </c>
      <c r="G912">
        <v>40</v>
      </c>
      <c r="H912">
        <v>5</v>
      </c>
      <c r="I912">
        <v>21</v>
      </c>
      <c r="J912" s="52"/>
    </row>
    <row r="913" spans="1:10" hidden="1" x14ac:dyDescent="0.35">
      <c r="A913" s="2">
        <v>44864</v>
      </c>
      <c r="B913" t="s">
        <v>70</v>
      </c>
      <c r="C913" t="s">
        <v>20</v>
      </c>
      <c r="E913">
        <v>2</v>
      </c>
      <c r="F913">
        <v>0</v>
      </c>
      <c r="G913">
        <v>0</v>
      </c>
      <c r="H913">
        <v>0</v>
      </c>
      <c r="I913">
        <v>0</v>
      </c>
      <c r="J913" s="52"/>
    </row>
    <row r="914" spans="1:10" hidden="1" x14ac:dyDescent="0.35">
      <c r="A914" s="2">
        <v>44864</v>
      </c>
      <c r="B914" t="s">
        <v>70</v>
      </c>
      <c r="C914" t="s">
        <v>26</v>
      </c>
      <c r="E914">
        <v>31</v>
      </c>
      <c r="F914">
        <v>0</v>
      </c>
      <c r="G914">
        <v>38</v>
      </c>
      <c r="H914">
        <v>1</v>
      </c>
      <c r="I914">
        <v>12</v>
      </c>
      <c r="J914" s="52"/>
    </row>
    <row r="915" spans="1:10" hidden="1" x14ac:dyDescent="0.35">
      <c r="A915" s="2">
        <v>44864</v>
      </c>
      <c r="B915" t="s">
        <v>38</v>
      </c>
      <c r="C915" t="s">
        <v>18</v>
      </c>
      <c r="E915">
        <v>49</v>
      </c>
      <c r="F915">
        <v>19</v>
      </c>
      <c r="G915">
        <v>57</v>
      </c>
      <c r="H915">
        <v>27</v>
      </c>
      <c r="I915">
        <v>20</v>
      </c>
      <c r="J915" s="52"/>
    </row>
    <row r="916" spans="1:10" hidden="1" x14ac:dyDescent="0.35">
      <c r="A916" s="2">
        <v>44864</v>
      </c>
      <c r="B916" t="s">
        <v>80</v>
      </c>
      <c r="C916" t="s">
        <v>18</v>
      </c>
      <c r="E916">
        <v>10</v>
      </c>
      <c r="F916">
        <v>4</v>
      </c>
      <c r="G916">
        <v>14</v>
      </c>
      <c r="H916">
        <v>16</v>
      </c>
      <c r="I916">
        <v>10</v>
      </c>
      <c r="J916" s="52"/>
    </row>
    <row r="917" spans="1:10" hidden="1" x14ac:dyDescent="0.35">
      <c r="A917" s="2">
        <v>44864</v>
      </c>
      <c r="B917" t="s">
        <v>13</v>
      </c>
      <c r="C917" t="s">
        <v>25</v>
      </c>
      <c r="E917">
        <v>56</v>
      </c>
      <c r="F917">
        <v>4</v>
      </c>
      <c r="G917">
        <v>34</v>
      </c>
      <c r="H917">
        <v>6</v>
      </c>
      <c r="I917">
        <v>15</v>
      </c>
      <c r="J917" s="52"/>
    </row>
    <row r="918" spans="1:10" hidden="1" x14ac:dyDescent="0.35">
      <c r="A918" s="2">
        <v>44864</v>
      </c>
      <c r="B918" t="s">
        <v>13</v>
      </c>
      <c r="C918" t="s">
        <v>23</v>
      </c>
      <c r="E918">
        <v>12</v>
      </c>
      <c r="F918">
        <v>0</v>
      </c>
      <c r="G918">
        <v>15</v>
      </c>
      <c r="H918">
        <v>0</v>
      </c>
      <c r="I918">
        <v>7</v>
      </c>
      <c r="J918" s="52"/>
    </row>
    <row r="919" spans="1:10" hidden="1" x14ac:dyDescent="0.35">
      <c r="A919" s="2">
        <v>44864</v>
      </c>
      <c r="B919" t="s">
        <v>41</v>
      </c>
      <c r="C919" t="s">
        <v>23</v>
      </c>
      <c r="E919">
        <v>24</v>
      </c>
      <c r="F919">
        <v>3</v>
      </c>
      <c r="G919">
        <v>17</v>
      </c>
      <c r="H919">
        <v>1</v>
      </c>
      <c r="I919">
        <v>10</v>
      </c>
      <c r="J919" s="52"/>
    </row>
    <row r="920" spans="1:10" hidden="1" x14ac:dyDescent="0.35">
      <c r="A920" s="2">
        <v>44864</v>
      </c>
      <c r="B920" t="s">
        <v>41</v>
      </c>
      <c r="C920" t="s">
        <v>24</v>
      </c>
      <c r="E920">
        <v>31</v>
      </c>
      <c r="F920">
        <v>2</v>
      </c>
      <c r="G920">
        <v>12</v>
      </c>
      <c r="H920">
        <v>1</v>
      </c>
      <c r="I920">
        <v>5</v>
      </c>
      <c r="J920" s="52"/>
    </row>
    <row r="921" spans="1:10" hidden="1" x14ac:dyDescent="0.35">
      <c r="A921" s="2">
        <v>44864</v>
      </c>
      <c r="B921" t="s">
        <v>12</v>
      </c>
      <c r="C921" t="s">
        <v>24</v>
      </c>
      <c r="E921">
        <v>26</v>
      </c>
      <c r="F921">
        <v>3</v>
      </c>
      <c r="G921">
        <v>28</v>
      </c>
      <c r="H921">
        <v>3</v>
      </c>
      <c r="I921">
        <v>9</v>
      </c>
      <c r="J921" s="52"/>
    </row>
    <row r="922" spans="1:10" hidden="1" x14ac:dyDescent="0.35">
      <c r="A922" s="2">
        <v>44864</v>
      </c>
      <c r="B922" t="s">
        <v>12</v>
      </c>
      <c r="C922" t="s">
        <v>37</v>
      </c>
      <c r="E922">
        <v>22</v>
      </c>
      <c r="F922">
        <v>10</v>
      </c>
      <c r="G922">
        <v>32</v>
      </c>
      <c r="H922">
        <v>5</v>
      </c>
      <c r="I922">
        <v>13</v>
      </c>
      <c r="J922" s="52"/>
    </row>
    <row r="923" spans="1:10" hidden="1" x14ac:dyDescent="0.35">
      <c r="A923" s="2">
        <v>44864</v>
      </c>
      <c r="B923" t="s">
        <v>50</v>
      </c>
      <c r="C923" t="s">
        <v>37</v>
      </c>
      <c r="E923">
        <v>35</v>
      </c>
      <c r="F923">
        <v>6</v>
      </c>
      <c r="G923">
        <v>31</v>
      </c>
      <c r="H923">
        <v>4</v>
      </c>
      <c r="I923">
        <v>11</v>
      </c>
      <c r="J923" s="52"/>
    </row>
    <row r="924" spans="1:10" hidden="1" x14ac:dyDescent="0.35">
      <c r="A924" s="2">
        <v>44864</v>
      </c>
      <c r="B924" t="s">
        <v>17</v>
      </c>
      <c r="C924" t="s">
        <v>37</v>
      </c>
      <c r="E924">
        <v>17</v>
      </c>
      <c r="F924">
        <v>4</v>
      </c>
      <c r="G924">
        <v>15</v>
      </c>
      <c r="H924">
        <v>2</v>
      </c>
      <c r="I924">
        <v>10</v>
      </c>
      <c r="J924" s="52"/>
    </row>
    <row r="925" spans="1:10" hidden="1" x14ac:dyDescent="0.35">
      <c r="A925" s="2">
        <v>44864</v>
      </c>
      <c r="B925" t="s">
        <v>40</v>
      </c>
      <c r="C925" t="s">
        <v>19</v>
      </c>
      <c r="E925">
        <v>25</v>
      </c>
      <c r="F925">
        <v>1</v>
      </c>
      <c r="G925">
        <v>36</v>
      </c>
      <c r="H925">
        <v>3</v>
      </c>
      <c r="I925">
        <v>15</v>
      </c>
      <c r="J925" s="52"/>
    </row>
    <row r="926" spans="1:10" hidden="1" x14ac:dyDescent="0.35">
      <c r="A926" s="2">
        <v>44864</v>
      </c>
      <c r="B926" t="s">
        <v>66</v>
      </c>
      <c r="C926" t="s">
        <v>22</v>
      </c>
      <c r="E926">
        <v>48</v>
      </c>
      <c r="F926">
        <v>14</v>
      </c>
      <c r="G926">
        <v>23</v>
      </c>
      <c r="H926">
        <v>9</v>
      </c>
      <c r="I926">
        <v>20</v>
      </c>
      <c r="J926" s="52"/>
    </row>
    <row r="927" spans="1:10" hidden="1" x14ac:dyDescent="0.35">
      <c r="A927" s="2">
        <v>44864</v>
      </c>
      <c r="B927" t="s">
        <v>43</v>
      </c>
      <c r="C927" t="s">
        <v>27</v>
      </c>
      <c r="E927">
        <v>49</v>
      </c>
      <c r="F927">
        <v>0</v>
      </c>
      <c r="G927">
        <v>53</v>
      </c>
      <c r="H927">
        <v>0</v>
      </c>
      <c r="I927">
        <v>34</v>
      </c>
      <c r="J927" s="52"/>
    </row>
    <row r="928" spans="1:10" hidden="1" x14ac:dyDescent="0.35">
      <c r="A928" s="2">
        <v>44864</v>
      </c>
      <c r="B928" t="s">
        <v>17</v>
      </c>
      <c r="C928" t="s">
        <v>9</v>
      </c>
      <c r="E928">
        <v>53</v>
      </c>
      <c r="F928">
        <v>1</v>
      </c>
      <c r="G928">
        <v>26</v>
      </c>
      <c r="H928">
        <v>0</v>
      </c>
      <c r="I928">
        <v>15</v>
      </c>
      <c r="J928" s="52"/>
    </row>
    <row r="929" spans="1:10" hidden="1" x14ac:dyDescent="0.35">
      <c r="A929" s="2">
        <v>44864</v>
      </c>
      <c r="B929" t="s">
        <v>14</v>
      </c>
      <c r="C929" t="s">
        <v>21</v>
      </c>
      <c r="E929">
        <v>29</v>
      </c>
      <c r="F929">
        <v>25</v>
      </c>
      <c r="G929">
        <v>25</v>
      </c>
      <c r="H929">
        <v>25</v>
      </c>
      <c r="I929">
        <v>13</v>
      </c>
      <c r="J929" s="52"/>
    </row>
    <row r="930" spans="1:10" hidden="1" x14ac:dyDescent="0.35">
      <c r="A930" s="2">
        <v>44864</v>
      </c>
      <c r="B930" t="s">
        <v>77</v>
      </c>
      <c r="C930" t="s">
        <v>76</v>
      </c>
      <c r="E930">
        <v>0</v>
      </c>
      <c r="F930">
        <v>3</v>
      </c>
      <c r="G930">
        <v>0</v>
      </c>
      <c r="H930">
        <v>1</v>
      </c>
      <c r="I930">
        <v>2</v>
      </c>
      <c r="J930" s="52"/>
    </row>
    <row r="931" spans="1:10" hidden="1" x14ac:dyDescent="0.35">
      <c r="A931" s="2">
        <v>44864</v>
      </c>
      <c r="B931" t="s">
        <v>72</v>
      </c>
      <c r="C931" t="s">
        <v>54</v>
      </c>
      <c r="E931">
        <v>30</v>
      </c>
      <c r="F931">
        <v>10</v>
      </c>
      <c r="G931">
        <v>24</v>
      </c>
      <c r="H931">
        <v>10</v>
      </c>
      <c r="I931">
        <v>11</v>
      </c>
      <c r="J931" s="52"/>
    </row>
    <row r="932" spans="1:10" hidden="1" x14ac:dyDescent="0.35">
      <c r="A932" s="2">
        <v>44864</v>
      </c>
      <c r="B932" t="s">
        <v>57</v>
      </c>
      <c r="C932" t="s">
        <v>55</v>
      </c>
      <c r="E932">
        <v>33</v>
      </c>
      <c r="F932">
        <v>13</v>
      </c>
      <c r="G932">
        <v>18</v>
      </c>
      <c r="H932">
        <v>7</v>
      </c>
      <c r="I932">
        <v>11</v>
      </c>
      <c r="J932" s="52"/>
    </row>
    <row r="933" spans="1:10" hidden="1" x14ac:dyDescent="0.35">
      <c r="A933" s="2">
        <v>44864</v>
      </c>
      <c r="B933" t="s">
        <v>65</v>
      </c>
      <c r="C933" t="s">
        <v>58</v>
      </c>
      <c r="E933">
        <v>42</v>
      </c>
      <c r="F933">
        <v>28</v>
      </c>
      <c r="G933">
        <v>18</v>
      </c>
      <c r="H933">
        <v>28</v>
      </c>
      <c r="I933">
        <v>20</v>
      </c>
      <c r="J933" s="52"/>
    </row>
    <row r="934" spans="1:10" hidden="1" x14ac:dyDescent="0.35">
      <c r="A934" s="2">
        <v>44864</v>
      </c>
      <c r="B934" t="s">
        <v>64</v>
      </c>
      <c r="C934" t="s">
        <v>62</v>
      </c>
      <c r="E934">
        <v>33</v>
      </c>
      <c r="F934">
        <v>12</v>
      </c>
      <c r="G934">
        <v>23</v>
      </c>
      <c r="H934">
        <v>13</v>
      </c>
      <c r="I934">
        <v>3</v>
      </c>
      <c r="J934" s="52"/>
    </row>
    <row r="935" spans="1:10" hidden="1" x14ac:dyDescent="0.35">
      <c r="A935" s="2">
        <v>44864</v>
      </c>
      <c r="B935" t="s">
        <v>75</v>
      </c>
      <c r="C935" t="s">
        <v>61</v>
      </c>
      <c r="E935">
        <v>24</v>
      </c>
      <c r="F935">
        <v>6</v>
      </c>
      <c r="G935">
        <v>6</v>
      </c>
      <c r="H935">
        <v>4</v>
      </c>
      <c r="I935">
        <v>10</v>
      </c>
      <c r="J935" s="52"/>
    </row>
    <row r="936" spans="1:10" hidden="1" x14ac:dyDescent="0.35">
      <c r="A936" s="2">
        <v>44864</v>
      </c>
      <c r="B936" t="s">
        <v>69</v>
      </c>
      <c r="C936" t="s">
        <v>63</v>
      </c>
      <c r="E936">
        <v>21</v>
      </c>
      <c r="F936">
        <v>7</v>
      </c>
      <c r="G936">
        <v>9</v>
      </c>
      <c r="H936">
        <v>3</v>
      </c>
      <c r="I936">
        <v>16</v>
      </c>
      <c r="J936" s="52"/>
    </row>
    <row r="937" spans="1:10" hidden="1" x14ac:dyDescent="0.35">
      <c r="A937" s="2">
        <v>44864</v>
      </c>
      <c r="B937" t="s">
        <v>77</v>
      </c>
      <c r="C937" t="s">
        <v>73</v>
      </c>
      <c r="E937">
        <v>24</v>
      </c>
      <c r="F937">
        <v>13</v>
      </c>
      <c r="G937">
        <v>17</v>
      </c>
      <c r="H937">
        <v>4</v>
      </c>
      <c r="I937">
        <v>15</v>
      </c>
      <c r="J937" s="52"/>
    </row>
    <row r="938" spans="1:10" hidden="1" x14ac:dyDescent="0.35">
      <c r="A938" s="2">
        <v>44864</v>
      </c>
      <c r="B938" t="s">
        <v>36</v>
      </c>
      <c r="C938" t="s">
        <v>81</v>
      </c>
      <c r="E938">
        <v>1</v>
      </c>
      <c r="F938">
        <v>0</v>
      </c>
      <c r="G938">
        <v>0</v>
      </c>
      <c r="H938">
        <v>0</v>
      </c>
      <c r="I938">
        <v>1</v>
      </c>
      <c r="J938" s="52"/>
    </row>
    <row r="939" spans="1:10" hidden="1" x14ac:dyDescent="0.35">
      <c r="A939" s="2">
        <v>44864</v>
      </c>
      <c r="B939" t="s">
        <v>70</v>
      </c>
      <c r="C939" t="s">
        <v>81</v>
      </c>
      <c r="E939">
        <v>4</v>
      </c>
      <c r="F939">
        <v>0</v>
      </c>
      <c r="G939">
        <v>0</v>
      </c>
      <c r="H939">
        <v>0</v>
      </c>
      <c r="I939">
        <v>3</v>
      </c>
      <c r="J939" s="52"/>
    </row>
    <row r="940" spans="1:10" hidden="1" x14ac:dyDescent="0.35">
      <c r="A940" s="2">
        <v>44864</v>
      </c>
      <c r="B940" t="s">
        <v>71</v>
      </c>
      <c r="C940" t="s">
        <v>81</v>
      </c>
      <c r="E940">
        <v>16</v>
      </c>
      <c r="F940">
        <v>0</v>
      </c>
      <c r="G940">
        <v>10</v>
      </c>
      <c r="H940">
        <v>0</v>
      </c>
      <c r="I940">
        <v>7</v>
      </c>
      <c r="J940" s="52"/>
    </row>
    <row r="941" spans="1:10" hidden="1" x14ac:dyDescent="0.35">
      <c r="A941" s="37">
        <v>44864</v>
      </c>
      <c r="B941" s="9" t="s">
        <v>84</v>
      </c>
      <c r="C941" s="9" t="s">
        <v>81</v>
      </c>
      <c r="D941" s="9"/>
      <c r="E941">
        <v>5</v>
      </c>
      <c r="F941">
        <v>0</v>
      </c>
      <c r="G941">
        <v>0</v>
      </c>
      <c r="H941">
        <v>0</v>
      </c>
      <c r="I941">
        <v>0</v>
      </c>
      <c r="J941" s="52"/>
    </row>
    <row r="942" spans="1:10" hidden="1" x14ac:dyDescent="0.35">
      <c r="A942" s="2">
        <v>44864</v>
      </c>
      <c r="B942" t="s">
        <v>85</v>
      </c>
      <c r="C942" t="s">
        <v>83</v>
      </c>
      <c r="E942">
        <v>37</v>
      </c>
      <c r="F942">
        <v>11</v>
      </c>
      <c r="G942">
        <v>1</v>
      </c>
      <c r="H942">
        <v>0</v>
      </c>
      <c r="I942">
        <v>2</v>
      </c>
      <c r="J942" s="52"/>
    </row>
    <row r="943" spans="1:10" hidden="1" x14ac:dyDescent="0.35">
      <c r="A943" s="2">
        <v>44864</v>
      </c>
      <c r="B943" t="s">
        <v>84</v>
      </c>
      <c r="C943" t="s">
        <v>76</v>
      </c>
      <c r="E943">
        <v>0</v>
      </c>
      <c r="F943">
        <v>9</v>
      </c>
      <c r="G943">
        <v>0</v>
      </c>
      <c r="H943">
        <v>0</v>
      </c>
      <c r="I943">
        <v>0</v>
      </c>
      <c r="J943" s="52"/>
    </row>
    <row r="944" spans="1:10" hidden="1" x14ac:dyDescent="0.35">
      <c r="A944" s="2">
        <v>44895</v>
      </c>
      <c r="C944" t="s">
        <v>24</v>
      </c>
      <c r="D944">
        <v>667</v>
      </c>
      <c r="J944" s="57">
        <v>343600</v>
      </c>
    </row>
    <row r="945" spans="1:10" hidden="1" x14ac:dyDescent="0.35">
      <c r="A945" s="2">
        <v>44895</v>
      </c>
      <c r="C945" t="s">
        <v>9</v>
      </c>
      <c r="D945">
        <v>369</v>
      </c>
      <c r="J945" s="52">
        <v>169833</v>
      </c>
    </row>
    <row r="946" spans="1:10" hidden="1" x14ac:dyDescent="0.35">
      <c r="A946" s="2">
        <v>44895</v>
      </c>
      <c r="C946" t="s">
        <v>37</v>
      </c>
      <c r="D946">
        <v>784</v>
      </c>
      <c r="J946" s="57">
        <v>404850</v>
      </c>
    </row>
    <row r="947" spans="1:10" hidden="1" x14ac:dyDescent="0.35">
      <c r="A947" s="2">
        <v>44895</v>
      </c>
      <c r="C947" t="s">
        <v>23</v>
      </c>
      <c r="D947">
        <v>459</v>
      </c>
      <c r="J947" s="52">
        <v>175050</v>
      </c>
    </row>
    <row r="948" spans="1:10" hidden="1" x14ac:dyDescent="0.35">
      <c r="A948" s="2">
        <v>44895</v>
      </c>
      <c r="C948" t="s">
        <v>27</v>
      </c>
      <c r="D948">
        <v>421</v>
      </c>
      <c r="J948" s="57">
        <v>322650</v>
      </c>
    </row>
    <row r="949" spans="1:10" hidden="1" x14ac:dyDescent="0.35">
      <c r="A949" s="2">
        <v>44895</v>
      </c>
      <c r="C949" t="s">
        <v>26</v>
      </c>
      <c r="D949">
        <v>375</v>
      </c>
      <c r="J949" s="57">
        <v>127350</v>
      </c>
    </row>
    <row r="950" spans="1:10" hidden="1" x14ac:dyDescent="0.35">
      <c r="A950" s="2">
        <v>44895</v>
      </c>
      <c r="C950" t="s">
        <v>20</v>
      </c>
      <c r="D950">
        <v>669</v>
      </c>
      <c r="J950" s="57">
        <v>378750</v>
      </c>
    </row>
    <row r="951" spans="1:10" hidden="1" x14ac:dyDescent="0.35">
      <c r="A951" s="2">
        <v>44895</v>
      </c>
      <c r="C951" t="s">
        <v>25</v>
      </c>
      <c r="D951">
        <v>399</v>
      </c>
      <c r="J951" s="57">
        <v>196850</v>
      </c>
    </row>
    <row r="952" spans="1:10" hidden="1" x14ac:dyDescent="0.35">
      <c r="A952" s="2">
        <v>44895</v>
      </c>
      <c r="C952" t="s">
        <v>19</v>
      </c>
      <c r="D952">
        <v>420</v>
      </c>
      <c r="J952" s="52">
        <v>283400</v>
      </c>
    </row>
    <row r="953" spans="1:10" hidden="1" x14ac:dyDescent="0.35">
      <c r="A953" s="2">
        <v>44895</v>
      </c>
      <c r="C953" t="s">
        <v>21</v>
      </c>
      <c r="D953">
        <v>412</v>
      </c>
      <c r="J953" s="52">
        <v>171800</v>
      </c>
    </row>
    <row r="954" spans="1:10" hidden="1" x14ac:dyDescent="0.35">
      <c r="A954" s="2">
        <v>44895</v>
      </c>
      <c r="C954" t="s">
        <v>18</v>
      </c>
      <c r="D954">
        <v>659</v>
      </c>
      <c r="J954" s="52">
        <v>381850</v>
      </c>
    </row>
    <row r="955" spans="1:10" hidden="1" x14ac:dyDescent="0.35">
      <c r="A955" s="2">
        <v>44895</v>
      </c>
      <c r="C955" t="s">
        <v>22</v>
      </c>
      <c r="D955">
        <v>656</v>
      </c>
      <c r="J955" s="52">
        <v>268850</v>
      </c>
    </row>
    <row r="956" spans="1:10" hidden="1" x14ac:dyDescent="0.35">
      <c r="A956" s="2">
        <v>44895</v>
      </c>
      <c r="C956" t="s">
        <v>54</v>
      </c>
      <c r="D956">
        <v>603</v>
      </c>
      <c r="J956" s="57">
        <v>140050</v>
      </c>
    </row>
    <row r="957" spans="1:10" hidden="1" x14ac:dyDescent="0.35">
      <c r="A957" s="2">
        <v>44895</v>
      </c>
      <c r="C957" t="s">
        <v>55</v>
      </c>
      <c r="D957">
        <v>650</v>
      </c>
      <c r="J957" s="52">
        <v>170400</v>
      </c>
    </row>
    <row r="958" spans="1:10" hidden="1" x14ac:dyDescent="0.35">
      <c r="A958" s="2">
        <v>44895</v>
      </c>
      <c r="C958" t="s">
        <v>58</v>
      </c>
      <c r="D958">
        <v>664</v>
      </c>
      <c r="J958" s="52">
        <v>206250</v>
      </c>
    </row>
    <row r="959" spans="1:10" hidden="1" x14ac:dyDescent="0.35">
      <c r="A959" s="2">
        <v>44895</v>
      </c>
      <c r="C959" t="s">
        <v>62</v>
      </c>
      <c r="D959">
        <v>583</v>
      </c>
      <c r="J959" s="57">
        <v>95350</v>
      </c>
    </row>
    <row r="960" spans="1:10" hidden="1" x14ac:dyDescent="0.35">
      <c r="A960" s="2">
        <v>44895</v>
      </c>
      <c r="C960" t="s">
        <v>61</v>
      </c>
      <c r="D960">
        <v>830</v>
      </c>
      <c r="J960" s="52">
        <v>151940</v>
      </c>
    </row>
    <row r="961" spans="1:10" hidden="1" x14ac:dyDescent="0.35">
      <c r="A961" s="2">
        <v>44895</v>
      </c>
      <c r="C961" t="s">
        <v>63</v>
      </c>
      <c r="D961">
        <v>350</v>
      </c>
      <c r="J961" s="52">
        <v>201500</v>
      </c>
    </row>
    <row r="962" spans="1:10" hidden="1" x14ac:dyDescent="0.35">
      <c r="A962" s="2">
        <v>44895</v>
      </c>
      <c r="C962" t="s">
        <v>73</v>
      </c>
      <c r="D962">
        <v>407</v>
      </c>
      <c r="J962" s="57">
        <v>133400</v>
      </c>
    </row>
    <row r="963" spans="1:10" hidden="1" x14ac:dyDescent="0.35">
      <c r="A963" s="2">
        <v>44895</v>
      </c>
      <c r="C963" t="s">
        <v>76</v>
      </c>
      <c r="D963">
        <v>171</v>
      </c>
      <c r="J963" s="52">
        <v>39450</v>
      </c>
    </row>
    <row r="964" spans="1:10" hidden="1" x14ac:dyDescent="0.35">
      <c r="A964" s="2">
        <v>44895</v>
      </c>
      <c r="C964" t="s">
        <v>81</v>
      </c>
      <c r="D964">
        <v>445</v>
      </c>
      <c r="J964" s="52">
        <v>119000</v>
      </c>
    </row>
    <row r="965" spans="1:10" hidden="1" x14ac:dyDescent="0.35">
      <c r="A965" s="2">
        <v>44895</v>
      </c>
      <c r="C965" t="s">
        <v>83</v>
      </c>
      <c r="D965">
        <v>406</v>
      </c>
      <c r="J965" s="52">
        <v>66500</v>
      </c>
    </row>
    <row r="966" spans="1:10" hidden="1" x14ac:dyDescent="0.35">
      <c r="A966" s="2">
        <v>44895</v>
      </c>
      <c r="B966" t="s">
        <v>71</v>
      </c>
      <c r="C966" t="s">
        <v>20</v>
      </c>
      <c r="E966">
        <v>12</v>
      </c>
      <c r="F966">
        <v>5</v>
      </c>
      <c r="G966">
        <v>15</v>
      </c>
      <c r="H966">
        <v>4</v>
      </c>
      <c r="I966">
        <v>9</v>
      </c>
      <c r="J966" s="52"/>
    </row>
    <row r="967" spans="1:10" hidden="1" x14ac:dyDescent="0.35">
      <c r="A967" s="2">
        <v>44895</v>
      </c>
      <c r="B967" t="s">
        <v>36</v>
      </c>
      <c r="C967" t="s">
        <v>20</v>
      </c>
      <c r="E967">
        <v>60</v>
      </c>
      <c r="F967">
        <v>16</v>
      </c>
      <c r="G967">
        <v>53</v>
      </c>
      <c r="H967">
        <v>6</v>
      </c>
      <c r="I967">
        <v>18</v>
      </c>
      <c r="J967" s="52"/>
    </row>
    <row r="968" spans="1:10" hidden="1" x14ac:dyDescent="0.35">
      <c r="A968" s="2">
        <v>44895</v>
      </c>
      <c r="B968" t="s">
        <v>70</v>
      </c>
      <c r="C968" t="s">
        <v>20</v>
      </c>
      <c r="E968">
        <v>1</v>
      </c>
      <c r="F968">
        <v>0</v>
      </c>
      <c r="G968">
        <v>5</v>
      </c>
      <c r="H968">
        <v>0</v>
      </c>
      <c r="I968">
        <v>1</v>
      </c>
      <c r="J968" s="52"/>
    </row>
    <row r="969" spans="1:10" hidden="1" x14ac:dyDescent="0.35">
      <c r="A969" s="2">
        <v>44895</v>
      </c>
      <c r="B969" t="s">
        <v>70</v>
      </c>
      <c r="C969" t="s">
        <v>26</v>
      </c>
      <c r="E969">
        <v>25</v>
      </c>
      <c r="F969">
        <v>2</v>
      </c>
      <c r="G969">
        <v>44</v>
      </c>
      <c r="H969">
        <v>5</v>
      </c>
      <c r="I969">
        <v>10</v>
      </c>
      <c r="J969" s="52"/>
    </row>
    <row r="970" spans="1:10" hidden="1" x14ac:dyDescent="0.35">
      <c r="A970" s="2">
        <v>44895</v>
      </c>
      <c r="B970" t="s">
        <v>38</v>
      </c>
      <c r="C970" t="s">
        <v>18</v>
      </c>
      <c r="E970">
        <v>27</v>
      </c>
      <c r="F970">
        <v>14</v>
      </c>
      <c r="G970">
        <v>46</v>
      </c>
      <c r="H970">
        <v>30</v>
      </c>
      <c r="I970">
        <v>24</v>
      </c>
      <c r="J970" s="52"/>
    </row>
    <row r="971" spans="1:10" hidden="1" x14ac:dyDescent="0.35">
      <c r="A971" s="2">
        <v>44895</v>
      </c>
      <c r="B971" t="s">
        <v>86</v>
      </c>
      <c r="C971" t="s">
        <v>18</v>
      </c>
      <c r="E971">
        <v>30</v>
      </c>
      <c r="F971">
        <v>8</v>
      </c>
      <c r="G971">
        <v>2</v>
      </c>
      <c r="H971">
        <v>0</v>
      </c>
      <c r="I971">
        <v>3</v>
      </c>
      <c r="J971" s="52"/>
    </row>
    <row r="972" spans="1:10" hidden="1" x14ac:dyDescent="0.35">
      <c r="A972" s="2">
        <v>44895</v>
      </c>
      <c r="B972" t="s">
        <v>13</v>
      </c>
      <c r="C972" t="s">
        <v>25</v>
      </c>
      <c r="E972">
        <v>28</v>
      </c>
      <c r="F972">
        <v>2</v>
      </c>
      <c r="G972">
        <v>21</v>
      </c>
      <c r="H972">
        <v>3</v>
      </c>
      <c r="I972">
        <v>15</v>
      </c>
      <c r="J972" s="52"/>
    </row>
    <row r="973" spans="1:10" hidden="1" x14ac:dyDescent="0.35">
      <c r="A973" s="2">
        <v>44895</v>
      </c>
      <c r="B973" t="s">
        <v>13</v>
      </c>
      <c r="C973" t="s">
        <v>23</v>
      </c>
      <c r="E973">
        <v>13</v>
      </c>
      <c r="F973">
        <v>1</v>
      </c>
      <c r="G973">
        <v>17</v>
      </c>
      <c r="H973">
        <v>2</v>
      </c>
      <c r="I973">
        <v>6</v>
      </c>
      <c r="J973" s="52"/>
    </row>
    <row r="974" spans="1:10" hidden="1" x14ac:dyDescent="0.35">
      <c r="A974" s="2">
        <v>44895</v>
      </c>
      <c r="B974" t="s">
        <v>41</v>
      </c>
      <c r="C974" t="s">
        <v>23</v>
      </c>
      <c r="E974">
        <v>23</v>
      </c>
      <c r="F974">
        <v>3</v>
      </c>
      <c r="G974">
        <v>12</v>
      </c>
      <c r="H974">
        <v>3</v>
      </c>
      <c r="I974">
        <v>8</v>
      </c>
      <c r="J974" s="52"/>
    </row>
    <row r="975" spans="1:10" hidden="1" x14ac:dyDescent="0.35">
      <c r="A975" s="2">
        <v>44895</v>
      </c>
      <c r="B975" t="s">
        <v>41</v>
      </c>
      <c r="C975" t="s">
        <v>24</v>
      </c>
      <c r="E975">
        <v>27</v>
      </c>
      <c r="F975">
        <v>3</v>
      </c>
      <c r="G975">
        <v>21</v>
      </c>
      <c r="H975">
        <v>0</v>
      </c>
      <c r="I975">
        <v>7</v>
      </c>
      <c r="J975" s="52"/>
    </row>
    <row r="976" spans="1:10" hidden="1" x14ac:dyDescent="0.35">
      <c r="A976" s="2">
        <v>44895</v>
      </c>
      <c r="B976" t="s">
        <v>12</v>
      </c>
      <c r="C976" t="s">
        <v>24</v>
      </c>
      <c r="E976">
        <v>31</v>
      </c>
      <c r="F976">
        <v>6</v>
      </c>
      <c r="G976">
        <v>24</v>
      </c>
      <c r="H976">
        <v>6</v>
      </c>
      <c r="I976">
        <v>19</v>
      </c>
      <c r="J976" s="52"/>
    </row>
    <row r="977" spans="1:10" hidden="1" x14ac:dyDescent="0.35">
      <c r="A977" s="2">
        <v>44895</v>
      </c>
      <c r="B977" t="s">
        <v>12</v>
      </c>
      <c r="C977" t="s">
        <v>37</v>
      </c>
      <c r="E977" s="44">
        <v>23</v>
      </c>
      <c r="F977" s="44">
        <v>3</v>
      </c>
      <c r="G977" s="44">
        <v>22</v>
      </c>
      <c r="H977" s="44">
        <v>12</v>
      </c>
      <c r="I977">
        <v>8</v>
      </c>
      <c r="J977" s="52"/>
    </row>
    <row r="978" spans="1:10" hidden="1" x14ac:dyDescent="0.35">
      <c r="A978" s="2">
        <v>44895</v>
      </c>
      <c r="B978" t="s">
        <v>50</v>
      </c>
      <c r="C978" t="s">
        <v>37</v>
      </c>
      <c r="E978">
        <v>27</v>
      </c>
      <c r="F978">
        <v>5</v>
      </c>
      <c r="G978">
        <v>24</v>
      </c>
      <c r="H978">
        <v>6</v>
      </c>
      <c r="I978">
        <v>11</v>
      </c>
      <c r="J978" s="52"/>
    </row>
    <row r="979" spans="1:10" hidden="1" x14ac:dyDescent="0.35">
      <c r="A979" s="2">
        <v>44895</v>
      </c>
      <c r="B979" t="s">
        <v>17</v>
      </c>
      <c r="C979" t="s">
        <v>37</v>
      </c>
      <c r="E979">
        <v>22</v>
      </c>
      <c r="F979">
        <v>6</v>
      </c>
      <c r="G979">
        <v>15</v>
      </c>
      <c r="H979">
        <v>2</v>
      </c>
      <c r="I979">
        <v>9</v>
      </c>
      <c r="J979" s="52"/>
    </row>
    <row r="980" spans="1:10" hidden="1" x14ac:dyDescent="0.35">
      <c r="A980" s="2">
        <v>44895</v>
      </c>
      <c r="B980" t="s">
        <v>40</v>
      </c>
      <c r="C980" t="s">
        <v>19</v>
      </c>
      <c r="E980">
        <v>30</v>
      </c>
      <c r="F980">
        <v>2</v>
      </c>
      <c r="G980">
        <v>64</v>
      </c>
      <c r="H980">
        <v>8</v>
      </c>
      <c r="I980">
        <v>18</v>
      </c>
      <c r="J980" s="52"/>
    </row>
    <row r="981" spans="1:10" hidden="1" x14ac:dyDescent="0.35">
      <c r="A981" s="2">
        <v>44895</v>
      </c>
      <c r="B981" t="s">
        <v>42</v>
      </c>
      <c r="C981" t="s">
        <v>19</v>
      </c>
      <c r="E981">
        <v>36</v>
      </c>
      <c r="F981">
        <v>4</v>
      </c>
      <c r="G981">
        <v>38</v>
      </c>
      <c r="H981">
        <v>1</v>
      </c>
      <c r="I981">
        <v>2</v>
      </c>
      <c r="J981" s="52"/>
    </row>
    <row r="982" spans="1:10" hidden="1" x14ac:dyDescent="0.35">
      <c r="A982" s="2">
        <v>44895</v>
      </c>
      <c r="B982" t="s">
        <v>66</v>
      </c>
      <c r="C982" t="s">
        <v>22</v>
      </c>
      <c r="E982">
        <v>78</v>
      </c>
      <c r="F982">
        <v>21</v>
      </c>
      <c r="G982">
        <v>30</v>
      </c>
      <c r="H982">
        <v>9</v>
      </c>
      <c r="I982">
        <v>20</v>
      </c>
      <c r="J982" s="52"/>
    </row>
    <row r="983" spans="1:10" hidden="1" x14ac:dyDescent="0.35">
      <c r="A983" s="2">
        <v>44895</v>
      </c>
      <c r="B983" t="s">
        <v>43</v>
      </c>
      <c r="C983" t="s">
        <v>27</v>
      </c>
      <c r="E983">
        <v>48</v>
      </c>
      <c r="F983">
        <v>0</v>
      </c>
      <c r="G983">
        <v>40</v>
      </c>
      <c r="H983">
        <v>0</v>
      </c>
      <c r="I983">
        <v>21</v>
      </c>
      <c r="J983" s="52"/>
    </row>
    <row r="984" spans="1:10" hidden="1" x14ac:dyDescent="0.35">
      <c r="A984" s="2">
        <v>44895</v>
      </c>
      <c r="B984" t="s">
        <v>17</v>
      </c>
      <c r="C984" t="s">
        <v>9</v>
      </c>
      <c r="E984">
        <v>35</v>
      </c>
      <c r="F984">
        <v>0</v>
      </c>
      <c r="G984">
        <v>37</v>
      </c>
      <c r="H984">
        <v>0</v>
      </c>
      <c r="I984">
        <v>13</v>
      </c>
      <c r="J984" s="52"/>
    </row>
    <row r="985" spans="1:10" hidden="1" x14ac:dyDescent="0.35">
      <c r="A985" s="2">
        <v>44895</v>
      </c>
      <c r="B985" t="s">
        <v>14</v>
      </c>
      <c r="C985" t="s">
        <v>21</v>
      </c>
      <c r="E985" s="44">
        <v>26</v>
      </c>
      <c r="F985" s="44">
        <v>22</v>
      </c>
      <c r="G985" s="44">
        <v>31</v>
      </c>
      <c r="H985" s="44">
        <v>24</v>
      </c>
      <c r="I985" s="44">
        <v>12</v>
      </c>
      <c r="J985" s="52"/>
    </row>
    <row r="986" spans="1:10" hidden="1" x14ac:dyDescent="0.35">
      <c r="A986" s="2">
        <v>44895</v>
      </c>
      <c r="B986" t="s">
        <v>77</v>
      </c>
      <c r="C986" t="s">
        <v>76</v>
      </c>
      <c r="E986">
        <v>4</v>
      </c>
      <c r="F986">
        <v>4</v>
      </c>
      <c r="G986">
        <v>0</v>
      </c>
      <c r="H986">
        <v>2</v>
      </c>
      <c r="I986">
        <v>3</v>
      </c>
      <c r="J986" s="52"/>
    </row>
    <row r="987" spans="1:10" hidden="1" x14ac:dyDescent="0.35">
      <c r="A987" s="2">
        <v>44895</v>
      </c>
      <c r="B987" t="s">
        <v>72</v>
      </c>
      <c r="C987" t="s">
        <v>54</v>
      </c>
      <c r="E987">
        <v>20</v>
      </c>
      <c r="F987">
        <v>6</v>
      </c>
      <c r="G987">
        <v>23</v>
      </c>
      <c r="H987">
        <v>9</v>
      </c>
      <c r="I987">
        <v>10</v>
      </c>
      <c r="J987" s="52"/>
    </row>
    <row r="988" spans="1:10" hidden="1" x14ac:dyDescent="0.35">
      <c r="A988" s="2">
        <v>44895</v>
      </c>
      <c r="B988" t="s">
        <v>57</v>
      </c>
      <c r="C988" t="s">
        <v>55</v>
      </c>
      <c r="E988">
        <v>27</v>
      </c>
      <c r="F988">
        <v>19</v>
      </c>
      <c r="G988">
        <v>20</v>
      </c>
      <c r="H988">
        <v>9</v>
      </c>
      <c r="I988">
        <v>13</v>
      </c>
      <c r="J988" s="52"/>
    </row>
    <row r="989" spans="1:10" hidden="1" x14ac:dyDescent="0.35">
      <c r="A989" s="2">
        <v>44895</v>
      </c>
      <c r="B989" t="s">
        <v>65</v>
      </c>
      <c r="C989" t="s">
        <v>58</v>
      </c>
      <c r="E989">
        <v>42</v>
      </c>
      <c r="F989">
        <v>18</v>
      </c>
      <c r="G989">
        <v>22</v>
      </c>
      <c r="H989">
        <v>15</v>
      </c>
      <c r="I989">
        <v>15</v>
      </c>
      <c r="J989" s="52"/>
    </row>
    <row r="990" spans="1:10" hidden="1" x14ac:dyDescent="0.35">
      <c r="A990" s="2">
        <v>44895</v>
      </c>
      <c r="B990" t="s">
        <v>64</v>
      </c>
      <c r="C990" t="s">
        <v>62</v>
      </c>
      <c r="E990">
        <v>41</v>
      </c>
      <c r="F990">
        <v>11</v>
      </c>
      <c r="G990">
        <v>31</v>
      </c>
      <c r="H990">
        <v>19</v>
      </c>
      <c r="I990">
        <v>7</v>
      </c>
      <c r="J990" s="52"/>
    </row>
    <row r="991" spans="1:10" hidden="1" x14ac:dyDescent="0.35">
      <c r="A991" s="2">
        <v>44895</v>
      </c>
      <c r="B991" t="s">
        <v>75</v>
      </c>
      <c r="C991" t="s">
        <v>61</v>
      </c>
      <c r="E991">
        <v>60</v>
      </c>
      <c r="F991">
        <v>8</v>
      </c>
      <c r="G991">
        <v>12</v>
      </c>
      <c r="H991">
        <v>5</v>
      </c>
      <c r="I991">
        <v>12</v>
      </c>
      <c r="J991" s="52"/>
    </row>
    <row r="992" spans="1:10" hidden="1" x14ac:dyDescent="0.35">
      <c r="A992" s="2">
        <v>44895</v>
      </c>
      <c r="B992" t="s">
        <v>69</v>
      </c>
      <c r="C992" t="s">
        <v>63</v>
      </c>
      <c r="E992">
        <v>35</v>
      </c>
      <c r="F992">
        <v>9</v>
      </c>
      <c r="G992">
        <v>12</v>
      </c>
      <c r="H992">
        <v>4</v>
      </c>
      <c r="I992">
        <v>16</v>
      </c>
      <c r="J992" s="52"/>
    </row>
    <row r="993" spans="1:10" hidden="1" x14ac:dyDescent="0.35">
      <c r="A993" s="2">
        <v>44895</v>
      </c>
      <c r="B993" t="s">
        <v>77</v>
      </c>
      <c r="C993" t="s">
        <v>73</v>
      </c>
      <c r="E993">
        <v>20</v>
      </c>
      <c r="F993">
        <v>11</v>
      </c>
      <c r="G993">
        <v>11</v>
      </c>
      <c r="H993">
        <v>16</v>
      </c>
      <c r="I993">
        <v>10</v>
      </c>
      <c r="J993" s="52"/>
    </row>
    <row r="994" spans="1:10" hidden="1" x14ac:dyDescent="0.35">
      <c r="A994" s="2">
        <v>44895</v>
      </c>
      <c r="B994" t="s">
        <v>70</v>
      </c>
      <c r="C994" t="s">
        <v>81</v>
      </c>
      <c r="E994">
        <v>1</v>
      </c>
      <c r="F994">
        <v>0</v>
      </c>
      <c r="G994">
        <v>4</v>
      </c>
      <c r="H994">
        <v>0</v>
      </c>
      <c r="I994">
        <v>1</v>
      </c>
      <c r="J994" s="52"/>
    </row>
    <row r="995" spans="1:10" hidden="1" x14ac:dyDescent="0.35">
      <c r="A995" s="2">
        <v>44895</v>
      </c>
      <c r="B995" t="s">
        <v>71</v>
      </c>
      <c r="C995" t="s">
        <v>81</v>
      </c>
      <c r="E995">
        <v>16</v>
      </c>
      <c r="F995">
        <v>2</v>
      </c>
      <c r="G995">
        <v>6</v>
      </c>
      <c r="H995">
        <v>0</v>
      </c>
      <c r="I995">
        <v>5</v>
      </c>
      <c r="J995" s="52"/>
    </row>
    <row r="996" spans="1:10" hidden="1" x14ac:dyDescent="0.35">
      <c r="A996" s="37">
        <v>44895</v>
      </c>
      <c r="B996" s="9" t="s">
        <v>84</v>
      </c>
      <c r="C996" s="9" t="s">
        <v>81</v>
      </c>
      <c r="D996" s="9"/>
      <c r="E996" s="9">
        <v>8</v>
      </c>
      <c r="F996" s="9">
        <v>0</v>
      </c>
      <c r="G996" s="9">
        <v>0</v>
      </c>
      <c r="H996" s="9">
        <v>0</v>
      </c>
      <c r="I996" s="9">
        <v>3</v>
      </c>
      <c r="J996" s="61"/>
    </row>
    <row r="997" spans="1:10" hidden="1" x14ac:dyDescent="0.35">
      <c r="A997" s="2">
        <v>44895</v>
      </c>
      <c r="B997" t="s">
        <v>85</v>
      </c>
      <c r="C997" t="s">
        <v>83</v>
      </c>
      <c r="E997">
        <v>27</v>
      </c>
      <c r="F997">
        <v>2</v>
      </c>
      <c r="G997">
        <v>5</v>
      </c>
      <c r="H997">
        <v>0</v>
      </c>
      <c r="I997">
        <v>5</v>
      </c>
      <c r="J997" s="52"/>
    </row>
    <row r="998" spans="1:10" hidden="1" x14ac:dyDescent="0.35">
      <c r="A998" s="2">
        <v>44895</v>
      </c>
      <c r="B998" t="s">
        <v>84</v>
      </c>
      <c r="C998" t="s">
        <v>76</v>
      </c>
      <c r="E998">
        <v>0</v>
      </c>
      <c r="F998">
        <v>3</v>
      </c>
      <c r="G998">
        <v>0</v>
      </c>
      <c r="H998">
        <v>0</v>
      </c>
      <c r="I998">
        <v>0</v>
      </c>
      <c r="J998" s="52"/>
    </row>
    <row r="999" spans="1:10" hidden="1" x14ac:dyDescent="0.35">
      <c r="A999" s="2">
        <v>44925</v>
      </c>
      <c r="C999" t="s">
        <v>24</v>
      </c>
      <c r="D999">
        <v>462</v>
      </c>
      <c r="J999" s="57">
        <v>258450</v>
      </c>
    </row>
    <row r="1000" spans="1:10" hidden="1" x14ac:dyDescent="0.35">
      <c r="A1000" s="2">
        <v>44925</v>
      </c>
      <c r="C1000" t="s">
        <v>9</v>
      </c>
      <c r="D1000">
        <v>248</v>
      </c>
      <c r="J1000" s="57">
        <v>94850</v>
      </c>
    </row>
    <row r="1001" spans="1:10" hidden="1" x14ac:dyDescent="0.35">
      <c r="A1001" s="2">
        <v>44925</v>
      </c>
      <c r="C1001" t="s">
        <v>37</v>
      </c>
      <c r="D1001">
        <v>534</v>
      </c>
      <c r="J1001" s="57">
        <v>300100</v>
      </c>
    </row>
    <row r="1002" spans="1:10" hidden="1" x14ac:dyDescent="0.35">
      <c r="A1002" s="2">
        <v>44925</v>
      </c>
      <c r="C1002" t="s">
        <v>23</v>
      </c>
      <c r="D1002">
        <v>307</v>
      </c>
      <c r="J1002" s="57">
        <v>88500</v>
      </c>
    </row>
    <row r="1003" spans="1:10" hidden="1" x14ac:dyDescent="0.35">
      <c r="A1003" s="2">
        <v>44925</v>
      </c>
      <c r="C1003" t="s">
        <v>27</v>
      </c>
      <c r="D1003">
        <v>292</v>
      </c>
      <c r="J1003" s="57">
        <v>141800</v>
      </c>
    </row>
    <row r="1004" spans="1:10" hidden="1" x14ac:dyDescent="0.35">
      <c r="A1004" s="2">
        <v>44925</v>
      </c>
      <c r="C1004" t="s">
        <v>26</v>
      </c>
      <c r="D1004">
        <v>264</v>
      </c>
      <c r="J1004" s="57">
        <v>135450</v>
      </c>
    </row>
    <row r="1005" spans="1:10" hidden="1" x14ac:dyDescent="0.35">
      <c r="A1005" s="2">
        <v>44925</v>
      </c>
      <c r="C1005" t="s">
        <v>20</v>
      </c>
      <c r="D1005">
        <v>538</v>
      </c>
      <c r="J1005" s="57">
        <v>412878</v>
      </c>
    </row>
    <row r="1006" spans="1:10" hidden="1" x14ac:dyDescent="0.35">
      <c r="A1006" s="2">
        <v>44925</v>
      </c>
      <c r="C1006" t="s">
        <v>25</v>
      </c>
      <c r="D1006">
        <v>272</v>
      </c>
      <c r="J1006" s="57">
        <v>148750</v>
      </c>
    </row>
    <row r="1007" spans="1:10" hidden="1" x14ac:dyDescent="0.35">
      <c r="A1007" s="2">
        <v>44925</v>
      </c>
      <c r="C1007" t="s">
        <v>19</v>
      </c>
      <c r="D1007">
        <v>308</v>
      </c>
      <c r="J1007" s="52">
        <v>205550</v>
      </c>
    </row>
    <row r="1008" spans="1:10" hidden="1" x14ac:dyDescent="0.35">
      <c r="A1008" s="2">
        <v>44925</v>
      </c>
      <c r="C1008" t="s">
        <v>21</v>
      </c>
      <c r="D1008">
        <v>329</v>
      </c>
      <c r="J1008" s="52">
        <v>143300</v>
      </c>
    </row>
    <row r="1009" spans="1:10" hidden="1" x14ac:dyDescent="0.35">
      <c r="A1009" s="2">
        <v>44925</v>
      </c>
      <c r="C1009" t="s">
        <v>18</v>
      </c>
      <c r="D1009">
        <v>511</v>
      </c>
      <c r="J1009" s="57">
        <v>374100</v>
      </c>
    </row>
    <row r="1010" spans="1:10" hidden="1" x14ac:dyDescent="0.35">
      <c r="A1010" s="2">
        <v>44925</v>
      </c>
      <c r="C1010" t="s">
        <v>22</v>
      </c>
      <c r="D1010">
        <v>406</v>
      </c>
      <c r="J1010" s="52">
        <v>267900</v>
      </c>
    </row>
    <row r="1011" spans="1:10" hidden="1" x14ac:dyDescent="0.35">
      <c r="A1011" s="2">
        <v>44925</v>
      </c>
      <c r="C1011" t="s">
        <v>54</v>
      </c>
      <c r="D1011">
        <v>431</v>
      </c>
      <c r="J1011" s="52">
        <v>53700</v>
      </c>
    </row>
    <row r="1012" spans="1:10" hidden="1" x14ac:dyDescent="0.35">
      <c r="A1012" s="2">
        <v>44925</v>
      </c>
      <c r="C1012" t="s">
        <v>55</v>
      </c>
      <c r="D1012">
        <v>495</v>
      </c>
      <c r="J1012" s="57">
        <v>135000</v>
      </c>
    </row>
    <row r="1013" spans="1:10" hidden="1" x14ac:dyDescent="0.35">
      <c r="A1013" s="2">
        <v>44925</v>
      </c>
      <c r="C1013" t="s">
        <v>58</v>
      </c>
      <c r="D1013">
        <v>481</v>
      </c>
      <c r="J1013" s="52">
        <v>164750</v>
      </c>
    </row>
    <row r="1014" spans="1:10" hidden="1" x14ac:dyDescent="0.35">
      <c r="A1014" s="2">
        <v>44925</v>
      </c>
      <c r="C1014" t="s">
        <v>62</v>
      </c>
      <c r="D1014">
        <v>383</v>
      </c>
      <c r="J1014" s="52">
        <v>55850</v>
      </c>
    </row>
    <row r="1015" spans="1:10" hidden="1" x14ac:dyDescent="0.35">
      <c r="A1015" s="2">
        <v>44925</v>
      </c>
      <c r="C1015" t="s">
        <v>61</v>
      </c>
      <c r="D1015">
        <v>602</v>
      </c>
      <c r="J1015" s="57">
        <v>196960</v>
      </c>
    </row>
    <row r="1016" spans="1:10" hidden="1" x14ac:dyDescent="0.35">
      <c r="A1016" s="2">
        <v>44925</v>
      </c>
      <c r="C1016" t="s">
        <v>63</v>
      </c>
      <c r="D1016">
        <v>237</v>
      </c>
      <c r="J1016" s="52">
        <v>215500</v>
      </c>
    </row>
    <row r="1017" spans="1:10" hidden="1" x14ac:dyDescent="0.35">
      <c r="A1017" s="2">
        <v>44925</v>
      </c>
      <c r="C1017" t="s">
        <v>73</v>
      </c>
      <c r="D1017">
        <v>309</v>
      </c>
      <c r="J1017" s="52">
        <v>118400</v>
      </c>
    </row>
    <row r="1018" spans="1:10" hidden="1" x14ac:dyDescent="0.35">
      <c r="A1018" s="2">
        <v>44925</v>
      </c>
      <c r="C1018" t="s">
        <v>76</v>
      </c>
      <c r="D1018">
        <v>163</v>
      </c>
      <c r="J1018" s="52">
        <v>25000</v>
      </c>
    </row>
    <row r="1019" spans="1:10" hidden="1" x14ac:dyDescent="0.35">
      <c r="A1019" s="2">
        <v>44925</v>
      </c>
      <c r="C1019" t="s">
        <v>81</v>
      </c>
      <c r="D1019">
        <v>338</v>
      </c>
      <c r="J1019" s="52">
        <v>107400</v>
      </c>
    </row>
    <row r="1020" spans="1:10" hidden="1" x14ac:dyDescent="0.35">
      <c r="A1020" s="2">
        <v>44925</v>
      </c>
      <c r="C1020" t="s">
        <v>83</v>
      </c>
      <c r="D1020">
        <v>168</v>
      </c>
      <c r="J1020" s="52">
        <v>107200</v>
      </c>
    </row>
    <row r="1021" spans="1:10" hidden="1" x14ac:dyDescent="0.35">
      <c r="A1021" s="2">
        <v>44925</v>
      </c>
      <c r="B1021" t="s">
        <v>71</v>
      </c>
      <c r="C1021" t="s">
        <v>20</v>
      </c>
      <c r="E1021">
        <v>19</v>
      </c>
      <c r="F1021">
        <v>8</v>
      </c>
      <c r="G1021">
        <v>20</v>
      </c>
      <c r="H1021">
        <v>1</v>
      </c>
      <c r="I1021">
        <v>3</v>
      </c>
      <c r="J1021" s="52"/>
    </row>
    <row r="1022" spans="1:10" hidden="1" x14ac:dyDescent="0.35">
      <c r="A1022" s="2">
        <v>44925</v>
      </c>
      <c r="B1022" t="s">
        <v>36</v>
      </c>
      <c r="C1022" t="s">
        <v>20</v>
      </c>
      <c r="E1022">
        <v>41</v>
      </c>
      <c r="F1022">
        <v>2</v>
      </c>
      <c r="G1022">
        <v>38</v>
      </c>
      <c r="H1022">
        <v>4</v>
      </c>
      <c r="I1022">
        <v>27</v>
      </c>
      <c r="J1022" s="52"/>
    </row>
    <row r="1023" spans="1:10" hidden="1" x14ac:dyDescent="0.35">
      <c r="A1023" s="2">
        <v>44925</v>
      </c>
      <c r="B1023" t="s">
        <v>70</v>
      </c>
      <c r="C1023" t="s">
        <v>20</v>
      </c>
      <c r="E1023">
        <v>1</v>
      </c>
      <c r="F1023">
        <v>0</v>
      </c>
      <c r="G1023">
        <v>0</v>
      </c>
      <c r="H1023">
        <v>0</v>
      </c>
      <c r="I1023">
        <v>0</v>
      </c>
      <c r="J1023" s="52"/>
    </row>
    <row r="1024" spans="1:10" hidden="1" x14ac:dyDescent="0.35">
      <c r="A1024" s="2">
        <v>44925</v>
      </c>
      <c r="B1024" t="s">
        <v>70</v>
      </c>
      <c r="C1024" t="s">
        <v>26</v>
      </c>
      <c r="E1024">
        <v>23</v>
      </c>
      <c r="F1024">
        <v>3</v>
      </c>
      <c r="G1024">
        <v>20</v>
      </c>
      <c r="H1024">
        <v>0</v>
      </c>
      <c r="I1024">
        <v>10</v>
      </c>
      <c r="J1024" s="52"/>
    </row>
    <row r="1025" spans="1:10" hidden="1" x14ac:dyDescent="0.35">
      <c r="A1025" s="2">
        <v>44925</v>
      </c>
      <c r="B1025" t="s">
        <v>17</v>
      </c>
      <c r="C1025" t="s">
        <v>26</v>
      </c>
      <c r="E1025">
        <v>0</v>
      </c>
      <c r="F1025">
        <v>1</v>
      </c>
      <c r="G1025">
        <v>0</v>
      </c>
      <c r="H1025">
        <v>0</v>
      </c>
      <c r="I1025">
        <v>1</v>
      </c>
      <c r="J1025" s="52"/>
    </row>
    <row r="1026" spans="1:10" hidden="1" x14ac:dyDescent="0.35">
      <c r="A1026" s="2">
        <v>44925</v>
      </c>
      <c r="B1026" t="s">
        <v>38</v>
      </c>
      <c r="C1026" t="s">
        <v>18</v>
      </c>
      <c r="E1026">
        <v>31</v>
      </c>
      <c r="F1026">
        <v>13</v>
      </c>
      <c r="G1026">
        <v>40</v>
      </c>
      <c r="H1026">
        <v>16</v>
      </c>
      <c r="I1026">
        <v>19</v>
      </c>
      <c r="J1026" s="52"/>
    </row>
    <row r="1027" spans="1:10" hidden="1" x14ac:dyDescent="0.35">
      <c r="A1027" s="2">
        <v>44925</v>
      </c>
      <c r="B1027" t="s">
        <v>86</v>
      </c>
      <c r="C1027" t="s">
        <v>18</v>
      </c>
      <c r="E1027">
        <v>25</v>
      </c>
      <c r="F1027">
        <v>22</v>
      </c>
      <c r="G1027">
        <v>11</v>
      </c>
      <c r="H1027">
        <v>5</v>
      </c>
      <c r="I1027">
        <v>8</v>
      </c>
      <c r="J1027" s="52"/>
    </row>
    <row r="1028" spans="1:10" hidden="1" x14ac:dyDescent="0.35">
      <c r="A1028" s="2">
        <v>44925</v>
      </c>
      <c r="B1028" t="s">
        <v>13</v>
      </c>
      <c r="C1028" t="s">
        <v>25</v>
      </c>
      <c r="E1028">
        <v>30</v>
      </c>
      <c r="F1028">
        <v>2</v>
      </c>
      <c r="G1028">
        <v>29</v>
      </c>
      <c r="H1028">
        <v>6</v>
      </c>
      <c r="I1028">
        <v>11</v>
      </c>
      <c r="J1028" s="52"/>
    </row>
    <row r="1029" spans="1:10" hidden="1" x14ac:dyDescent="0.35">
      <c r="A1029" s="2">
        <v>44925</v>
      </c>
      <c r="B1029" t="s">
        <v>13</v>
      </c>
      <c r="C1029" t="s">
        <v>23</v>
      </c>
      <c r="E1029">
        <v>8</v>
      </c>
      <c r="F1029">
        <v>0</v>
      </c>
      <c r="G1029">
        <v>12</v>
      </c>
      <c r="H1029">
        <v>0</v>
      </c>
      <c r="I1029">
        <v>3</v>
      </c>
      <c r="J1029" s="52"/>
    </row>
    <row r="1030" spans="1:10" hidden="1" x14ac:dyDescent="0.35">
      <c r="A1030" s="2">
        <v>44925</v>
      </c>
      <c r="B1030" t="s">
        <v>41</v>
      </c>
      <c r="C1030" t="s">
        <v>23</v>
      </c>
      <c r="E1030">
        <v>22</v>
      </c>
      <c r="F1030">
        <v>0</v>
      </c>
      <c r="G1030">
        <v>11</v>
      </c>
      <c r="H1030">
        <v>2</v>
      </c>
      <c r="I1030">
        <v>4</v>
      </c>
      <c r="J1030" s="52"/>
    </row>
    <row r="1031" spans="1:10" hidden="1" x14ac:dyDescent="0.35">
      <c r="A1031" s="2">
        <v>44925</v>
      </c>
      <c r="B1031" t="s">
        <v>41</v>
      </c>
      <c r="C1031" t="s">
        <v>24</v>
      </c>
      <c r="E1031">
        <v>13</v>
      </c>
      <c r="F1031">
        <v>1</v>
      </c>
      <c r="G1031">
        <v>10</v>
      </c>
      <c r="H1031">
        <v>0</v>
      </c>
      <c r="I1031">
        <v>5</v>
      </c>
      <c r="J1031" s="52"/>
    </row>
    <row r="1032" spans="1:10" hidden="1" x14ac:dyDescent="0.35">
      <c r="A1032" s="2">
        <v>44925</v>
      </c>
      <c r="B1032" t="s">
        <v>12</v>
      </c>
      <c r="C1032" t="s">
        <v>24</v>
      </c>
      <c r="E1032">
        <v>25</v>
      </c>
      <c r="F1032">
        <v>3</v>
      </c>
      <c r="G1032">
        <v>27</v>
      </c>
      <c r="H1032">
        <v>4</v>
      </c>
      <c r="I1032">
        <v>15</v>
      </c>
      <c r="J1032" s="52"/>
    </row>
    <row r="1033" spans="1:10" hidden="1" x14ac:dyDescent="0.35">
      <c r="A1033" s="2">
        <v>44925</v>
      </c>
      <c r="B1033" t="s">
        <v>12</v>
      </c>
      <c r="C1033" t="s">
        <v>37</v>
      </c>
      <c r="E1033">
        <v>8</v>
      </c>
      <c r="F1033">
        <v>3</v>
      </c>
      <c r="G1033">
        <v>16</v>
      </c>
      <c r="H1033">
        <v>4</v>
      </c>
      <c r="I1033">
        <v>12</v>
      </c>
      <c r="J1033" s="52"/>
    </row>
    <row r="1034" spans="1:10" hidden="1" x14ac:dyDescent="0.35">
      <c r="A1034" s="2">
        <v>44925</v>
      </c>
      <c r="B1034" t="s">
        <v>17</v>
      </c>
      <c r="C1034" t="s">
        <v>37</v>
      </c>
      <c r="E1034">
        <v>19</v>
      </c>
      <c r="F1034">
        <v>6</v>
      </c>
      <c r="G1034">
        <v>23</v>
      </c>
      <c r="H1034">
        <v>0</v>
      </c>
      <c r="I1034">
        <v>9</v>
      </c>
      <c r="J1034" s="52"/>
    </row>
    <row r="1035" spans="1:10" hidden="1" x14ac:dyDescent="0.35">
      <c r="A1035" s="2">
        <v>44925</v>
      </c>
      <c r="B1035" t="s">
        <v>40</v>
      </c>
      <c r="C1035" t="s">
        <v>19</v>
      </c>
      <c r="E1035">
        <v>13</v>
      </c>
      <c r="F1035">
        <v>1</v>
      </c>
      <c r="G1035">
        <v>22</v>
      </c>
      <c r="H1035">
        <v>4</v>
      </c>
      <c r="I1035">
        <v>12</v>
      </c>
      <c r="J1035" s="52"/>
    </row>
    <row r="1036" spans="1:10" hidden="1" x14ac:dyDescent="0.35">
      <c r="A1036" s="2">
        <v>44925</v>
      </c>
      <c r="B1036" t="s">
        <v>42</v>
      </c>
      <c r="C1036" t="s">
        <v>19</v>
      </c>
      <c r="E1036">
        <v>10</v>
      </c>
      <c r="F1036">
        <v>2</v>
      </c>
      <c r="G1036">
        <v>25</v>
      </c>
      <c r="H1036">
        <v>5</v>
      </c>
      <c r="I1036">
        <v>3</v>
      </c>
      <c r="J1036" s="52"/>
    </row>
    <row r="1037" spans="1:10" hidden="1" x14ac:dyDescent="0.35">
      <c r="A1037" s="2">
        <v>44925</v>
      </c>
      <c r="B1037" t="s">
        <v>66</v>
      </c>
      <c r="C1037" t="s">
        <v>22</v>
      </c>
      <c r="E1037">
        <v>31</v>
      </c>
      <c r="F1037">
        <v>3</v>
      </c>
      <c r="G1037">
        <v>20</v>
      </c>
      <c r="H1037">
        <v>6</v>
      </c>
      <c r="I1037">
        <v>20</v>
      </c>
      <c r="J1037" s="52"/>
    </row>
    <row r="1038" spans="1:10" hidden="1" x14ac:dyDescent="0.35">
      <c r="A1038" s="2">
        <v>44925</v>
      </c>
      <c r="B1038" t="s">
        <v>43</v>
      </c>
      <c r="C1038" t="s">
        <v>27</v>
      </c>
      <c r="E1038">
        <v>10</v>
      </c>
      <c r="F1038">
        <v>0</v>
      </c>
      <c r="G1038">
        <v>9</v>
      </c>
      <c r="H1038">
        <v>0</v>
      </c>
      <c r="I1038">
        <v>9</v>
      </c>
      <c r="J1038" s="52"/>
    </row>
    <row r="1039" spans="1:10" hidden="1" x14ac:dyDescent="0.35">
      <c r="A1039" s="2">
        <v>44925</v>
      </c>
      <c r="B1039" t="s">
        <v>17</v>
      </c>
      <c r="C1039" t="s">
        <v>9</v>
      </c>
      <c r="E1039">
        <v>30</v>
      </c>
      <c r="F1039">
        <v>0</v>
      </c>
      <c r="G1039">
        <v>27</v>
      </c>
      <c r="H1039">
        <v>2</v>
      </c>
      <c r="I1039">
        <v>7</v>
      </c>
      <c r="J1039" s="52"/>
    </row>
    <row r="1040" spans="1:10" hidden="1" x14ac:dyDescent="0.35">
      <c r="A1040" s="2">
        <v>44925</v>
      </c>
      <c r="B1040" t="s">
        <v>14</v>
      </c>
      <c r="C1040" t="s">
        <v>21</v>
      </c>
      <c r="E1040">
        <v>10</v>
      </c>
      <c r="F1040">
        <v>8</v>
      </c>
      <c r="G1040">
        <v>14</v>
      </c>
      <c r="H1040">
        <v>10</v>
      </c>
      <c r="I1040">
        <v>10</v>
      </c>
      <c r="J1040" s="52"/>
    </row>
    <row r="1041" spans="1:10" hidden="1" x14ac:dyDescent="0.35">
      <c r="A1041" s="2">
        <v>44925</v>
      </c>
      <c r="B1041" t="s">
        <v>14</v>
      </c>
      <c r="C1041" t="s">
        <v>76</v>
      </c>
      <c r="E1041">
        <v>1</v>
      </c>
      <c r="F1041">
        <v>0</v>
      </c>
      <c r="G1041">
        <v>1</v>
      </c>
      <c r="H1041">
        <v>0</v>
      </c>
      <c r="I1041">
        <v>0</v>
      </c>
      <c r="J1041" s="52"/>
    </row>
    <row r="1042" spans="1:10" hidden="1" x14ac:dyDescent="0.35">
      <c r="A1042" s="2">
        <v>44925</v>
      </c>
      <c r="B1042" t="s">
        <v>77</v>
      </c>
      <c r="C1042" t="s">
        <v>76</v>
      </c>
      <c r="E1042">
        <v>0</v>
      </c>
      <c r="F1042">
        <v>0</v>
      </c>
      <c r="G1042">
        <v>0</v>
      </c>
      <c r="H1042">
        <v>1</v>
      </c>
      <c r="I1042">
        <v>0</v>
      </c>
      <c r="J1042" s="52"/>
    </row>
    <row r="1043" spans="1:10" hidden="1" x14ac:dyDescent="0.35">
      <c r="A1043" s="2">
        <v>44925</v>
      </c>
      <c r="B1043" t="s">
        <v>72</v>
      </c>
      <c r="C1043" t="s">
        <v>54</v>
      </c>
      <c r="E1043">
        <v>20</v>
      </c>
      <c r="F1043">
        <v>15</v>
      </c>
      <c r="G1043">
        <v>16</v>
      </c>
      <c r="H1043">
        <v>5</v>
      </c>
      <c r="I1043">
        <v>4</v>
      </c>
      <c r="J1043" s="52"/>
    </row>
    <row r="1044" spans="1:10" hidden="1" x14ac:dyDescent="0.35">
      <c r="A1044" s="2">
        <v>44925</v>
      </c>
      <c r="B1044" t="s">
        <v>57</v>
      </c>
      <c r="C1044" t="s">
        <v>55</v>
      </c>
      <c r="E1044">
        <v>16</v>
      </c>
      <c r="F1044">
        <v>17</v>
      </c>
      <c r="G1044">
        <v>15</v>
      </c>
      <c r="H1044">
        <v>14</v>
      </c>
      <c r="I1044">
        <v>10</v>
      </c>
      <c r="J1044" s="52"/>
    </row>
    <row r="1045" spans="1:10" hidden="1" x14ac:dyDescent="0.35">
      <c r="A1045" s="2">
        <v>44925</v>
      </c>
      <c r="B1045" t="s">
        <v>65</v>
      </c>
      <c r="C1045" t="s">
        <v>58</v>
      </c>
      <c r="E1045">
        <v>51</v>
      </c>
      <c r="F1045">
        <v>14</v>
      </c>
      <c r="G1045">
        <v>38</v>
      </c>
      <c r="H1045">
        <v>20</v>
      </c>
      <c r="I1045">
        <v>12</v>
      </c>
      <c r="J1045" s="52"/>
    </row>
    <row r="1046" spans="1:10" hidden="1" x14ac:dyDescent="0.35">
      <c r="A1046" s="2">
        <v>44925</v>
      </c>
      <c r="B1046" t="s">
        <v>64</v>
      </c>
      <c r="C1046" t="s">
        <v>62</v>
      </c>
      <c r="E1046">
        <v>9</v>
      </c>
      <c r="F1046">
        <v>5</v>
      </c>
      <c r="G1046">
        <v>20</v>
      </c>
      <c r="H1046">
        <v>7</v>
      </c>
      <c r="I1046">
        <v>4</v>
      </c>
      <c r="J1046" s="52"/>
    </row>
    <row r="1047" spans="1:10" hidden="1" x14ac:dyDescent="0.35">
      <c r="A1047" s="2">
        <v>44925</v>
      </c>
      <c r="B1047" t="s">
        <v>75</v>
      </c>
      <c r="C1047" t="s">
        <v>61</v>
      </c>
      <c r="E1047">
        <v>36</v>
      </c>
      <c r="F1047">
        <v>10</v>
      </c>
      <c r="G1047">
        <v>9</v>
      </c>
      <c r="H1047">
        <v>2</v>
      </c>
      <c r="I1047">
        <v>16</v>
      </c>
      <c r="J1047" s="52"/>
    </row>
    <row r="1048" spans="1:10" hidden="1" x14ac:dyDescent="0.35">
      <c r="A1048" s="2">
        <v>44925</v>
      </c>
      <c r="B1048" t="s">
        <v>69</v>
      </c>
      <c r="C1048" t="s">
        <v>63</v>
      </c>
      <c r="E1048">
        <v>19</v>
      </c>
      <c r="F1048">
        <v>7</v>
      </c>
      <c r="G1048">
        <v>10</v>
      </c>
      <c r="H1048">
        <v>2</v>
      </c>
      <c r="I1048">
        <v>17</v>
      </c>
      <c r="J1048" s="52"/>
    </row>
    <row r="1049" spans="1:10" hidden="1" x14ac:dyDescent="0.35">
      <c r="A1049" s="2">
        <v>44925</v>
      </c>
      <c r="B1049" t="s">
        <v>77</v>
      </c>
      <c r="C1049" t="s">
        <v>73</v>
      </c>
      <c r="E1049">
        <v>12</v>
      </c>
      <c r="F1049">
        <v>6</v>
      </c>
      <c r="G1049">
        <v>8</v>
      </c>
      <c r="H1049">
        <v>7</v>
      </c>
      <c r="I1049">
        <v>9</v>
      </c>
      <c r="J1049" s="52"/>
    </row>
    <row r="1050" spans="1:10" hidden="1" x14ac:dyDescent="0.35">
      <c r="A1050" s="2">
        <v>44925</v>
      </c>
      <c r="B1050" t="s">
        <v>71</v>
      </c>
      <c r="C1050" t="s">
        <v>81</v>
      </c>
      <c r="E1050">
        <v>6</v>
      </c>
      <c r="F1050">
        <v>2</v>
      </c>
      <c r="G1050">
        <v>4</v>
      </c>
      <c r="H1050">
        <v>3</v>
      </c>
      <c r="I1050">
        <v>7</v>
      </c>
      <c r="J1050" s="52"/>
    </row>
    <row r="1051" spans="1:10" hidden="1" x14ac:dyDescent="0.35">
      <c r="A1051" s="38">
        <v>44925</v>
      </c>
      <c r="B1051" s="14" t="s">
        <v>84</v>
      </c>
      <c r="C1051" s="14" t="s">
        <v>81</v>
      </c>
      <c r="E1051">
        <v>5</v>
      </c>
      <c r="F1051">
        <v>0</v>
      </c>
      <c r="G1051">
        <v>0</v>
      </c>
      <c r="H1051">
        <v>0</v>
      </c>
      <c r="I1051">
        <v>1</v>
      </c>
      <c r="J1051" s="52"/>
    </row>
    <row r="1052" spans="1:10" hidden="1" x14ac:dyDescent="0.35">
      <c r="A1052" s="2">
        <v>44925</v>
      </c>
      <c r="B1052" s="9" t="s">
        <v>84</v>
      </c>
      <c r="C1052" s="9" t="s">
        <v>83</v>
      </c>
      <c r="E1052">
        <v>1</v>
      </c>
      <c r="F1052">
        <v>0</v>
      </c>
      <c r="G1052">
        <v>0</v>
      </c>
      <c r="H1052">
        <v>0</v>
      </c>
      <c r="I1052">
        <v>0</v>
      </c>
      <c r="J1052" s="52"/>
    </row>
    <row r="1053" spans="1:10" hidden="1" x14ac:dyDescent="0.35">
      <c r="A1053" s="2">
        <v>44925</v>
      </c>
      <c r="B1053" t="s">
        <v>85</v>
      </c>
      <c r="C1053" t="s">
        <v>83</v>
      </c>
      <c r="E1053">
        <v>17</v>
      </c>
      <c r="F1053">
        <v>5</v>
      </c>
      <c r="G1053">
        <v>10</v>
      </c>
      <c r="H1053">
        <v>0</v>
      </c>
      <c r="I1053">
        <v>8</v>
      </c>
      <c r="J1053" s="52"/>
    </row>
    <row r="1054" spans="1:10" hidden="1" x14ac:dyDescent="0.35">
      <c r="A1054" s="2">
        <v>44925</v>
      </c>
      <c r="B1054" t="s">
        <v>84</v>
      </c>
      <c r="C1054" t="s">
        <v>76</v>
      </c>
      <c r="E1054">
        <v>0</v>
      </c>
      <c r="F1054">
        <v>2</v>
      </c>
      <c r="G1054">
        <v>0</v>
      </c>
      <c r="H1054">
        <v>2</v>
      </c>
      <c r="I1054">
        <v>2</v>
      </c>
      <c r="J1054" s="52"/>
    </row>
    <row r="1055" spans="1:10" hidden="1" x14ac:dyDescent="0.35">
      <c r="A1055" s="2">
        <v>44956</v>
      </c>
      <c r="C1055" t="s">
        <v>24</v>
      </c>
      <c r="D1055">
        <v>815</v>
      </c>
      <c r="J1055" s="58">
        <v>220450</v>
      </c>
    </row>
    <row r="1056" spans="1:10" hidden="1" x14ac:dyDescent="0.35">
      <c r="A1056" s="2">
        <v>44956</v>
      </c>
      <c r="C1056" t="s">
        <v>9</v>
      </c>
      <c r="D1056">
        <v>472</v>
      </c>
      <c r="J1056" s="58">
        <v>248365</v>
      </c>
    </row>
    <row r="1057" spans="1:10" hidden="1" x14ac:dyDescent="0.35">
      <c r="A1057" s="2">
        <v>44956</v>
      </c>
      <c r="C1057" t="s">
        <v>37</v>
      </c>
      <c r="D1057">
        <v>963</v>
      </c>
      <c r="J1057" s="58">
        <v>315900</v>
      </c>
    </row>
    <row r="1058" spans="1:10" hidden="1" x14ac:dyDescent="0.35">
      <c r="A1058" s="2">
        <v>44956</v>
      </c>
      <c r="C1058" t="s">
        <v>23</v>
      </c>
      <c r="D1058">
        <v>569</v>
      </c>
      <c r="J1058" s="58">
        <v>128650</v>
      </c>
    </row>
    <row r="1059" spans="1:10" hidden="1" x14ac:dyDescent="0.35">
      <c r="A1059" s="2">
        <v>44956</v>
      </c>
      <c r="C1059" t="s">
        <v>27</v>
      </c>
      <c r="D1059">
        <v>489</v>
      </c>
      <c r="J1059" s="58">
        <v>382900</v>
      </c>
    </row>
    <row r="1060" spans="1:10" hidden="1" x14ac:dyDescent="0.35">
      <c r="A1060" s="2">
        <v>44956</v>
      </c>
      <c r="C1060" t="s">
        <v>26</v>
      </c>
      <c r="D1060">
        <v>424</v>
      </c>
      <c r="J1060" s="58">
        <v>193450</v>
      </c>
    </row>
    <row r="1061" spans="1:10" hidden="1" x14ac:dyDescent="0.35">
      <c r="A1061" s="2">
        <v>44956</v>
      </c>
      <c r="C1061" t="s">
        <v>20</v>
      </c>
      <c r="D1061">
        <v>818</v>
      </c>
      <c r="J1061" s="58">
        <v>573250</v>
      </c>
    </row>
    <row r="1062" spans="1:10" hidden="1" x14ac:dyDescent="0.35">
      <c r="A1062" s="2">
        <v>44956</v>
      </c>
      <c r="C1062" t="s">
        <v>25</v>
      </c>
      <c r="D1062">
        <v>496</v>
      </c>
      <c r="J1062" s="58">
        <v>261650</v>
      </c>
    </row>
    <row r="1063" spans="1:10" hidden="1" x14ac:dyDescent="0.35">
      <c r="A1063" s="2">
        <v>44956</v>
      </c>
      <c r="C1063" t="s">
        <v>19</v>
      </c>
      <c r="D1063">
        <v>423</v>
      </c>
      <c r="J1063" s="58">
        <v>433000</v>
      </c>
    </row>
    <row r="1064" spans="1:10" hidden="1" x14ac:dyDescent="0.35">
      <c r="A1064" s="2">
        <v>44956</v>
      </c>
      <c r="C1064" t="s">
        <v>21</v>
      </c>
      <c r="D1064">
        <v>588</v>
      </c>
      <c r="J1064" s="58">
        <v>228450</v>
      </c>
    </row>
    <row r="1065" spans="1:10" hidden="1" x14ac:dyDescent="0.35">
      <c r="A1065" s="2">
        <v>44956</v>
      </c>
      <c r="C1065" t="s">
        <v>18</v>
      </c>
      <c r="D1065">
        <v>789</v>
      </c>
      <c r="J1065" s="58">
        <v>534350</v>
      </c>
    </row>
    <row r="1066" spans="1:10" hidden="1" x14ac:dyDescent="0.35">
      <c r="A1066" s="2">
        <v>44956</v>
      </c>
      <c r="C1066" t="s">
        <v>22</v>
      </c>
      <c r="D1066">
        <v>460</v>
      </c>
      <c r="J1066" s="58">
        <v>264900</v>
      </c>
    </row>
    <row r="1067" spans="1:10" hidden="1" x14ac:dyDescent="0.35">
      <c r="A1067" s="2">
        <v>44956</v>
      </c>
      <c r="C1067" t="s">
        <v>54</v>
      </c>
      <c r="D1067">
        <v>549</v>
      </c>
      <c r="J1067" s="58">
        <v>213900</v>
      </c>
    </row>
    <row r="1068" spans="1:10" hidden="1" x14ac:dyDescent="0.35">
      <c r="A1068" s="2">
        <v>44956</v>
      </c>
      <c r="C1068" t="s">
        <v>55</v>
      </c>
      <c r="D1068">
        <v>662</v>
      </c>
      <c r="J1068" s="58">
        <v>127500</v>
      </c>
    </row>
    <row r="1069" spans="1:10" hidden="1" x14ac:dyDescent="0.35">
      <c r="A1069" s="2">
        <v>44956</v>
      </c>
      <c r="C1069" t="s">
        <v>58</v>
      </c>
      <c r="D1069">
        <v>870</v>
      </c>
      <c r="J1069" s="58">
        <v>202800</v>
      </c>
    </row>
    <row r="1070" spans="1:10" hidden="1" x14ac:dyDescent="0.35">
      <c r="A1070" s="2">
        <v>44956</v>
      </c>
      <c r="C1070" t="s">
        <v>62</v>
      </c>
      <c r="D1070">
        <v>573</v>
      </c>
      <c r="J1070" s="58">
        <v>204750</v>
      </c>
    </row>
    <row r="1071" spans="1:10" hidden="1" x14ac:dyDescent="0.35">
      <c r="A1071" s="2">
        <v>44956</v>
      </c>
      <c r="C1071" t="s">
        <v>61</v>
      </c>
      <c r="D1071">
        <v>1146</v>
      </c>
      <c r="J1071" s="58">
        <v>195970</v>
      </c>
    </row>
    <row r="1072" spans="1:10" hidden="1" x14ac:dyDescent="0.35">
      <c r="A1072" s="2">
        <v>44956</v>
      </c>
      <c r="C1072" t="s">
        <v>63</v>
      </c>
      <c r="D1072">
        <v>789</v>
      </c>
      <c r="J1072" s="58">
        <v>194500</v>
      </c>
    </row>
    <row r="1073" spans="1:10" hidden="1" x14ac:dyDescent="0.35">
      <c r="A1073" s="2">
        <v>44956</v>
      </c>
      <c r="C1073" t="s">
        <v>73</v>
      </c>
      <c r="D1073">
        <v>441</v>
      </c>
      <c r="J1073" s="58">
        <v>231700</v>
      </c>
    </row>
    <row r="1074" spans="1:10" hidden="1" x14ac:dyDescent="0.35">
      <c r="A1074" s="2">
        <v>44956</v>
      </c>
      <c r="C1074" t="s">
        <v>76</v>
      </c>
      <c r="D1074">
        <v>428</v>
      </c>
      <c r="J1074" s="52">
        <v>0</v>
      </c>
    </row>
    <row r="1075" spans="1:10" hidden="1" x14ac:dyDescent="0.35">
      <c r="A1075" s="2">
        <v>44956</v>
      </c>
      <c r="C1075" t="s">
        <v>81</v>
      </c>
      <c r="D1075">
        <v>623</v>
      </c>
      <c r="J1075" s="58">
        <v>145850</v>
      </c>
    </row>
    <row r="1076" spans="1:10" hidden="1" x14ac:dyDescent="0.35">
      <c r="A1076" s="2">
        <v>44956</v>
      </c>
      <c r="C1076" t="s">
        <v>83</v>
      </c>
      <c r="D1076">
        <v>315</v>
      </c>
      <c r="J1076" s="58">
        <v>108450</v>
      </c>
    </row>
    <row r="1077" spans="1:10" hidden="1" x14ac:dyDescent="0.35">
      <c r="A1077" s="2">
        <v>44956</v>
      </c>
      <c r="C1077" t="s">
        <v>87</v>
      </c>
      <c r="D1077">
        <v>283</v>
      </c>
      <c r="J1077" s="58">
        <v>28900</v>
      </c>
    </row>
    <row r="1078" spans="1:10" hidden="1" x14ac:dyDescent="0.35">
      <c r="A1078" s="2">
        <v>44956</v>
      </c>
      <c r="B1078" t="s">
        <v>71</v>
      </c>
      <c r="C1078" t="s">
        <v>20</v>
      </c>
      <c r="E1078">
        <v>32</v>
      </c>
      <c r="F1078">
        <v>5</v>
      </c>
      <c r="G1078">
        <v>30</v>
      </c>
      <c r="H1078">
        <v>3</v>
      </c>
      <c r="I1078" s="33">
        <v>14</v>
      </c>
      <c r="J1078" s="52"/>
    </row>
    <row r="1079" spans="1:10" hidden="1" x14ac:dyDescent="0.35">
      <c r="A1079" s="2">
        <v>44956</v>
      </c>
      <c r="B1079" t="s">
        <v>36</v>
      </c>
      <c r="C1079" t="s">
        <v>20</v>
      </c>
      <c r="E1079">
        <v>53</v>
      </c>
      <c r="F1079">
        <v>17</v>
      </c>
      <c r="G1079">
        <v>51</v>
      </c>
      <c r="H1079">
        <v>7</v>
      </c>
      <c r="I1079" s="33">
        <v>25</v>
      </c>
      <c r="J1079" s="52"/>
    </row>
    <row r="1080" spans="1:10" hidden="1" x14ac:dyDescent="0.35">
      <c r="A1080" s="2">
        <v>44956</v>
      </c>
      <c r="B1080" t="s">
        <v>70</v>
      </c>
      <c r="C1080" t="s">
        <v>20</v>
      </c>
      <c r="E1080">
        <v>2</v>
      </c>
      <c r="F1080">
        <v>0</v>
      </c>
      <c r="G1080">
        <v>1</v>
      </c>
      <c r="H1080">
        <v>1</v>
      </c>
      <c r="I1080" s="33">
        <v>1</v>
      </c>
      <c r="J1080" s="52"/>
    </row>
    <row r="1081" spans="1:10" hidden="1" x14ac:dyDescent="0.35">
      <c r="A1081" s="2">
        <v>44956</v>
      </c>
      <c r="B1081" t="s">
        <v>70</v>
      </c>
      <c r="C1081" t="s">
        <v>26</v>
      </c>
      <c r="E1081">
        <v>35</v>
      </c>
      <c r="F1081">
        <v>4</v>
      </c>
      <c r="G1081">
        <v>39</v>
      </c>
      <c r="H1081">
        <v>2</v>
      </c>
      <c r="I1081" s="33">
        <v>15</v>
      </c>
      <c r="J1081" s="52"/>
    </row>
    <row r="1082" spans="1:10" hidden="1" x14ac:dyDescent="0.35">
      <c r="A1082" s="2">
        <v>44956</v>
      </c>
      <c r="B1082" t="s">
        <v>38</v>
      </c>
      <c r="C1082" t="s">
        <v>18</v>
      </c>
      <c r="E1082">
        <v>32</v>
      </c>
      <c r="F1082">
        <v>12</v>
      </c>
      <c r="G1082">
        <v>41</v>
      </c>
      <c r="H1082">
        <v>25</v>
      </c>
      <c r="I1082" s="33">
        <v>24</v>
      </c>
      <c r="J1082" s="52"/>
    </row>
    <row r="1083" spans="1:10" hidden="1" x14ac:dyDescent="0.35">
      <c r="A1083" s="2">
        <v>44956</v>
      </c>
      <c r="B1083" t="s">
        <v>86</v>
      </c>
      <c r="C1083" t="s">
        <v>18</v>
      </c>
      <c r="E1083">
        <v>49</v>
      </c>
      <c r="F1083">
        <v>11</v>
      </c>
      <c r="G1083">
        <v>7</v>
      </c>
      <c r="H1083">
        <v>9</v>
      </c>
      <c r="I1083" s="33">
        <v>14</v>
      </c>
      <c r="J1083" s="52"/>
    </row>
    <row r="1084" spans="1:10" hidden="1" x14ac:dyDescent="0.35">
      <c r="A1084" s="2">
        <v>44956</v>
      </c>
      <c r="B1084" t="s">
        <v>13</v>
      </c>
      <c r="C1084" t="s">
        <v>25</v>
      </c>
      <c r="E1084">
        <v>61</v>
      </c>
      <c r="F1084">
        <v>4</v>
      </c>
      <c r="G1084">
        <v>36</v>
      </c>
      <c r="H1084">
        <v>7</v>
      </c>
      <c r="I1084" s="33">
        <v>20</v>
      </c>
      <c r="J1084" s="52"/>
    </row>
    <row r="1085" spans="1:10" hidden="1" x14ac:dyDescent="0.35">
      <c r="A1085" s="2">
        <v>44956</v>
      </c>
      <c r="B1085" t="s">
        <v>13</v>
      </c>
      <c r="C1085" t="s">
        <v>23</v>
      </c>
      <c r="E1085">
        <v>29</v>
      </c>
      <c r="F1085">
        <v>0</v>
      </c>
      <c r="G1085">
        <v>13</v>
      </c>
      <c r="H1085">
        <v>2</v>
      </c>
      <c r="I1085" s="33">
        <v>5</v>
      </c>
      <c r="J1085" s="52"/>
    </row>
    <row r="1086" spans="1:10" hidden="1" x14ac:dyDescent="0.35">
      <c r="A1086" s="2">
        <v>44956</v>
      </c>
      <c r="B1086" t="s">
        <v>41</v>
      </c>
      <c r="C1086" t="s">
        <v>23</v>
      </c>
      <c r="E1086">
        <v>18</v>
      </c>
      <c r="F1086">
        <v>6</v>
      </c>
      <c r="G1086">
        <v>17</v>
      </c>
      <c r="H1086">
        <v>6</v>
      </c>
      <c r="I1086" s="33">
        <v>5</v>
      </c>
      <c r="J1086" s="52"/>
    </row>
    <row r="1087" spans="1:10" hidden="1" x14ac:dyDescent="0.35">
      <c r="A1087" s="2">
        <v>44956</v>
      </c>
      <c r="B1087" t="s">
        <v>41</v>
      </c>
      <c r="C1087" t="s">
        <v>24</v>
      </c>
      <c r="E1087">
        <v>33</v>
      </c>
      <c r="F1087">
        <v>1</v>
      </c>
      <c r="G1087">
        <v>19</v>
      </c>
      <c r="H1087">
        <v>0</v>
      </c>
      <c r="I1087" s="33">
        <v>8</v>
      </c>
      <c r="J1087" s="52"/>
    </row>
    <row r="1088" spans="1:10" hidden="1" x14ac:dyDescent="0.35">
      <c r="A1088" s="2">
        <v>44956</v>
      </c>
      <c r="B1088" t="s">
        <v>12</v>
      </c>
      <c r="C1088" t="s">
        <v>24</v>
      </c>
      <c r="E1088">
        <v>21</v>
      </c>
      <c r="F1088">
        <v>1</v>
      </c>
      <c r="G1088">
        <v>20</v>
      </c>
      <c r="H1088">
        <v>1</v>
      </c>
      <c r="I1088" s="33">
        <v>9</v>
      </c>
      <c r="J1088" s="52"/>
    </row>
    <row r="1089" spans="1:10" hidden="1" x14ac:dyDescent="0.35">
      <c r="A1089" s="2">
        <v>44956</v>
      </c>
      <c r="B1089" t="s">
        <v>12</v>
      </c>
      <c r="C1089" t="s">
        <v>37</v>
      </c>
      <c r="E1089">
        <v>19</v>
      </c>
      <c r="F1089">
        <v>2</v>
      </c>
      <c r="G1089">
        <v>18</v>
      </c>
      <c r="H1089">
        <v>1</v>
      </c>
      <c r="I1089" s="33">
        <v>9</v>
      </c>
      <c r="J1089" s="52"/>
    </row>
    <row r="1090" spans="1:10" hidden="1" x14ac:dyDescent="0.35">
      <c r="A1090" s="2">
        <v>44956</v>
      </c>
      <c r="B1090" t="s">
        <v>17</v>
      </c>
      <c r="C1090" t="s">
        <v>37</v>
      </c>
      <c r="E1090">
        <v>34</v>
      </c>
      <c r="F1090">
        <v>5</v>
      </c>
      <c r="G1090">
        <v>15</v>
      </c>
      <c r="H1090">
        <v>6</v>
      </c>
      <c r="I1090" s="33">
        <v>8</v>
      </c>
      <c r="J1090" s="52"/>
    </row>
    <row r="1091" spans="1:10" hidden="1" x14ac:dyDescent="0.35">
      <c r="A1091" s="2">
        <v>44956</v>
      </c>
      <c r="B1091" t="s">
        <v>50</v>
      </c>
      <c r="C1091" t="s">
        <v>37</v>
      </c>
      <c r="E1091">
        <v>29</v>
      </c>
      <c r="F1091">
        <v>5</v>
      </c>
      <c r="G1091">
        <v>22</v>
      </c>
      <c r="H1091">
        <v>2</v>
      </c>
      <c r="I1091" s="33">
        <v>6</v>
      </c>
      <c r="J1091" s="52"/>
    </row>
    <row r="1092" spans="1:10" hidden="1" x14ac:dyDescent="0.35">
      <c r="A1092" s="2">
        <v>44956</v>
      </c>
      <c r="B1092" t="s">
        <v>40</v>
      </c>
      <c r="C1092" t="s">
        <v>19</v>
      </c>
      <c r="E1092">
        <v>42</v>
      </c>
      <c r="F1092">
        <v>1</v>
      </c>
      <c r="G1092">
        <v>55</v>
      </c>
      <c r="H1092">
        <v>5</v>
      </c>
      <c r="I1092" s="33">
        <v>21</v>
      </c>
      <c r="J1092" s="52"/>
    </row>
    <row r="1093" spans="1:10" hidden="1" x14ac:dyDescent="0.35">
      <c r="A1093" s="2">
        <v>44956</v>
      </c>
      <c r="B1093" t="s">
        <v>42</v>
      </c>
      <c r="C1093" t="s">
        <v>19</v>
      </c>
      <c r="E1093">
        <v>36</v>
      </c>
      <c r="F1093">
        <v>6</v>
      </c>
      <c r="G1093">
        <v>51</v>
      </c>
      <c r="H1093">
        <v>2</v>
      </c>
      <c r="I1093" s="33">
        <v>10</v>
      </c>
      <c r="J1093" s="52"/>
    </row>
    <row r="1094" spans="1:10" hidden="1" x14ac:dyDescent="0.35">
      <c r="A1094" s="2">
        <v>44956</v>
      </c>
      <c r="B1094" t="s">
        <v>66</v>
      </c>
      <c r="C1094" t="s">
        <v>22</v>
      </c>
      <c r="E1094">
        <v>44</v>
      </c>
      <c r="F1094">
        <v>8</v>
      </c>
      <c r="G1094">
        <v>31</v>
      </c>
      <c r="H1094">
        <v>9</v>
      </c>
      <c r="I1094" s="33">
        <v>20</v>
      </c>
      <c r="J1094" s="52"/>
    </row>
    <row r="1095" spans="1:10" hidden="1" x14ac:dyDescent="0.35">
      <c r="A1095" s="2">
        <v>44956</v>
      </c>
      <c r="B1095" t="s">
        <v>43</v>
      </c>
      <c r="C1095" t="s">
        <v>27</v>
      </c>
      <c r="E1095">
        <v>43</v>
      </c>
      <c r="F1095">
        <v>0</v>
      </c>
      <c r="G1095">
        <v>43</v>
      </c>
      <c r="H1095">
        <v>0</v>
      </c>
      <c r="I1095" s="33">
        <v>24</v>
      </c>
      <c r="J1095" s="52"/>
    </row>
    <row r="1096" spans="1:10" hidden="1" x14ac:dyDescent="0.35">
      <c r="A1096" s="2">
        <v>44956</v>
      </c>
      <c r="B1096" t="s">
        <v>17</v>
      </c>
      <c r="C1096" t="s">
        <v>9</v>
      </c>
      <c r="E1096">
        <v>48</v>
      </c>
      <c r="F1096">
        <v>1</v>
      </c>
      <c r="G1096">
        <v>37</v>
      </c>
      <c r="H1096">
        <v>7</v>
      </c>
      <c r="I1096" s="33">
        <v>18</v>
      </c>
      <c r="J1096" s="52"/>
    </row>
    <row r="1097" spans="1:10" hidden="1" x14ac:dyDescent="0.35">
      <c r="A1097" s="2">
        <v>44956</v>
      </c>
      <c r="B1097" t="s">
        <v>14</v>
      </c>
      <c r="C1097" t="s">
        <v>21</v>
      </c>
      <c r="E1097">
        <v>30</v>
      </c>
      <c r="F1097">
        <v>33</v>
      </c>
      <c r="G1097">
        <v>21</v>
      </c>
      <c r="H1097">
        <v>26</v>
      </c>
      <c r="I1097" s="33">
        <v>16</v>
      </c>
      <c r="J1097" s="52"/>
    </row>
    <row r="1098" spans="1:10" hidden="1" x14ac:dyDescent="0.35">
      <c r="A1098" s="2">
        <v>44956</v>
      </c>
      <c r="B1098" t="s">
        <v>72</v>
      </c>
      <c r="C1098" t="s">
        <v>54</v>
      </c>
      <c r="E1098">
        <v>30</v>
      </c>
      <c r="F1098">
        <v>5</v>
      </c>
      <c r="G1098">
        <v>13</v>
      </c>
      <c r="H1098">
        <v>7</v>
      </c>
      <c r="I1098" s="33">
        <v>15</v>
      </c>
      <c r="J1098" s="52"/>
    </row>
    <row r="1099" spans="1:10" hidden="1" x14ac:dyDescent="0.35">
      <c r="A1099" s="2">
        <v>44956</v>
      </c>
      <c r="B1099" t="s">
        <v>57</v>
      </c>
      <c r="C1099" t="s">
        <v>55</v>
      </c>
      <c r="E1099">
        <v>34</v>
      </c>
      <c r="F1099">
        <v>22</v>
      </c>
      <c r="G1099">
        <v>26</v>
      </c>
      <c r="H1099">
        <v>12</v>
      </c>
      <c r="I1099" s="33">
        <v>10</v>
      </c>
      <c r="J1099" s="52"/>
    </row>
    <row r="1100" spans="1:10" hidden="1" x14ac:dyDescent="0.35">
      <c r="A1100" s="2">
        <v>44956</v>
      </c>
      <c r="B1100" t="s">
        <v>65</v>
      </c>
      <c r="C1100" t="s">
        <v>58</v>
      </c>
      <c r="E1100">
        <v>34</v>
      </c>
      <c r="F1100">
        <v>33</v>
      </c>
      <c r="G1100">
        <v>21</v>
      </c>
      <c r="H1100">
        <v>26</v>
      </c>
      <c r="I1100" s="33">
        <v>15</v>
      </c>
      <c r="J1100" s="52"/>
    </row>
    <row r="1101" spans="1:10" hidden="1" x14ac:dyDescent="0.35">
      <c r="A1101" s="2">
        <v>44956</v>
      </c>
      <c r="B1101" t="s">
        <v>64</v>
      </c>
      <c r="C1101" t="s">
        <v>62</v>
      </c>
      <c r="E1101">
        <v>34</v>
      </c>
      <c r="F1101">
        <v>8</v>
      </c>
      <c r="G1101">
        <v>32</v>
      </c>
      <c r="H1101">
        <v>10</v>
      </c>
      <c r="I1101" s="33">
        <v>15</v>
      </c>
      <c r="J1101" s="52"/>
    </row>
    <row r="1102" spans="1:10" hidden="1" x14ac:dyDescent="0.35">
      <c r="A1102" s="2">
        <v>44956</v>
      </c>
      <c r="B1102" t="s">
        <v>75</v>
      </c>
      <c r="C1102" t="s">
        <v>61</v>
      </c>
      <c r="E1102">
        <v>53</v>
      </c>
      <c r="F1102">
        <v>7</v>
      </c>
      <c r="G1102">
        <v>11</v>
      </c>
      <c r="H1102">
        <v>3</v>
      </c>
      <c r="I1102" s="33">
        <v>16</v>
      </c>
      <c r="J1102" s="52"/>
    </row>
    <row r="1103" spans="1:10" hidden="1" x14ac:dyDescent="0.35">
      <c r="A1103" s="2">
        <v>44956</v>
      </c>
      <c r="B1103" t="s">
        <v>69</v>
      </c>
      <c r="C1103" t="s">
        <v>63</v>
      </c>
      <c r="E1103">
        <v>29</v>
      </c>
      <c r="F1103">
        <v>10</v>
      </c>
      <c r="G1103">
        <v>14</v>
      </c>
      <c r="H1103">
        <v>11</v>
      </c>
      <c r="I1103" s="33">
        <v>15</v>
      </c>
      <c r="J1103" s="52"/>
    </row>
    <row r="1104" spans="1:10" hidden="1" x14ac:dyDescent="0.35">
      <c r="A1104" s="2">
        <v>44956</v>
      </c>
      <c r="B1104" t="s">
        <v>77</v>
      </c>
      <c r="C1104" t="s">
        <v>73</v>
      </c>
      <c r="E1104">
        <v>24</v>
      </c>
      <c r="F1104">
        <v>15</v>
      </c>
      <c r="G1104">
        <v>28</v>
      </c>
      <c r="H1104">
        <v>15</v>
      </c>
      <c r="I1104" s="33">
        <v>18</v>
      </c>
      <c r="J1104" s="52"/>
    </row>
    <row r="1105" spans="1:10" hidden="1" x14ac:dyDescent="0.35">
      <c r="A1105" s="2">
        <v>44956</v>
      </c>
      <c r="B1105" t="s">
        <v>71</v>
      </c>
      <c r="C1105" t="s">
        <v>81</v>
      </c>
      <c r="E1105">
        <v>31</v>
      </c>
      <c r="F1105">
        <v>4</v>
      </c>
      <c r="G1105">
        <v>10</v>
      </c>
      <c r="H1105">
        <v>0</v>
      </c>
      <c r="I1105" s="33">
        <v>9</v>
      </c>
      <c r="J1105" s="52"/>
    </row>
    <row r="1106" spans="1:10" hidden="1" x14ac:dyDescent="0.35">
      <c r="A1106" s="38">
        <v>44956</v>
      </c>
      <c r="B1106" s="14" t="s">
        <v>84</v>
      </c>
      <c r="C1106" s="14" t="s">
        <v>81</v>
      </c>
      <c r="D1106" s="14"/>
      <c r="E1106" s="14">
        <v>8</v>
      </c>
      <c r="F1106" s="14">
        <v>0</v>
      </c>
      <c r="G1106" s="14">
        <v>3</v>
      </c>
      <c r="H1106" s="14">
        <v>0</v>
      </c>
      <c r="I1106" s="50">
        <v>2</v>
      </c>
      <c r="J1106" s="62"/>
    </row>
    <row r="1107" spans="1:10" hidden="1" x14ac:dyDescent="0.35">
      <c r="A1107" s="2">
        <v>44956</v>
      </c>
      <c r="B1107" t="s">
        <v>85</v>
      </c>
      <c r="C1107" t="s">
        <v>83</v>
      </c>
      <c r="E1107">
        <v>40</v>
      </c>
      <c r="F1107">
        <v>6</v>
      </c>
      <c r="G1107">
        <v>14</v>
      </c>
      <c r="H1107">
        <v>1</v>
      </c>
      <c r="I1107">
        <v>8</v>
      </c>
      <c r="J1107" s="52"/>
    </row>
    <row r="1108" spans="1:10" hidden="1" x14ac:dyDescent="0.35">
      <c r="A1108" s="2">
        <v>44956</v>
      </c>
      <c r="B1108" t="s">
        <v>88</v>
      </c>
      <c r="C1108" t="s">
        <v>76</v>
      </c>
      <c r="E1108">
        <v>15</v>
      </c>
      <c r="F1108">
        <v>7</v>
      </c>
      <c r="G1108">
        <v>3</v>
      </c>
      <c r="H1108">
        <v>0</v>
      </c>
      <c r="I1108">
        <v>0</v>
      </c>
      <c r="J1108" s="52"/>
    </row>
    <row r="1109" spans="1:10" hidden="1" x14ac:dyDescent="0.35">
      <c r="A1109" s="2">
        <v>44956</v>
      </c>
      <c r="B1109" t="s">
        <v>89</v>
      </c>
      <c r="C1109" t="s">
        <v>87</v>
      </c>
      <c r="E1109">
        <v>15</v>
      </c>
      <c r="F1109">
        <v>11</v>
      </c>
      <c r="G1109">
        <v>4</v>
      </c>
      <c r="H1109">
        <v>0</v>
      </c>
      <c r="I1109" s="33">
        <v>2</v>
      </c>
      <c r="J1109" s="52"/>
    </row>
    <row r="1110" spans="1:10" hidden="1" x14ac:dyDescent="0.35">
      <c r="A1110" s="2">
        <v>44985</v>
      </c>
      <c r="C1110" t="s">
        <v>24</v>
      </c>
      <c r="D1110">
        <v>684</v>
      </c>
      <c r="J1110" s="52">
        <v>235650</v>
      </c>
    </row>
    <row r="1111" spans="1:10" hidden="1" x14ac:dyDescent="0.35">
      <c r="A1111" s="51">
        <v>44985</v>
      </c>
      <c r="C1111" t="s">
        <v>9</v>
      </c>
      <c r="D1111">
        <v>361</v>
      </c>
      <c r="J1111" s="52">
        <v>157050</v>
      </c>
    </row>
    <row r="1112" spans="1:10" hidden="1" x14ac:dyDescent="0.35">
      <c r="A1112" s="2">
        <v>44985</v>
      </c>
      <c r="C1112" t="s">
        <v>37</v>
      </c>
      <c r="D1112">
        <v>890</v>
      </c>
      <c r="J1112" s="52">
        <v>369650</v>
      </c>
    </row>
    <row r="1113" spans="1:10" hidden="1" x14ac:dyDescent="0.35">
      <c r="A1113" s="51">
        <v>44985</v>
      </c>
      <c r="C1113" t="s">
        <v>23</v>
      </c>
      <c r="D1113">
        <v>542</v>
      </c>
      <c r="J1113" s="52">
        <v>138000</v>
      </c>
    </row>
    <row r="1114" spans="1:10" hidden="1" x14ac:dyDescent="0.35">
      <c r="A1114" s="2">
        <v>44985</v>
      </c>
      <c r="C1114" t="s">
        <v>27</v>
      </c>
      <c r="D1114">
        <v>394</v>
      </c>
      <c r="J1114" s="52">
        <v>416300</v>
      </c>
    </row>
    <row r="1115" spans="1:10" hidden="1" x14ac:dyDescent="0.35">
      <c r="A1115" s="51">
        <v>44985</v>
      </c>
      <c r="C1115" t="s">
        <v>26</v>
      </c>
      <c r="D1115">
        <v>402</v>
      </c>
      <c r="J1115" s="52">
        <v>190350</v>
      </c>
    </row>
    <row r="1116" spans="1:10" hidden="1" x14ac:dyDescent="0.35">
      <c r="A1116" s="2">
        <v>44985</v>
      </c>
      <c r="C1116" t="s">
        <v>20</v>
      </c>
      <c r="D1116">
        <v>653</v>
      </c>
      <c r="J1116" s="52">
        <v>573100</v>
      </c>
    </row>
    <row r="1117" spans="1:10" hidden="1" x14ac:dyDescent="0.35">
      <c r="A1117" s="51">
        <v>44985</v>
      </c>
      <c r="C1117" t="s">
        <v>25</v>
      </c>
      <c r="D1117">
        <v>342</v>
      </c>
      <c r="J1117" s="52">
        <v>193700</v>
      </c>
    </row>
    <row r="1118" spans="1:10" hidden="1" x14ac:dyDescent="0.35">
      <c r="A1118" s="2">
        <v>44985</v>
      </c>
      <c r="C1118" t="s">
        <v>19</v>
      </c>
      <c r="D1118">
        <v>365</v>
      </c>
      <c r="J1118" s="52">
        <v>363100</v>
      </c>
    </row>
    <row r="1119" spans="1:10" hidden="1" x14ac:dyDescent="0.35">
      <c r="A1119" s="51">
        <v>44985</v>
      </c>
      <c r="C1119" t="s">
        <v>21</v>
      </c>
      <c r="D1119">
        <v>504</v>
      </c>
      <c r="J1119" s="52">
        <v>230450</v>
      </c>
    </row>
    <row r="1120" spans="1:10" hidden="1" x14ac:dyDescent="0.35">
      <c r="A1120" s="2">
        <v>44985</v>
      </c>
      <c r="C1120" t="s">
        <v>18</v>
      </c>
      <c r="D1120">
        <v>621</v>
      </c>
      <c r="J1120" s="52">
        <v>462100</v>
      </c>
    </row>
    <row r="1121" spans="1:10" hidden="1" x14ac:dyDescent="0.35">
      <c r="A1121" s="51">
        <v>44985</v>
      </c>
      <c r="C1121" t="s">
        <v>22</v>
      </c>
      <c r="D1121">
        <v>295</v>
      </c>
      <c r="J1121" s="52">
        <v>203950</v>
      </c>
    </row>
    <row r="1122" spans="1:10" hidden="1" x14ac:dyDescent="0.35">
      <c r="A1122" s="2">
        <v>44985</v>
      </c>
      <c r="C1122" t="s">
        <v>54</v>
      </c>
      <c r="D1122">
        <v>375</v>
      </c>
      <c r="J1122" s="52">
        <v>67950</v>
      </c>
    </row>
    <row r="1123" spans="1:10" hidden="1" x14ac:dyDescent="0.35">
      <c r="A1123" s="51">
        <v>44985</v>
      </c>
      <c r="C1123" t="s">
        <v>55</v>
      </c>
      <c r="D1123">
        <v>606</v>
      </c>
      <c r="J1123" s="52">
        <v>73500</v>
      </c>
    </row>
    <row r="1124" spans="1:10" hidden="1" x14ac:dyDescent="0.35">
      <c r="A1124" s="2">
        <v>44985</v>
      </c>
      <c r="C1124" t="s">
        <v>58</v>
      </c>
      <c r="D1124">
        <v>628</v>
      </c>
      <c r="J1124" s="52">
        <v>180000</v>
      </c>
    </row>
    <row r="1125" spans="1:10" hidden="1" x14ac:dyDescent="0.35">
      <c r="A1125" s="51">
        <v>44985</v>
      </c>
      <c r="C1125" t="s">
        <v>62</v>
      </c>
      <c r="D1125">
        <v>483</v>
      </c>
      <c r="J1125" s="52">
        <v>151550</v>
      </c>
    </row>
    <row r="1126" spans="1:10" hidden="1" x14ac:dyDescent="0.35">
      <c r="A1126" s="2">
        <v>44985</v>
      </c>
      <c r="C1126" t="s">
        <v>61</v>
      </c>
      <c r="D1126">
        <v>972</v>
      </c>
      <c r="J1126" s="52">
        <v>189930</v>
      </c>
    </row>
    <row r="1127" spans="1:10" hidden="1" x14ac:dyDescent="0.35">
      <c r="A1127" s="51">
        <v>44985</v>
      </c>
      <c r="C1127" t="s">
        <v>63</v>
      </c>
      <c r="D1127">
        <v>161</v>
      </c>
      <c r="J1127" s="52">
        <v>192000</v>
      </c>
    </row>
    <row r="1128" spans="1:10" hidden="1" x14ac:dyDescent="0.35">
      <c r="A1128" s="2">
        <v>44985</v>
      </c>
      <c r="C1128" t="s">
        <v>73</v>
      </c>
      <c r="D1128">
        <v>394</v>
      </c>
      <c r="J1128" s="52">
        <v>197850</v>
      </c>
    </row>
    <row r="1129" spans="1:10" hidden="1" x14ac:dyDescent="0.35">
      <c r="A1129" s="51">
        <v>44985</v>
      </c>
      <c r="C1129" t="s">
        <v>76</v>
      </c>
      <c r="D1129">
        <v>367</v>
      </c>
      <c r="J1129" s="52">
        <v>72250</v>
      </c>
    </row>
    <row r="1130" spans="1:10" hidden="1" x14ac:dyDescent="0.35">
      <c r="A1130" s="2">
        <v>44985</v>
      </c>
      <c r="C1130" t="s">
        <v>81</v>
      </c>
      <c r="D1130">
        <v>614</v>
      </c>
      <c r="J1130" s="52">
        <v>53950</v>
      </c>
    </row>
    <row r="1131" spans="1:10" hidden="1" x14ac:dyDescent="0.35">
      <c r="A1131" s="51">
        <v>44985</v>
      </c>
      <c r="C1131" t="s">
        <v>83</v>
      </c>
      <c r="D1131">
        <v>179</v>
      </c>
      <c r="J1131" s="52">
        <v>122900</v>
      </c>
    </row>
    <row r="1132" spans="1:10" hidden="1" x14ac:dyDescent="0.35">
      <c r="A1132" s="2">
        <v>44985</v>
      </c>
      <c r="C1132" t="s">
        <v>87</v>
      </c>
      <c r="D1132">
        <v>194</v>
      </c>
      <c r="J1132" s="52">
        <v>59300</v>
      </c>
    </row>
    <row r="1133" spans="1:10" hidden="1" x14ac:dyDescent="0.35">
      <c r="A1133" s="2">
        <v>44985</v>
      </c>
      <c r="C1133" t="s">
        <v>90</v>
      </c>
      <c r="D1133">
        <v>370</v>
      </c>
      <c r="J1133" s="52">
        <v>13000</v>
      </c>
    </row>
    <row r="1134" spans="1:10" hidden="1" x14ac:dyDescent="0.35">
      <c r="A1134" s="51">
        <v>44985</v>
      </c>
      <c r="B1134" t="s">
        <v>71</v>
      </c>
      <c r="C1134" t="s">
        <v>20</v>
      </c>
      <c r="E1134">
        <v>30</v>
      </c>
      <c r="F1134">
        <v>10</v>
      </c>
      <c r="G1134">
        <v>24</v>
      </c>
      <c r="H1134">
        <v>3</v>
      </c>
      <c r="I1134" s="24">
        <v>15</v>
      </c>
      <c r="J1134" s="52"/>
    </row>
    <row r="1135" spans="1:10" hidden="1" x14ac:dyDescent="0.35">
      <c r="A1135" s="2">
        <v>44985</v>
      </c>
      <c r="B1135" t="s">
        <v>36</v>
      </c>
      <c r="C1135" t="s">
        <v>20</v>
      </c>
      <c r="E1135">
        <v>43</v>
      </c>
      <c r="F1135">
        <v>15</v>
      </c>
      <c r="G1135">
        <v>55</v>
      </c>
      <c r="H1135">
        <v>5</v>
      </c>
      <c r="I1135" s="24">
        <v>24</v>
      </c>
      <c r="J1135" s="52"/>
    </row>
    <row r="1136" spans="1:10" hidden="1" x14ac:dyDescent="0.35">
      <c r="A1136" s="51">
        <v>44985</v>
      </c>
      <c r="B1136" t="s">
        <v>70</v>
      </c>
      <c r="C1136" t="s">
        <v>20</v>
      </c>
      <c r="E1136">
        <v>1</v>
      </c>
      <c r="F1136">
        <v>0</v>
      </c>
      <c r="G1136">
        <v>2</v>
      </c>
      <c r="H1136">
        <v>0</v>
      </c>
      <c r="I1136" s="24">
        <v>1</v>
      </c>
      <c r="J1136" s="52"/>
    </row>
    <row r="1137" spans="1:10" hidden="1" x14ac:dyDescent="0.35">
      <c r="A1137" s="2">
        <v>44985</v>
      </c>
      <c r="B1137" t="s">
        <v>70</v>
      </c>
      <c r="C1137" t="s">
        <v>26</v>
      </c>
      <c r="E1137">
        <v>25</v>
      </c>
      <c r="F1137">
        <v>0</v>
      </c>
      <c r="G1137">
        <v>21</v>
      </c>
      <c r="H1137">
        <v>0</v>
      </c>
      <c r="I1137" s="24">
        <v>15</v>
      </c>
      <c r="J1137" s="52"/>
    </row>
    <row r="1138" spans="1:10" hidden="1" x14ac:dyDescent="0.35">
      <c r="A1138" s="51">
        <v>44985</v>
      </c>
      <c r="B1138" t="s">
        <v>38</v>
      </c>
      <c r="C1138" t="s">
        <v>18</v>
      </c>
      <c r="E1138">
        <v>42</v>
      </c>
      <c r="F1138">
        <v>14</v>
      </c>
      <c r="G1138">
        <v>48</v>
      </c>
      <c r="H1138">
        <v>23</v>
      </c>
      <c r="I1138" s="24">
        <v>21</v>
      </c>
      <c r="J1138" s="52"/>
    </row>
    <row r="1139" spans="1:10" hidden="1" x14ac:dyDescent="0.35">
      <c r="A1139" s="2">
        <v>44985</v>
      </c>
      <c r="B1139" t="s">
        <v>86</v>
      </c>
      <c r="C1139" t="s">
        <v>18</v>
      </c>
      <c r="E1139">
        <v>41</v>
      </c>
      <c r="F1139">
        <v>17</v>
      </c>
      <c r="G1139">
        <v>12</v>
      </c>
      <c r="H1139">
        <v>7</v>
      </c>
      <c r="I1139" s="24">
        <v>13</v>
      </c>
      <c r="J1139" s="52"/>
    </row>
    <row r="1140" spans="1:10" hidden="1" x14ac:dyDescent="0.35">
      <c r="A1140" s="51">
        <v>44985</v>
      </c>
      <c r="B1140" t="s">
        <v>13</v>
      </c>
      <c r="C1140" t="s">
        <v>25</v>
      </c>
      <c r="E1140">
        <v>41</v>
      </c>
      <c r="F1140">
        <v>0</v>
      </c>
      <c r="G1140">
        <v>26</v>
      </c>
      <c r="H1140">
        <v>2</v>
      </c>
      <c r="I1140" s="24">
        <v>14</v>
      </c>
      <c r="J1140" s="52"/>
    </row>
    <row r="1141" spans="1:10" hidden="1" x14ac:dyDescent="0.35">
      <c r="A1141" s="2">
        <v>44985</v>
      </c>
      <c r="B1141" t="s">
        <v>13</v>
      </c>
      <c r="C1141" t="s">
        <v>23</v>
      </c>
      <c r="E1141">
        <v>16</v>
      </c>
      <c r="F1141">
        <v>0</v>
      </c>
      <c r="G1141">
        <v>8</v>
      </c>
      <c r="H1141">
        <v>4</v>
      </c>
      <c r="I1141" s="24">
        <v>5</v>
      </c>
      <c r="J1141" s="52"/>
    </row>
    <row r="1142" spans="1:10" hidden="1" x14ac:dyDescent="0.35">
      <c r="A1142" s="51">
        <v>44985</v>
      </c>
      <c r="B1142" t="s">
        <v>41</v>
      </c>
      <c r="C1142" t="s">
        <v>23</v>
      </c>
      <c r="E1142">
        <v>22</v>
      </c>
      <c r="F1142">
        <v>2</v>
      </c>
      <c r="G1142">
        <v>3</v>
      </c>
      <c r="H1142">
        <v>0</v>
      </c>
      <c r="I1142" s="24">
        <v>6</v>
      </c>
      <c r="J1142" s="52"/>
    </row>
    <row r="1143" spans="1:10" hidden="1" x14ac:dyDescent="0.35">
      <c r="A1143" s="2">
        <v>44985</v>
      </c>
      <c r="B1143" t="s">
        <v>41</v>
      </c>
      <c r="C1143" t="s">
        <v>24</v>
      </c>
      <c r="E1143">
        <v>30</v>
      </c>
      <c r="F1143">
        <v>4</v>
      </c>
      <c r="G1143">
        <v>18</v>
      </c>
      <c r="H1143">
        <v>1</v>
      </c>
      <c r="I1143" s="24">
        <v>5</v>
      </c>
      <c r="J1143" s="52"/>
    </row>
    <row r="1144" spans="1:10" hidden="1" x14ac:dyDescent="0.35">
      <c r="A1144" s="51">
        <v>44985</v>
      </c>
      <c r="B1144" t="s">
        <v>12</v>
      </c>
      <c r="C1144" t="s">
        <v>24</v>
      </c>
      <c r="E1144">
        <v>7</v>
      </c>
      <c r="F1144">
        <v>0</v>
      </c>
      <c r="G1144">
        <v>18</v>
      </c>
      <c r="H1144">
        <v>1</v>
      </c>
      <c r="I1144" s="24">
        <v>13</v>
      </c>
      <c r="J1144" s="52"/>
    </row>
    <row r="1145" spans="1:10" hidden="1" x14ac:dyDescent="0.35">
      <c r="A1145" s="2">
        <v>44985</v>
      </c>
      <c r="B1145" t="s">
        <v>12</v>
      </c>
      <c r="C1145" t="s">
        <v>37</v>
      </c>
      <c r="E1145">
        <v>21</v>
      </c>
      <c r="F1145">
        <v>1</v>
      </c>
      <c r="G1145">
        <v>22</v>
      </c>
      <c r="H1145">
        <v>0</v>
      </c>
      <c r="I1145" s="24">
        <v>9</v>
      </c>
      <c r="J1145" s="52"/>
    </row>
    <row r="1146" spans="1:10" hidden="1" x14ac:dyDescent="0.35">
      <c r="A1146" s="51">
        <v>44985</v>
      </c>
      <c r="B1146" t="s">
        <v>17</v>
      </c>
      <c r="C1146" t="s">
        <v>37</v>
      </c>
      <c r="E1146">
        <v>19</v>
      </c>
      <c r="F1146">
        <v>7</v>
      </c>
      <c r="G1146">
        <v>27</v>
      </c>
      <c r="H1146">
        <v>2</v>
      </c>
      <c r="I1146" s="24">
        <v>8</v>
      </c>
      <c r="J1146" s="52"/>
    </row>
    <row r="1147" spans="1:10" hidden="1" x14ac:dyDescent="0.35">
      <c r="A1147" s="2">
        <v>44985</v>
      </c>
      <c r="B1147" t="s">
        <v>50</v>
      </c>
      <c r="C1147" t="s">
        <v>37</v>
      </c>
      <c r="E1147">
        <v>30</v>
      </c>
      <c r="F1147">
        <v>8</v>
      </c>
      <c r="G1147">
        <v>19</v>
      </c>
      <c r="H1147">
        <v>0</v>
      </c>
      <c r="I1147" s="24">
        <v>8</v>
      </c>
      <c r="J1147" s="52"/>
    </row>
    <row r="1148" spans="1:10" hidden="1" x14ac:dyDescent="0.35">
      <c r="A1148" s="51">
        <v>44985</v>
      </c>
      <c r="B1148" t="s">
        <v>40</v>
      </c>
      <c r="C1148" t="s">
        <v>19</v>
      </c>
      <c r="E1148">
        <v>32</v>
      </c>
      <c r="F1148">
        <v>1</v>
      </c>
      <c r="G1148">
        <v>54</v>
      </c>
      <c r="H1148">
        <v>3</v>
      </c>
      <c r="I1148" s="24">
        <v>17</v>
      </c>
      <c r="J1148" s="52"/>
    </row>
    <row r="1149" spans="1:10" hidden="1" x14ac:dyDescent="0.35">
      <c r="A1149" s="2">
        <v>44985</v>
      </c>
      <c r="B1149" t="s">
        <v>42</v>
      </c>
      <c r="C1149" t="s">
        <v>19</v>
      </c>
      <c r="E1149">
        <v>29</v>
      </c>
      <c r="F1149">
        <v>3</v>
      </c>
      <c r="G1149">
        <v>33</v>
      </c>
      <c r="H1149">
        <v>3</v>
      </c>
      <c r="I1149" s="24">
        <v>9</v>
      </c>
      <c r="J1149" s="52"/>
    </row>
    <row r="1150" spans="1:10" hidden="1" x14ac:dyDescent="0.35">
      <c r="A1150" s="51">
        <v>44985</v>
      </c>
      <c r="B1150" t="s">
        <v>66</v>
      </c>
      <c r="C1150" t="s">
        <v>22</v>
      </c>
      <c r="E1150">
        <v>25</v>
      </c>
      <c r="F1150">
        <v>4</v>
      </c>
      <c r="G1150">
        <v>17</v>
      </c>
      <c r="H1150">
        <v>4</v>
      </c>
      <c r="I1150" s="24">
        <v>15</v>
      </c>
      <c r="J1150" s="52"/>
    </row>
    <row r="1151" spans="1:10" hidden="1" x14ac:dyDescent="0.35">
      <c r="A1151" s="2">
        <v>44985</v>
      </c>
      <c r="B1151" t="s">
        <v>43</v>
      </c>
      <c r="C1151" t="s">
        <v>27</v>
      </c>
      <c r="E1151">
        <v>53</v>
      </c>
      <c r="F1151">
        <v>0</v>
      </c>
      <c r="G1151">
        <v>44</v>
      </c>
      <c r="H1151">
        <v>0</v>
      </c>
      <c r="I1151" s="24">
        <v>24</v>
      </c>
      <c r="J1151" s="52"/>
    </row>
    <row r="1152" spans="1:10" hidden="1" x14ac:dyDescent="0.35">
      <c r="A1152" s="2">
        <v>44985</v>
      </c>
      <c r="B1152" t="s">
        <v>84</v>
      </c>
      <c r="C1152" t="s">
        <v>27</v>
      </c>
      <c r="E1152">
        <v>6</v>
      </c>
      <c r="F1152">
        <v>0</v>
      </c>
      <c r="G1152">
        <v>2</v>
      </c>
      <c r="H1152">
        <v>0</v>
      </c>
      <c r="I1152" s="24">
        <v>3</v>
      </c>
      <c r="J1152" s="52"/>
    </row>
    <row r="1153" spans="1:10" hidden="1" x14ac:dyDescent="0.35">
      <c r="A1153" s="51">
        <v>44985</v>
      </c>
      <c r="B1153" t="s">
        <v>17</v>
      </c>
      <c r="C1153" t="s">
        <v>9</v>
      </c>
      <c r="E1153">
        <v>28</v>
      </c>
      <c r="F1153">
        <v>0</v>
      </c>
      <c r="G1153">
        <v>33</v>
      </c>
      <c r="H1153">
        <v>0</v>
      </c>
      <c r="I1153" s="24">
        <v>11</v>
      </c>
      <c r="J1153" s="52"/>
    </row>
    <row r="1154" spans="1:10" hidden="1" x14ac:dyDescent="0.35">
      <c r="A1154" s="2">
        <v>44985</v>
      </c>
      <c r="B1154" t="s">
        <v>14</v>
      </c>
      <c r="C1154" t="s">
        <v>21</v>
      </c>
      <c r="E1154">
        <v>13</v>
      </c>
      <c r="F1154">
        <v>35</v>
      </c>
      <c r="G1154">
        <v>20</v>
      </c>
      <c r="H1154">
        <v>14</v>
      </c>
      <c r="I1154" s="24">
        <v>16</v>
      </c>
      <c r="J1154" s="52"/>
    </row>
    <row r="1155" spans="1:10" hidden="1" x14ac:dyDescent="0.35">
      <c r="A1155" s="51">
        <v>44985</v>
      </c>
      <c r="B1155" t="s">
        <v>72</v>
      </c>
      <c r="C1155" t="s">
        <v>54</v>
      </c>
      <c r="E1155">
        <v>26</v>
      </c>
      <c r="F1155">
        <v>4</v>
      </c>
      <c r="G1155">
        <v>8</v>
      </c>
      <c r="H1155">
        <v>17</v>
      </c>
      <c r="I1155" s="24">
        <v>5</v>
      </c>
      <c r="J1155" s="52"/>
    </row>
    <row r="1156" spans="1:10" hidden="1" x14ac:dyDescent="0.35">
      <c r="A1156" s="2">
        <v>44985</v>
      </c>
      <c r="B1156" t="s">
        <v>57</v>
      </c>
      <c r="C1156" t="s">
        <v>55</v>
      </c>
      <c r="E1156">
        <v>23</v>
      </c>
      <c r="F1156">
        <v>21</v>
      </c>
      <c r="G1156">
        <v>9</v>
      </c>
      <c r="H1156">
        <v>6</v>
      </c>
      <c r="I1156" s="53">
        <v>6</v>
      </c>
      <c r="J1156" s="52"/>
    </row>
    <row r="1157" spans="1:10" hidden="1" x14ac:dyDescent="0.35">
      <c r="A1157" s="51">
        <v>44985</v>
      </c>
      <c r="B1157" t="s">
        <v>65</v>
      </c>
      <c r="C1157" t="s">
        <v>58</v>
      </c>
      <c r="E1157">
        <v>31</v>
      </c>
      <c r="F1157">
        <v>14</v>
      </c>
      <c r="G1157">
        <v>10</v>
      </c>
      <c r="H1157">
        <v>22</v>
      </c>
      <c r="I1157" s="24">
        <v>14</v>
      </c>
      <c r="J1157" s="52"/>
    </row>
    <row r="1158" spans="1:10" hidden="1" x14ac:dyDescent="0.35">
      <c r="A1158" s="2">
        <v>44985</v>
      </c>
      <c r="B1158" t="s">
        <v>64</v>
      </c>
      <c r="C1158" t="s">
        <v>62</v>
      </c>
      <c r="E1158">
        <v>30</v>
      </c>
      <c r="F1158">
        <v>7</v>
      </c>
      <c r="G1158">
        <v>19</v>
      </c>
      <c r="H1158">
        <v>15</v>
      </c>
      <c r="I1158" s="24">
        <v>11</v>
      </c>
      <c r="J1158" s="52"/>
    </row>
    <row r="1159" spans="1:10" hidden="1" x14ac:dyDescent="0.35">
      <c r="A1159" s="51">
        <v>44985</v>
      </c>
      <c r="B1159" t="s">
        <v>75</v>
      </c>
      <c r="C1159" t="s">
        <v>61</v>
      </c>
      <c r="E1159">
        <v>48</v>
      </c>
      <c r="F1159">
        <v>8</v>
      </c>
      <c r="G1159">
        <v>23</v>
      </c>
      <c r="H1159">
        <v>4</v>
      </c>
      <c r="I1159" s="24">
        <v>15</v>
      </c>
      <c r="J1159" s="52"/>
    </row>
    <row r="1160" spans="1:10" hidden="1" x14ac:dyDescent="0.35">
      <c r="A1160" s="2">
        <v>44985</v>
      </c>
      <c r="B1160" t="s">
        <v>69</v>
      </c>
      <c r="C1160" t="s">
        <v>63</v>
      </c>
      <c r="E1160">
        <v>8</v>
      </c>
      <c r="F1160">
        <v>0</v>
      </c>
      <c r="G1160">
        <v>7</v>
      </c>
      <c r="H1160">
        <v>3</v>
      </c>
      <c r="I1160" s="24">
        <v>15</v>
      </c>
      <c r="J1160" s="52"/>
    </row>
    <row r="1161" spans="1:10" hidden="1" x14ac:dyDescent="0.35">
      <c r="A1161" s="51">
        <v>44985</v>
      </c>
      <c r="B1161" t="s">
        <v>77</v>
      </c>
      <c r="C1161" t="s">
        <v>73</v>
      </c>
      <c r="E1161">
        <v>18</v>
      </c>
      <c r="F1161">
        <v>16</v>
      </c>
      <c r="G1161">
        <v>17</v>
      </c>
      <c r="H1161">
        <v>12</v>
      </c>
      <c r="I1161" s="24">
        <v>15</v>
      </c>
      <c r="J1161" s="52"/>
    </row>
    <row r="1162" spans="1:10" hidden="1" x14ac:dyDescent="0.35">
      <c r="A1162" s="2">
        <v>44985</v>
      </c>
      <c r="B1162" t="s">
        <v>71</v>
      </c>
      <c r="C1162" t="s">
        <v>81</v>
      </c>
      <c r="E1162">
        <v>10</v>
      </c>
      <c r="F1162">
        <v>5</v>
      </c>
      <c r="G1162">
        <v>13</v>
      </c>
      <c r="H1162">
        <v>0</v>
      </c>
      <c r="I1162" s="24">
        <v>4</v>
      </c>
      <c r="J1162" s="52"/>
    </row>
    <row r="1163" spans="1:10" hidden="1" x14ac:dyDescent="0.35">
      <c r="A1163" s="2">
        <v>44985</v>
      </c>
      <c r="B1163" t="s">
        <v>85</v>
      </c>
      <c r="C1163" t="s">
        <v>83</v>
      </c>
      <c r="E1163">
        <v>33</v>
      </c>
      <c r="F1163">
        <v>6</v>
      </c>
      <c r="G1163">
        <v>9</v>
      </c>
      <c r="H1163">
        <v>1</v>
      </c>
      <c r="I1163" s="24">
        <v>9</v>
      </c>
      <c r="J1163" s="52"/>
    </row>
    <row r="1164" spans="1:10" hidden="1" x14ac:dyDescent="0.35">
      <c r="A1164" s="51">
        <v>44985</v>
      </c>
      <c r="B1164" t="s">
        <v>88</v>
      </c>
      <c r="C1164" t="s">
        <v>76</v>
      </c>
      <c r="E1164">
        <v>6</v>
      </c>
      <c r="F1164">
        <v>4</v>
      </c>
      <c r="G1164">
        <v>5</v>
      </c>
      <c r="H1164">
        <v>1</v>
      </c>
      <c r="I1164" s="24">
        <v>5</v>
      </c>
      <c r="J1164" s="52"/>
    </row>
    <row r="1165" spans="1:10" hidden="1" x14ac:dyDescent="0.35">
      <c r="A1165" s="2">
        <v>44985</v>
      </c>
      <c r="B1165" t="s">
        <v>89</v>
      </c>
      <c r="C1165" t="s">
        <v>87</v>
      </c>
      <c r="E1165">
        <v>16</v>
      </c>
      <c r="F1165">
        <v>3</v>
      </c>
      <c r="G1165">
        <v>6</v>
      </c>
      <c r="H1165">
        <v>0</v>
      </c>
      <c r="I1165" s="24">
        <v>4</v>
      </c>
      <c r="J1165" s="52"/>
    </row>
    <row r="1166" spans="1:10" hidden="1" x14ac:dyDescent="0.35">
      <c r="A1166" s="2">
        <v>44985</v>
      </c>
      <c r="B1166" t="s">
        <v>93</v>
      </c>
      <c r="C1166" t="s">
        <v>90</v>
      </c>
      <c r="E1166">
        <v>10</v>
      </c>
      <c r="F1166">
        <v>5</v>
      </c>
      <c r="G1166">
        <v>0</v>
      </c>
      <c r="H1166">
        <v>0</v>
      </c>
      <c r="I1166" s="24">
        <v>1</v>
      </c>
      <c r="J1166" s="52"/>
    </row>
    <row r="1167" spans="1:10" hidden="1" x14ac:dyDescent="0.35">
      <c r="A1167" s="2">
        <v>45016</v>
      </c>
      <c r="C1167" t="s">
        <v>24</v>
      </c>
      <c r="D1167">
        <v>486</v>
      </c>
      <c r="J1167" s="58">
        <v>254300</v>
      </c>
    </row>
    <row r="1168" spans="1:10" hidden="1" x14ac:dyDescent="0.35">
      <c r="A1168" s="51">
        <v>45016</v>
      </c>
      <c r="C1168" t="s">
        <v>9</v>
      </c>
      <c r="D1168">
        <v>284</v>
      </c>
      <c r="J1168" s="58">
        <v>138350</v>
      </c>
    </row>
    <row r="1169" spans="1:10" hidden="1" x14ac:dyDescent="0.35">
      <c r="A1169" s="2">
        <v>45016</v>
      </c>
      <c r="C1169" t="s">
        <v>37</v>
      </c>
      <c r="D1169">
        <v>639</v>
      </c>
      <c r="J1169" s="58">
        <v>483550</v>
      </c>
    </row>
    <row r="1170" spans="1:10" hidden="1" x14ac:dyDescent="0.35">
      <c r="A1170" s="51">
        <v>45016</v>
      </c>
      <c r="C1170" t="s">
        <v>23</v>
      </c>
      <c r="D1170">
        <v>394</v>
      </c>
      <c r="J1170" s="58">
        <v>135150</v>
      </c>
    </row>
    <row r="1171" spans="1:10" hidden="1" x14ac:dyDescent="0.35">
      <c r="A1171" s="2">
        <v>45016</v>
      </c>
      <c r="C1171" t="s">
        <v>27</v>
      </c>
      <c r="D1171">
        <v>437</v>
      </c>
      <c r="J1171" s="58">
        <v>345650</v>
      </c>
    </row>
    <row r="1172" spans="1:10" hidden="1" x14ac:dyDescent="0.35">
      <c r="A1172" s="51">
        <v>45016</v>
      </c>
      <c r="C1172" t="s">
        <v>26</v>
      </c>
      <c r="D1172">
        <v>287</v>
      </c>
      <c r="J1172" s="58">
        <v>199450</v>
      </c>
    </row>
    <row r="1173" spans="1:10" hidden="1" x14ac:dyDescent="0.35">
      <c r="A1173" s="2">
        <v>45016</v>
      </c>
      <c r="C1173" t="s">
        <v>20</v>
      </c>
      <c r="D1173">
        <v>557</v>
      </c>
      <c r="J1173" s="58">
        <v>705150</v>
      </c>
    </row>
    <row r="1174" spans="1:10" hidden="1" x14ac:dyDescent="0.35">
      <c r="A1174" s="51">
        <v>45016</v>
      </c>
      <c r="C1174" t="s">
        <v>25</v>
      </c>
      <c r="D1174">
        <v>328</v>
      </c>
      <c r="J1174" s="58">
        <v>254850</v>
      </c>
    </row>
    <row r="1175" spans="1:10" hidden="1" x14ac:dyDescent="0.35">
      <c r="A1175" s="2">
        <v>45016</v>
      </c>
      <c r="C1175" t="s">
        <v>19</v>
      </c>
      <c r="D1175">
        <v>334</v>
      </c>
      <c r="J1175" s="58">
        <v>393200</v>
      </c>
    </row>
    <row r="1176" spans="1:10" hidden="1" x14ac:dyDescent="0.35">
      <c r="A1176" s="51">
        <v>45016</v>
      </c>
      <c r="C1176" t="s">
        <v>21</v>
      </c>
      <c r="D1176">
        <v>412</v>
      </c>
      <c r="J1176" s="58">
        <v>228400</v>
      </c>
    </row>
    <row r="1177" spans="1:10" hidden="1" x14ac:dyDescent="0.35">
      <c r="A1177" s="2">
        <v>45016</v>
      </c>
      <c r="C1177" t="s">
        <v>18</v>
      </c>
      <c r="D1177">
        <v>559</v>
      </c>
      <c r="J1177" s="58">
        <v>383800</v>
      </c>
    </row>
    <row r="1178" spans="1:10" hidden="1" x14ac:dyDescent="0.35">
      <c r="A1178" s="51">
        <v>45016</v>
      </c>
      <c r="C1178" t="s">
        <v>22</v>
      </c>
      <c r="D1178">
        <v>280</v>
      </c>
      <c r="J1178" s="58">
        <v>159450</v>
      </c>
    </row>
    <row r="1179" spans="1:10" hidden="1" x14ac:dyDescent="0.35">
      <c r="A1179" s="2">
        <v>45016</v>
      </c>
      <c r="C1179" t="s">
        <v>54</v>
      </c>
      <c r="D1179">
        <v>280</v>
      </c>
      <c r="J1179" s="58">
        <v>140550</v>
      </c>
    </row>
    <row r="1180" spans="1:10" hidden="1" x14ac:dyDescent="0.35">
      <c r="A1180" s="51">
        <v>45016</v>
      </c>
      <c r="C1180" t="s">
        <v>55</v>
      </c>
      <c r="D1180">
        <v>501</v>
      </c>
      <c r="J1180" s="58">
        <v>197440</v>
      </c>
    </row>
    <row r="1181" spans="1:10" hidden="1" x14ac:dyDescent="0.35">
      <c r="A1181" s="2">
        <v>45016</v>
      </c>
      <c r="C1181" t="s">
        <v>58</v>
      </c>
      <c r="D1181">
        <v>502</v>
      </c>
      <c r="J1181" s="58">
        <v>210900</v>
      </c>
    </row>
    <row r="1182" spans="1:10" hidden="1" x14ac:dyDescent="0.35">
      <c r="A1182" s="51">
        <v>45016</v>
      </c>
      <c r="C1182" t="s">
        <v>62</v>
      </c>
      <c r="D1182">
        <v>377</v>
      </c>
      <c r="J1182" s="58">
        <v>152600</v>
      </c>
    </row>
    <row r="1183" spans="1:10" hidden="1" x14ac:dyDescent="0.35">
      <c r="A1183" s="2">
        <v>45016</v>
      </c>
      <c r="C1183" t="s">
        <v>61</v>
      </c>
      <c r="D1183">
        <v>350</v>
      </c>
      <c r="J1183" s="58">
        <v>180940</v>
      </c>
    </row>
    <row r="1184" spans="1:10" hidden="1" x14ac:dyDescent="0.35">
      <c r="A1184" s="51">
        <v>45016</v>
      </c>
      <c r="C1184" t="s">
        <v>63</v>
      </c>
      <c r="D1184">
        <v>223</v>
      </c>
      <c r="J1184" s="58">
        <v>298000</v>
      </c>
    </row>
    <row r="1185" spans="1:10" hidden="1" x14ac:dyDescent="0.35">
      <c r="A1185" s="2">
        <v>45016</v>
      </c>
      <c r="C1185" t="s">
        <v>73</v>
      </c>
      <c r="D1185">
        <v>296</v>
      </c>
      <c r="J1185" s="58">
        <v>167350</v>
      </c>
    </row>
    <row r="1186" spans="1:10" hidden="1" x14ac:dyDescent="0.35">
      <c r="A1186" s="51">
        <v>45016</v>
      </c>
      <c r="C1186" t="s">
        <v>76</v>
      </c>
      <c r="D1186">
        <v>325</v>
      </c>
      <c r="J1186" s="58">
        <v>28550</v>
      </c>
    </row>
    <row r="1187" spans="1:10" hidden="1" x14ac:dyDescent="0.35">
      <c r="A1187" s="2">
        <v>45016</v>
      </c>
      <c r="C1187" t="s">
        <v>81</v>
      </c>
      <c r="D1187">
        <v>342</v>
      </c>
      <c r="J1187" s="58">
        <v>81950</v>
      </c>
    </row>
    <row r="1188" spans="1:10" hidden="1" x14ac:dyDescent="0.35">
      <c r="A1188" s="51">
        <v>45016</v>
      </c>
      <c r="C1188" t="s">
        <v>83</v>
      </c>
      <c r="D1188">
        <v>232</v>
      </c>
      <c r="J1188" s="58">
        <v>79500</v>
      </c>
    </row>
    <row r="1189" spans="1:10" hidden="1" x14ac:dyDescent="0.35">
      <c r="A1189" s="2">
        <v>45016</v>
      </c>
      <c r="C1189" t="s">
        <v>87</v>
      </c>
      <c r="D1189">
        <v>197</v>
      </c>
      <c r="J1189" s="58">
        <v>83400</v>
      </c>
    </row>
    <row r="1190" spans="1:10" hidden="1" x14ac:dyDescent="0.35">
      <c r="A1190" s="51">
        <v>45016</v>
      </c>
      <c r="C1190" t="s">
        <v>90</v>
      </c>
      <c r="D1190">
        <v>316</v>
      </c>
      <c r="J1190" s="58">
        <v>25500</v>
      </c>
    </row>
    <row r="1191" spans="1:10" hidden="1" x14ac:dyDescent="0.35">
      <c r="A1191" s="51">
        <v>45016</v>
      </c>
      <c r="C1191" t="s">
        <v>91</v>
      </c>
      <c r="D1191">
        <v>300</v>
      </c>
      <c r="J1191" s="58">
        <v>36990</v>
      </c>
    </row>
    <row r="1192" spans="1:10" hidden="1" x14ac:dyDescent="0.35">
      <c r="A1192" s="2">
        <v>45016</v>
      </c>
      <c r="B1192" t="s">
        <v>71</v>
      </c>
      <c r="C1192" t="s">
        <v>20</v>
      </c>
      <c r="E1192">
        <v>31</v>
      </c>
      <c r="F1192">
        <v>8</v>
      </c>
      <c r="G1192">
        <v>27</v>
      </c>
      <c r="H1192">
        <v>3</v>
      </c>
      <c r="I1192">
        <v>15</v>
      </c>
      <c r="J1192" s="52"/>
    </row>
    <row r="1193" spans="1:10" hidden="1" x14ac:dyDescent="0.35">
      <c r="A1193" s="51">
        <v>45016</v>
      </c>
      <c r="B1193" t="s">
        <v>36</v>
      </c>
      <c r="C1193" t="s">
        <v>20</v>
      </c>
      <c r="E1193">
        <v>47</v>
      </c>
      <c r="F1193">
        <v>9</v>
      </c>
      <c r="G1193">
        <v>66</v>
      </c>
      <c r="H1193">
        <v>12</v>
      </c>
      <c r="I1193">
        <v>35</v>
      </c>
      <c r="J1193" s="52"/>
    </row>
    <row r="1194" spans="1:10" hidden="1" x14ac:dyDescent="0.35">
      <c r="A1194" s="51">
        <v>45016</v>
      </c>
      <c r="B1194" t="s">
        <v>70</v>
      </c>
      <c r="C1194" t="s">
        <v>26</v>
      </c>
      <c r="E1194">
        <v>47</v>
      </c>
      <c r="F1194">
        <v>1</v>
      </c>
      <c r="G1194">
        <v>50</v>
      </c>
      <c r="H1194">
        <v>0</v>
      </c>
      <c r="I1194">
        <v>16</v>
      </c>
      <c r="J1194" s="52"/>
    </row>
    <row r="1195" spans="1:10" hidden="1" x14ac:dyDescent="0.35">
      <c r="A1195" s="2">
        <v>45016</v>
      </c>
      <c r="B1195" t="s">
        <v>38</v>
      </c>
      <c r="C1195" t="s">
        <v>18</v>
      </c>
      <c r="E1195">
        <v>63</v>
      </c>
      <c r="F1195">
        <v>27</v>
      </c>
      <c r="G1195">
        <v>50</v>
      </c>
      <c r="H1195">
        <v>23</v>
      </c>
      <c r="I1195">
        <v>14</v>
      </c>
      <c r="J1195" s="52"/>
    </row>
    <row r="1196" spans="1:10" hidden="1" x14ac:dyDescent="0.35">
      <c r="A1196" s="51">
        <v>45016</v>
      </c>
      <c r="B1196" t="s">
        <v>86</v>
      </c>
      <c r="C1196" t="s">
        <v>18</v>
      </c>
      <c r="E1196">
        <v>29</v>
      </c>
      <c r="F1196">
        <v>17</v>
      </c>
      <c r="G1196">
        <v>14</v>
      </c>
      <c r="H1196">
        <v>5</v>
      </c>
      <c r="I1196">
        <v>14</v>
      </c>
      <c r="J1196" s="52"/>
    </row>
    <row r="1197" spans="1:10" hidden="1" x14ac:dyDescent="0.35">
      <c r="A1197" s="2">
        <v>45016</v>
      </c>
      <c r="B1197" t="s">
        <v>13</v>
      </c>
      <c r="C1197" t="s">
        <v>25</v>
      </c>
      <c r="E1197">
        <v>52</v>
      </c>
      <c r="F1197">
        <v>3</v>
      </c>
      <c r="G1197">
        <v>44</v>
      </c>
      <c r="H1197">
        <v>7</v>
      </c>
      <c r="I1197">
        <v>19</v>
      </c>
      <c r="J1197" s="52"/>
    </row>
    <row r="1198" spans="1:10" hidden="1" x14ac:dyDescent="0.35">
      <c r="A1198" s="51">
        <v>45016</v>
      </c>
      <c r="B1198" t="s">
        <v>13</v>
      </c>
      <c r="C1198" t="s">
        <v>23</v>
      </c>
      <c r="E1198">
        <v>25</v>
      </c>
      <c r="F1198">
        <v>0</v>
      </c>
      <c r="G1198">
        <v>18</v>
      </c>
      <c r="H1198">
        <v>8</v>
      </c>
      <c r="I1198">
        <v>7</v>
      </c>
      <c r="J1198" s="52"/>
    </row>
    <row r="1199" spans="1:10" hidden="1" x14ac:dyDescent="0.35">
      <c r="A1199" s="2">
        <v>45016</v>
      </c>
      <c r="B1199" t="s">
        <v>41</v>
      </c>
      <c r="C1199" t="s">
        <v>23</v>
      </c>
      <c r="E1199">
        <v>23</v>
      </c>
      <c r="F1199">
        <v>3</v>
      </c>
      <c r="G1199">
        <v>6</v>
      </c>
      <c r="H1199">
        <v>0</v>
      </c>
      <c r="I1199">
        <v>3</v>
      </c>
      <c r="J1199" s="52"/>
    </row>
    <row r="1200" spans="1:10" hidden="1" x14ac:dyDescent="0.35">
      <c r="A1200" s="51">
        <v>45016</v>
      </c>
      <c r="B1200" t="s">
        <v>41</v>
      </c>
      <c r="C1200" t="s">
        <v>24</v>
      </c>
      <c r="E1200">
        <v>21</v>
      </c>
      <c r="F1200">
        <v>5</v>
      </c>
      <c r="G1200">
        <v>29</v>
      </c>
      <c r="H1200">
        <v>1</v>
      </c>
      <c r="I1200">
        <v>10</v>
      </c>
      <c r="J1200" s="52"/>
    </row>
    <row r="1201" spans="1:10" hidden="1" x14ac:dyDescent="0.35">
      <c r="A1201" s="2">
        <v>45016</v>
      </c>
      <c r="B1201" t="s">
        <v>12</v>
      </c>
      <c r="C1201" t="s">
        <v>24</v>
      </c>
      <c r="E1201">
        <v>1</v>
      </c>
      <c r="F1201">
        <v>1</v>
      </c>
      <c r="G1201">
        <v>21</v>
      </c>
      <c r="H1201">
        <v>1</v>
      </c>
      <c r="I1201">
        <v>8</v>
      </c>
      <c r="J1201" s="52"/>
    </row>
    <row r="1202" spans="1:10" hidden="1" x14ac:dyDescent="0.35">
      <c r="A1202" s="2">
        <v>45016</v>
      </c>
      <c r="B1202" t="s">
        <v>96</v>
      </c>
      <c r="C1202" t="s">
        <v>24</v>
      </c>
      <c r="E1202">
        <v>22</v>
      </c>
      <c r="F1202">
        <v>0</v>
      </c>
      <c r="G1202">
        <v>2</v>
      </c>
      <c r="H1202">
        <v>0</v>
      </c>
      <c r="I1202">
        <v>2</v>
      </c>
      <c r="J1202" s="52"/>
    </row>
    <row r="1203" spans="1:10" hidden="1" x14ac:dyDescent="0.35">
      <c r="A1203" s="51">
        <v>45016</v>
      </c>
      <c r="B1203" t="s">
        <v>12</v>
      </c>
      <c r="C1203" t="s">
        <v>37</v>
      </c>
      <c r="E1203">
        <v>17</v>
      </c>
      <c r="F1203">
        <v>1</v>
      </c>
      <c r="G1203">
        <v>51</v>
      </c>
      <c r="H1203">
        <v>11</v>
      </c>
      <c r="I1203">
        <v>16</v>
      </c>
      <c r="J1203" s="52"/>
    </row>
    <row r="1204" spans="1:10" hidden="1" x14ac:dyDescent="0.35">
      <c r="A1204" s="2">
        <v>45016</v>
      </c>
      <c r="B1204" t="s">
        <v>17</v>
      </c>
      <c r="C1204" t="s">
        <v>37</v>
      </c>
      <c r="E1204">
        <v>20</v>
      </c>
      <c r="F1204">
        <v>5</v>
      </c>
      <c r="G1204">
        <v>18</v>
      </c>
      <c r="H1204">
        <v>1</v>
      </c>
      <c r="I1204">
        <v>6</v>
      </c>
      <c r="J1204" s="52"/>
    </row>
    <row r="1205" spans="1:10" hidden="1" x14ac:dyDescent="0.35">
      <c r="A1205" s="51">
        <v>45016</v>
      </c>
      <c r="B1205" t="s">
        <v>50</v>
      </c>
      <c r="C1205" t="s">
        <v>37</v>
      </c>
      <c r="E1205">
        <v>24</v>
      </c>
      <c r="F1205">
        <v>8</v>
      </c>
      <c r="G1205">
        <v>23</v>
      </c>
      <c r="H1205">
        <v>5</v>
      </c>
      <c r="I1205">
        <v>14</v>
      </c>
      <c r="J1205" s="52"/>
    </row>
    <row r="1206" spans="1:10" hidden="1" x14ac:dyDescent="0.35">
      <c r="A1206" s="2">
        <v>45016</v>
      </c>
      <c r="B1206" t="s">
        <v>40</v>
      </c>
      <c r="C1206" t="s">
        <v>19</v>
      </c>
      <c r="E1206">
        <v>35</v>
      </c>
      <c r="F1206">
        <v>6</v>
      </c>
      <c r="G1206">
        <v>57</v>
      </c>
      <c r="H1206">
        <v>2</v>
      </c>
      <c r="I1206">
        <v>17</v>
      </c>
      <c r="J1206" s="52"/>
    </row>
    <row r="1207" spans="1:10" hidden="1" x14ac:dyDescent="0.35">
      <c r="A1207" s="51">
        <v>45016</v>
      </c>
      <c r="B1207" t="s">
        <v>42</v>
      </c>
      <c r="C1207" t="s">
        <v>19</v>
      </c>
      <c r="E1207">
        <v>32</v>
      </c>
      <c r="F1207">
        <v>4</v>
      </c>
      <c r="G1207">
        <v>35</v>
      </c>
      <c r="H1207">
        <v>5</v>
      </c>
      <c r="I1207">
        <v>11</v>
      </c>
      <c r="J1207" s="52"/>
    </row>
    <row r="1208" spans="1:10" hidden="1" x14ac:dyDescent="0.35">
      <c r="A1208" s="2">
        <v>45016</v>
      </c>
      <c r="B1208" t="s">
        <v>66</v>
      </c>
      <c r="C1208" t="s">
        <v>22</v>
      </c>
      <c r="E1208">
        <v>5</v>
      </c>
      <c r="F1208">
        <v>1</v>
      </c>
      <c r="G1208">
        <v>3</v>
      </c>
      <c r="H1208">
        <v>0</v>
      </c>
      <c r="I1208">
        <v>2</v>
      </c>
      <c r="J1208" s="52"/>
    </row>
    <row r="1209" spans="1:10" hidden="1" x14ac:dyDescent="0.35">
      <c r="A1209" s="2">
        <v>45016</v>
      </c>
      <c r="B1209" t="s">
        <v>95</v>
      </c>
      <c r="C1209" t="s">
        <v>22</v>
      </c>
      <c r="E1209">
        <v>39</v>
      </c>
      <c r="F1209">
        <v>17</v>
      </c>
      <c r="G1209">
        <v>23</v>
      </c>
      <c r="H1209">
        <v>10</v>
      </c>
      <c r="I1209">
        <v>10</v>
      </c>
      <c r="J1209" s="52"/>
    </row>
    <row r="1210" spans="1:10" hidden="1" x14ac:dyDescent="0.35">
      <c r="A1210" s="51">
        <v>45016</v>
      </c>
      <c r="B1210" t="s">
        <v>43</v>
      </c>
      <c r="C1210" t="s">
        <v>27</v>
      </c>
      <c r="E1210">
        <v>52</v>
      </c>
      <c r="F1210">
        <v>0</v>
      </c>
      <c r="G1210">
        <v>50</v>
      </c>
      <c r="H1210">
        <v>0</v>
      </c>
      <c r="I1210">
        <v>17</v>
      </c>
      <c r="J1210" s="52"/>
    </row>
    <row r="1211" spans="1:10" hidden="1" x14ac:dyDescent="0.35">
      <c r="A1211" s="2">
        <v>45016</v>
      </c>
      <c r="B1211" t="s">
        <v>84</v>
      </c>
      <c r="C1211" t="s">
        <v>27</v>
      </c>
      <c r="E1211">
        <v>13</v>
      </c>
      <c r="F1211">
        <v>0</v>
      </c>
      <c r="G1211">
        <v>7</v>
      </c>
      <c r="H1211">
        <v>0</v>
      </c>
      <c r="I1211">
        <v>5</v>
      </c>
      <c r="J1211" s="52"/>
    </row>
    <row r="1212" spans="1:10" hidden="1" x14ac:dyDescent="0.35">
      <c r="A1212" s="51">
        <v>45016</v>
      </c>
      <c r="B1212" t="s">
        <v>17</v>
      </c>
      <c r="C1212" t="s">
        <v>9</v>
      </c>
      <c r="E1212">
        <v>34</v>
      </c>
      <c r="F1212">
        <v>0</v>
      </c>
      <c r="G1212">
        <v>30</v>
      </c>
      <c r="H1212">
        <v>0</v>
      </c>
      <c r="I1212">
        <v>10</v>
      </c>
      <c r="J1212" s="52"/>
    </row>
    <row r="1213" spans="1:10" hidden="1" x14ac:dyDescent="0.35">
      <c r="A1213" s="2">
        <v>45016</v>
      </c>
      <c r="B1213" t="s">
        <v>14</v>
      </c>
      <c r="C1213" t="s">
        <v>21</v>
      </c>
      <c r="E1213">
        <v>13</v>
      </c>
      <c r="F1213">
        <v>37</v>
      </c>
      <c r="G1213">
        <v>23</v>
      </c>
      <c r="H1213">
        <v>17</v>
      </c>
      <c r="I1213">
        <v>16</v>
      </c>
      <c r="J1213" s="52"/>
    </row>
    <row r="1214" spans="1:10" hidden="1" x14ac:dyDescent="0.35">
      <c r="A1214" s="51">
        <v>45016</v>
      </c>
      <c r="B1214" t="s">
        <v>72</v>
      </c>
      <c r="C1214" t="s">
        <v>54</v>
      </c>
      <c r="E1214">
        <v>31</v>
      </c>
      <c r="F1214">
        <v>8</v>
      </c>
      <c r="G1214">
        <v>26</v>
      </c>
      <c r="H1214">
        <v>9</v>
      </c>
      <c r="I1214">
        <v>10</v>
      </c>
      <c r="J1214" s="52"/>
    </row>
    <row r="1215" spans="1:10" hidden="1" x14ac:dyDescent="0.35">
      <c r="A1215" s="2">
        <v>45016</v>
      </c>
      <c r="B1215" t="s">
        <v>57</v>
      </c>
      <c r="C1215" t="s">
        <v>55</v>
      </c>
      <c r="E1215">
        <v>39</v>
      </c>
      <c r="F1215">
        <v>10</v>
      </c>
      <c r="G1215">
        <v>24</v>
      </c>
      <c r="H1215">
        <v>14</v>
      </c>
      <c r="I1215">
        <v>16</v>
      </c>
      <c r="J1215" s="52"/>
    </row>
    <row r="1216" spans="1:10" hidden="1" x14ac:dyDescent="0.35">
      <c r="A1216" s="51">
        <v>45016</v>
      </c>
      <c r="B1216" t="s">
        <v>65</v>
      </c>
      <c r="C1216" t="s">
        <v>58</v>
      </c>
      <c r="E1216">
        <v>65</v>
      </c>
      <c r="F1216">
        <v>10</v>
      </c>
      <c r="G1216">
        <v>28</v>
      </c>
      <c r="H1216">
        <v>25</v>
      </c>
      <c r="I1216">
        <v>16</v>
      </c>
      <c r="J1216" s="52"/>
    </row>
    <row r="1217" spans="1:10" hidden="1" x14ac:dyDescent="0.35">
      <c r="A1217" s="2">
        <v>45016</v>
      </c>
      <c r="B1217" t="s">
        <v>64</v>
      </c>
      <c r="C1217" t="s">
        <v>62</v>
      </c>
      <c r="E1217">
        <v>36</v>
      </c>
      <c r="F1217">
        <v>14</v>
      </c>
      <c r="G1217">
        <v>48</v>
      </c>
      <c r="H1217">
        <v>9</v>
      </c>
      <c r="I1217">
        <v>11</v>
      </c>
      <c r="J1217" s="52"/>
    </row>
    <row r="1218" spans="1:10" hidden="1" x14ac:dyDescent="0.35">
      <c r="A1218" s="51">
        <v>45016</v>
      </c>
      <c r="B1218" t="s">
        <v>75</v>
      </c>
      <c r="C1218" t="s">
        <v>61</v>
      </c>
      <c r="E1218">
        <v>49</v>
      </c>
      <c r="F1218">
        <v>9</v>
      </c>
      <c r="G1218">
        <v>19</v>
      </c>
      <c r="H1218">
        <v>11</v>
      </c>
      <c r="I1218">
        <v>14</v>
      </c>
      <c r="J1218" s="52"/>
    </row>
    <row r="1219" spans="1:10" hidden="1" x14ac:dyDescent="0.35">
      <c r="A1219" s="51">
        <v>45016</v>
      </c>
      <c r="B1219" t="s">
        <v>97</v>
      </c>
      <c r="C1219" t="s">
        <v>91</v>
      </c>
      <c r="E1219">
        <v>15</v>
      </c>
      <c r="F1219">
        <v>9</v>
      </c>
      <c r="G1219">
        <v>0</v>
      </c>
      <c r="H1219">
        <v>1</v>
      </c>
      <c r="I1219">
        <v>3</v>
      </c>
      <c r="J1219" s="52"/>
    </row>
    <row r="1220" spans="1:10" hidden="1" x14ac:dyDescent="0.35">
      <c r="A1220" s="2">
        <v>45016</v>
      </c>
      <c r="B1220" t="s">
        <v>69</v>
      </c>
      <c r="C1220" t="s">
        <v>63</v>
      </c>
      <c r="E1220">
        <v>32</v>
      </c>
      <c r="F1220">
        <v>12</v>
      </c>
      <c r="G1220">
        <v>27</v>
      </c>
      <c r="H1220">
        <v>10</v>
      </c>
      <c r="I1220">
        <v>23</v>
      </c>
      <c r="J1220" s="52"/>
    </row>
    <row r="1221" spans="1:10" hidden="1" x14ac:dyDescent="0.35">
      <c r="A1221" s="51">
        <v>45016</v>
      </c>
      <c r="B1221" t="s">
        <v>77</v>
      </c>
      <c r="C1221" t="s">
        <v>73</v>
      </c>
      <c r="E1221">
        <v>17</v>
      </c>
      <c r="F1221">
        <v>12</v>
      </c>
      <c r="G1221">
        <v>19</v>
      </c>
      <c r="H1221">
        <v>14</v>
      </c>
      <c r="I1221">
        <v>13</v>
      </c>
      <c r="J1221" s="52"/>
    </row>
    <row r="1222" spans="1:10" hidden="1" x14ac:dyDescent="0.35">
      <c r="A1222" s="2">
        <v>45016</v>
      </c>
      <c r="B1222" t="s">
        <v>71</v>
      </c>
      <c r="C1222" t="s">
        <v>81</v>
      </c>
      <c r="E1222">
        <v>9</v>
      </c>
      <c r="F1222">
        <v>13</v>
      </c>
      <c r="G1222">
        <v>7</v>
      </c>
      <c r="H1222">
        <v>0</v>
      </c>
      <c r="I1222">
        <v>6</v>
      </c>
      <c r="J1222" s="52"/>
    </row>
    <row r="1223" spans="1:10" hidden="1" x14ac:dyDescent="0.35">
      <c r="A1223" s="51">
        <v>45016</v>
      </c>
      <c r="B1223" t="s">
        <v>85</v>
      </c>
      <c r="C1223" t="s">
        <v>83</v>
      </c>
      <c r="E1223">
        <v>25</v>
      </c>
      <c r="F1223">
        <v>4</v>
      </c>
      <c r="G1223">
        <v>13</v>
      </c>
      <c r="H1223">
        <v>3</v>
      </c>
      <c r="I1223">
        <v>6</v>
      </c>
      <c r="J1223" s="52"/>
    </row>
    <row r="1224" spans="1:10" hidden="1" x14ac:dyDescent="0.35">
      <c r="A1224" s="2">
        <v>45016</v>
      </c>
      <c r="B1224" t="s">
        <v>88</v>
      </c>
      <c r="C1224" t="s">
        <v>76</v>
      </c>
      <c r="E1224">
        <v>18</v>
      </c>
      <c r="F1224">
        <v>9</v>
      </c>
      <c r="G1224">
        <v>9</v>
      </c>
      <c r="H1224">
        <v>4</v>
      </c>
      <c r="I1224">
        <v>2</v>
      </c>
      <c r="J1224" s="52"/>
    </row>
    <row r="1225" spans="1:10" hidden="1" x14ac:dyDescent="0.35">
      <c r="A1225" s="51">
        <v>45016</v>
      </c>
      <c r="B1225" t="s">
        <v>89</v>
      </c>
      <c r="C1225" t="s">
        <v>87</v>
      </c>
      <c r="E1225">
        <v>14</v>
      </c>
      <c r="F1225">
        <v>1</v>
      </c>
      <c r="G1225">
        <v>6</v>
      </c>
      <c r="H1225">
        <v>0</v>
      </c>
      <c r="I1225">
        <v>6</v>
      </c>
      <c r="J1225" s="52"/>
    </row>
    <row r="1226" spans="1:10" hidden="1" x14ac:dyDescent="0.35">
      <c r="A1226" s="2">
        <v>45016</v>
      </c>
      <c r="B1226" t="s">
        <v>93</v>
      </c>
      <c r="C1226" t="s">
        <v>90</v>
      </c>
      <c r="E1226">
        <v>11</v>
      </c>
      <c r="F1226">
        <v>3</v>
      </c>
      <c r="G1226">
        <v>1</v>
      </c>
      <c r="H1226">
        <v>1</v>
      </c>
      <c r="I1226">
        <v>2</v>
      </c>
      <c r="J1226" s="52"/>
    </row>
    <row r="1227" spans="1:10" hidden="1" x14ac:dyDescent="0.35">
      <c r="A1227" s="2">
        <v>45046</v>
      </c>
      <c r="C1227" t="s">
        <v>24</v>
      </c>
      <c r="D1227">
        <v>372</v>
      </c>
      <c r="J1227" s="58">
        <v>232100</v>
      </c>
    </row>
    <row r="1228" spans="1:10" hidden="1" x14ac:dyDescent="0.35">
      <c r="A1228" s="51">
        <v>45046</v>
      </c>
      <c r="C1228" t="s">
        <v>9</v>
      </c>
      <c r="D1228">
        <v>274</v>
      </c>
      <c r="J1228" s="58">
        <v>186450</v>
      </c>
    </row>
    <row r="1229" spans="1:10" hidden="1" x14ac:dyDescent="0.35">
      <c r="A1229" s="2">
        <v>45046</v>
      </c>
      <c r="C1229" t="s">
        <v>37</v>
      </c>
      <c r="D1229">
        <v>512</v>
      </c>
      <c r="J1229" s="58">
        <v>353150</v>
      </c>
    </row>
    <row r="1230" spans="1:10" hidden="1" x14ac:dyDescent="0.35">
      <c r="A1230" s="51">
        <v>45046</v>
      </c>
      <c r="C1230" t="s">
        <v>23</v>
      </c>
      <c r="D1230">
        <v>357</v>
      </c>
      <c r="J1230" s="58">
        <v>103850</v>
      </c>
    </row>
    <row r="1231" spans="1:10" hidden="1" x14ac:dyDescent="0.35">
      <c r="A1231" s="2">
        <v>45046</v>
      </c>
      <c r="C1231" t="s">
        <v>27</v>
      </c>
      <c r="D1231">
        <v>371</v>
      </c>
      <c r="J1231" s="58">
        <v>348950</v>
      </c>
    </row>
    <row r="1232" spans="1:10" hidden="1" x14ac:dyDescent="0.35">
      <c r="A1232" s="51">
        <v>45046</v>
      </c>
      <c r="C1232" t="s">
        <v>26</v>
      </c>
      <c r="D1232">
        <v>258</v>
      </c>
      <c r="J1232" s="58">
        <v>135400</v>
      </c>
    </row>
    <row r="1233" spans="1:10" hidden="1" x14ac:dyDescent="0.35">
      <c r="A1233" s="2">
        <v>45046</v>
      </c>
      <c r="C1233" t="s">
        <v>20</v>
      </c>
      <c r="D1233">
        <v>562</v>
      </c>
      <c r="J1233" s="58">
        <v>639410</v>
      </c>
    </row>
    <row r="1234" spans="1:10" hidden="1" x14ac:dyDescent="0.35">
      <c r="A1234" s="51">
        <v>45046</v>
      </c>
      <c r="C1234" t="s">
        <v>25</v>
      </c>
      <c r="D1234">
        <v>203</v>
      </c>
      <c r="J1234" s="58">
        <v>174200</v>
      </c>
    </row>
    <row r="1235" spans="1:10" hidden="1" x14ac:dyDescent="0.35">
      <c r="A1235" s="2">
        <v>45046</v>
      </c>
      <c r="C1235" t="s">
        <v>19</v>
      </c>
      <c r="D1235">
        <v>371</v>
      </c>
      <c r="J1235" s="58">
        <v>333250</v>
      </c>
    </row>
    <row r="1236" spans="1:10" hidden="1" x14ac:dyDescent="0.35">
      <c r="A1236" s="51">
        <v>45046</v>
      </c>
      <c r="C1236" t="s">
        <v>21</v>
      </c>
      <c r="D1236">
        <v>358</v>
      </c>
      <c r="J1236" s="58">
        <v>168050</v>
      </c>
    </row>
    <row r="1237" spans="1:10" hidden="1" x14ac:dyDescent="0.35">
      <c r="A1237" s="2">
        <v>45046</v>
      </c>
      <c r="C1237" t="s">
        <v>18</v>
      </c>
      <c r="D1237">
        <v>520</v>
      </c>
      <c r="J1237" s="58">
        <v>463900</v>
      </c>
    </row>
    <row r="1238" spans="1:10" hidden="1" x14ac:dyDescent="0.35">
      <c r="A1238" s="51">
        <v>45046</v>
      </c>
      <c r="C1238" t="s">
        <v>22</v>
      </c>
      <c r="D1238">
        <v>226</v>
      </c>
      <c r="J1238" s="58">
        <v>202900</v>
      </c>
    </row>
    <row r="1239" spans="1:10" hidden="1" x14ac:dyDescent="0.35">
      <c r="A1239" s="2">
        <v>45046</v>
      </c>
      <c r="C1239" t="s">
        <v>54</v>
      </c>
      <c r="D1239">
        <v>225</v>
      </c>
      <c r="J1239" s="58">
        <v>158600</v>
      </c>
    </row>
    <row r="1240" spans="1:10" hidden="1" x14ac:dyDescent="0.35">
      <c r="A1240" s="51">
        <v>45046</v>
      </c>
      <c r="C1240" t="s">
        <v>55</v>
      </c>
      <c r="D1240">
        <v>402</v>
      </c>
      <c r="J1240" s="58">
        <v>111340</v>
      </c>
    </row>
    <row r="1241" spans="1:10" hidden="1" x14ac:dyDescent="0.35">
      <c r="A1241" s="2">
        <v>45046</v>
      </c>
      <c r="C1241" t="s">
        <v>58</v>
      </c>
      <c r="D1241">
        <v>370</v>
      </c>
      <c r="J1241" s="58">
        <v>276500</v>
      </c>
    </row>
    <row r="1242" spans="1:10" hidden="1" x14ac:dyDescent="0.35">
      <c r="A1242" s="51">
        <v>45046</v>
      </c>
      <c r="C1242" t="s">
        <v>62</v>
      </c>
      <c r="D1242">
        <v>308</v>
      </c>
      <c r="J1242" s="58">
        <v>108600</v>
      </c>
    </row>
    <row r="1243" spans="1:10" hidden="1" x14ac:dyDescent="0.35">
      <c r="A1243" s="2">
        <v>45046</v>
      </c>
      <c r="C1243" t="s">
        <v>61</v>
      </c>
      <c r="D1243">
        <v>210</v>
      </c>
      <c r="J1243" s="58">
        <v>115940</v>
      </c>
    </row>
    <row r="1244" spans="1:10" hidden="1" x14ac:dyDescent="0.35">
      <c r="A1244" s="51">
        <v>45046</v>
      </c>
      <c r="C1244" t="s">
        <v>63</v>
      </c>
      <c r="D1244">
        <v>180</v>
      </c>
      <c r="J1244" s="58">
        <v>356200</v>
      </c>
    </row>
    <row r="1245" spans="1:10" hidden="1" x14ac:dyDescent="0.35">
      <c r="A1245" s="2">
        <v>45046</v>
      </c>
      <c r="C1245" t="s">
        <v>73</v>
      </c>
      <c r="D1245">
        <v>258</v>
      </c>
      <c r="J1245" s="58">
        <v>156850</v>
      </c>
    </row>
    <row r="1246" spans="1:10" hidden="1" x14ac:dyDescent="0.35">
      <c r="A1246" s="51">
        <v>45046</v>
      </c>
      <c r="C1246" t="s">
        <v>76</v>
      </c>
      <c r="D1246">
        <v>187</v>
      </c>
      <c r="J1246" s="58">
        <v>53950</v>
      </c>
    </row>
    <row r="1247" spans="1:10" hidden="1" x14ac:dyDescent="0.35">
      <c r="A1247" s="2">
        <v>45046</v>
      </c>
      <c r="C1247" t="s">
        <v>81</v>
      </c>
      <c r="D1247">
        <v>374</v>
      </c>
      <c r="J1247" s="58">
        <v>52900</v>
      </c>
    </row>
    <row r="1248" spans="1:10" hidden="1" x14ac:dyDescent="0.35">
      <c r="A1248" s="51">
        <v>45046</v>
      </c>
      <c r="C1248" t="s">
        <v>83</v>
      </c>
      <c r="D1248">
        <v>136</v>
      </c>
      <c r="J1248" s="58">
        <v>124800</v>
      </c>
    </row>
    <row r="1249" spans="1:10" hidden="1" x14ac:dyDescent="0.35">
      <c r="A1249" s="2">
        <v>45046</v>
      </c>
      <c r="C1249" t="s">
        <v>87</v>
      </c>
      <c r="D1249">
        <v>159</v>
      </c>
      <c r="J1249" s="58">
        <v>55800</v>
      </c>
    </row>
    <row r="1250" spans="1:10" hidden="1" x14ac:dyDescent="0.35">
      <c r="A1250" s="51">
        <v>45046</v>
      </c>
      <c r="C1250" t="s">
        <v>90</v>
      </c>
      <c r="D1250">
        <v>376</v>
      </c>
      <c r="J1250" s="58">
        <v>53000</v>
      </c>
    </row>
    <row r="1251" spans="1:10" hidden="1" x14ac:dyDescent="0.35">
      <c r="A1251" s="2">
        <v>45046</v>
      </c>
      <c r="C1251" t="s">
        <v>91</v>
      </c>
      <c r="D1251">
        <v>210</v>
      </c>
      <c r="J1251" s="58">
        <v>50980</v>
      </c>
    </row>
    <row r="1252" spans="1:10" hidden="1" x14ac:dyDescent="0.35">
      <c r="A1252" s="51">
        <v>45046</v>
      </c>
      <c r="C1252" t="s">
        <v>92</v>
      </c>
      <c r="D1252">
        <v>181</v>
      </c>
      <c r="J1252" s="58">
        <v>53500</v>
      </c>
    </row>
    <row r="1253" spans="1:10" hidden="1" x14ac:dyDescent="0.35">
      <c r="A1253" s="2">
        <v>45046</v>
      </c>
      <c r="C1253" t="s">
        <v>94</v>
      </c>
      <c r="D1253">
        <v>220</v>
      </c>
      <c r="J1253" s="58">
        <v>86500</v>
      </c>
    </row>
    <row r="1254" spans="1:10" hidden="1" x14ac:dyDescent="0.35">
      <c r="A1254" s="51">
        <v>45046</v>
      </c>
      <c r="B1254" t="s">
        <v>71</v>
      </c>
      <c r="C1254" t="s">
        <v>20</v>
      </c>
      <c r="E1254">
        <v>41</v>
      </c>
      <c r="F1254">
        <v>7</v>
      </c>
      <c r="G1254">
        <v>32</v>
      </c>
      <c r="H1254">
        <v>2</v>
      </c>
      <c r="I1254" s="33">
        <v>20</v>
      </c>
      <c r="J1254" s="52"/>
    </row>
    <row r="1255" spans="1:10" hidden="1" x14ac:dyDescent="0.35">
      <c r="A1255" s="2">
        <v>45046</v>
      </c>
      <c r="B1255" t="s">
        <v>36</v>
      </c>
      <c r="C1255" t="s">
        <v>20</v>
      </c>
      <c r="E1255">
        <v>35</v>
      </c>
      <c r="F1255">
        <v>10</v>
      </c>
      <c r="G1255">
        <v>51</v>
      </c>
      <c r="H1255">
        <v>3</v>
      </c>
      <c r="I1255" s="33">
        <v>26</v>
      </c>
      <c r="J1255" s="52"/>
    </row>
    <row r="1256" spans="1:10" hidden="1" x14ac:dyDescent="0.35">
      <c r="A1256" s="51">
        <v>45046</v>
      </c>
      <c r="B1256" t="s">
        <v>70</v>
      </c>
      <c r="C1256" t="s">
        <v>26</v>
      </c>
      <c r="E1256">
        <v>17</v>
      </c>
      <c r="F1256">
        <v>2</v>
      </c>
      <c r="G1256">
        <v>25</v>
      </c>
      <c r="H1256">
        <v>1</v>
      </c>
      <c r="I1256" s="33">
        <v>10</v>
      </c>
      <c r="J1256" s="52"/>
    </row>
    <row r="1257" spans="1:10" hidden="1" x14ac:dyDescent="0.35">
      <c r="A1257" s="2">
        <v>45046</v>
      </c>
      <c r="B1257" t="s">
        <v>38</v>
      </c>
      <c r="C1257" t="s">
        <v>18</v>
      </c>
      <c r="E1257">
        <v>41</v>
      </c>
      <c r="F1257">
        <v>10</v>
      </c>
      <c r="G1257">
        <v>32</v>
      </c>
      <c r="H1257">
        <v>24</v>
      </c>
      <c r="I1257" s="33">
        <v>21</v>
      </c>
      <c r="J1257" s="52"/>
    </row>
    <row r="1258" spans="1:10" hidden="1" x14ac:dyDescent="0.35">
      <c r="A1258" s="51">
        <v>45046</v>
      </c>
      <c r="B1258" t="s">
        <v>86</v>
      </c>
      <c r="C1258" t="s">
        <v>18</v>
      </c>
      <c r="E1258">
        <v>24</v>
      </c>
      <c r="F1258">
        <v>15</v>
      </c>
      <c r="G1258">
        <v>14</v>
      </c>
      <c r="H1258">
        <v>7</v>
      </c>
      <c r="I1258" s="33">
        <v>12</v>
      </c>
      <c r="J1258" s="52"/>
    </row>
    <row r="1259" spans="1:10" hidden="1" x14ac:dyDescent="0.35">
      <c r="A1259" s="2">
        <v>45046</v>
      </c>
      <c r="B1259" t="s">
        <v>13</v>
      </c>
      <c r="C1259" t="s">
        <v>25</v>
      </c>
      <c r="E1259">
        <v>30</v>
      </c>
      <c r="F1259">
        <v>2</v>
      </c>
      <c r="G1259">
        <v>21</v>
      </c>
      <c r="H1259">
        <v>4</v>
      </c>
      <c r="I1259" s="33">
        <v>13</v>
      </c>
      <c r="J1259" s="52"/>
    </row>
    <row r="1260" spans="1:10" hidden="1" x14ac:dyDescent="0.35">
      <c r="A1260" s="51">
        <v>45046</v>
      </c>
      <c r="B1260" t="s">
        <v>13</v>
      </c>
      <c r="C1260" t="s">
        <v>23</v>
      </c>
      <c r="E1260">
        <v>10</v>
      </c>
      <c r="F1260">
        <v>2</v>
      </c>
      <c r="G1260">
        <v>11</v>
      </c>
      <c r="H1260">
        <v>0</v>
      </c>
      <c r="I1260" s="33">
        <v>5</v>
      </c>
      <c r="J1260" s="52"/>
    </row>
    <row r="1261" spans="1:10" hidden="1" x14ac:dyDescent="0.35">
      <c r="A1261" s="2">
        <v>45046</v>
      </c>
      <c r="B1261" t="s">
        <v>41</v>
      </c>
      <c r="C1261" t="s">
        <v>23</v>
      </c>
      <c r="E1261">
        <v>12</v>
      </c>
      <c r="F1261">
        <v>4</v>
      </c>
      <c r="G1261">
        <v>13</v>
      </c>
      <c r="H1261">
        <v>7</v>
      </c>
      <c r="I1261" s="33">
        <v>3</v>
      </c>
      <c r="J1261" s="52"/>
    </row>
    <row r="1262" spans="1:10" hidden="1" x14ac:dyDescent="0.35">
      <c r="A1262" s="51">
        <v>45046</v>
      </c>
      <c r="B1262" t="s">
        <v>41</v>
      </c>
      <c r="C1262" t="s">
        <v>24</v>
      </c>
      <c r="E1262">
        <v>10</v>
      </c>
      <c r="F1262">
        <v>1</v>
      </c>
      <c r="G1262">
        <v>39</v>
      </c>
      <c r="H1262">
        <v>0</v>
      </c>
      <c r="I1262" s="33">
        <v>10</v>
      </c>
      <c r="J1262" s="52"/>
    </row>
    <row r="1263" spans="1:10" hidden="1" x14ac:dyDescent="0.35">
      <c r="A1263" s="2">
        <v>45046</v>
      </c>
      <c r="B1263" t="s">
        <v>12</v>
      </c>
      <c r="C1263" t="s">
        <v>24</v>
      </c>
      <c r="E1263">
        <v>2</v>
      </c>
      <c r="F1263">
        <v>0</v>
      </c>
      <c r="G1263">
        <v>0</v>
      </c>
      <c r="H1263">
        <v>0</v>
      </c>
      <c r="I1263" s="33">
        <v>2</v>
      </c>
      <c r="J1263" s="52"/>
    </row>
    <row r="1264" spans="1:10" hidden="1" x14ac:dyDescent="0.35">
      <c r="A1264" s="51">
        <v>45046</v>
      </c>
      <c r="B1264" t="s">
        <v>96</v>
      </c>
      <c r="C1264" t="s">
        <v>24</v>
      </c>
      <c r="E1264">
        <v>28</v>
      </c>
      <c r="F1264">
        <v>1</v>
      </c>
      <c r="G1264">
        <v>3</v>
      </c>
      <c r="H1264">
        <v>1</v>
      </c>
      <c r="I1264" s="33">
        <v>5</v>
      </c>
      <c r="J1264" s="52"/>
    </row>
    <row r="1265" spans="1:10" hidden="1" x14ac:dyDescent="0.35">
      <c r="A1265" s="2">
        <v>45046</v>
      </c>
      <c r="B1265" t="s">
        <v>12</v>
      </c>
      <c r="C1265" t="s">
        <v>37</v>
      </c>
      <c r="E1265">
        <v>5</v>
      </c>
      <c r="F1265">
        <v>0</v>
      </c>
      <c r="G1265">
        <v>22</v>
      </c>
      <c r="H1265">
        <v>4</v>
      </c>
      <c r="I1265" s="33">
        <v>5</v>
      </c>
      <c r="J1265" s="52"/>
    </row>
    <row r="1266" spans="1:10" hidden="1" x14ac:dyDescent="0.35">
      <c r="A1266" s="51">
        <v>45046</v>
      </c>
      <c r="B1266" t="s">
        <v>17</v>
      </c>
      <c r="C1266" t="s">
        <v>37</v>
      </c>
      <c r="E1266">
        <v>30</v>
      </c>
      <c r="F1266">
        <v>5</v>
      </c>
      <c r="G1266">
        <v>19</v>
      </c>
      <c r="H1266">
        <v>3</v>
      </c>
      <c r="I1266" s="33">
        <v>10</v>
      </c>
      <c r="J1266" s="52"/>
    </row>
    <row r="1267" spans="1:10" hidden="1" x14ac:dyDescent="0.35">
      <c r="A1267" s="2">
        <v>45046</v>
      </c>
      <c r="B1267" t="s">
        <v>50</v>
      </c>
      <c r="C1267" t="s">
        <v>37</v>
      </c>
      <c r="E1267">
        <v>26</v>
      </c>
      <c r="F1267">
        <v>8</v>
      </c>
      <c r="G1267">
        <v>18</v>
      </c>
      <c r="H1267">
        <v>3</v>
      </c>
      <c r="I1267" s="33">
        <v>10</v>
      </c>
      <c r="J1267" s="52"/>
    </row>
    <row r="1268" spans="1:10" hidden="1" x14ac:dyDescent="0.35">
      <c r="A1268" s="51">
        <v>45046</v>
      </c>
      <c r="B1268" t="s">
        <v>40</v>
      </c>
      <c r="C1268" t="s">
        <v>19</v>
      </c>
      <c r="E1268">
        <v>24</v>
      </c>
      <c r="F1268">
        <v>2</v>
      </c>
      <c r="G1268">
        <v>34</v>
      </c>
      <c r="H1268">
        <v>3</v>
      </c>
      <c r="I1268" s="33">
        <v>15</v>
      </c>
      <c r="J1268" s="52"/>
    </row>
    <row r="1269" spans="1:10" hidden="1" x14ac:dyDescent="0.35">
      <c r="A1269" s="2">
        <v>45046</v>
      </c>
      <c r="B1269" t="s">
        <v>42</v>
      </c>
      <c r="C1269" t="s">
        <v>19</v>
      </c>
      <c r="E1269">
        <v>36</v>
      </c>
      <c r="F1269">
        <v>6</v>
      </c>
      <c r="G1269">
        <v>27</v>
      </c>
      <c r="H1269">
        <v>4</v>
      </c>
      <c r="I1269" s="33">
        <v>10</v>
      </c>
      <c r="J1269" s="52"/>
    </row>
    <row r="1270" spans="1:10" hidden="1" x14ac:dyDescent="0.35">
      <c r="A1270" s="2">
        <v>45046</v>
      </c>
      <c r="B1270" t="s">
        <v>95</v>
      </c>
      <c r="C1270" t="s">
        <v>22</v>
      </c>
      <c r="E1270">
        <v>43</v>
      </c>
      <c r="F1270">
        <v>10</v>
      </c>
      <c r="G1270">
        <v>41</v>
      </c>
      <c r="H1270">
        <v>11</v>
      </c>
      <c r="I1270" s="33">
        <v>15</v>
      </c>
      <c r="J1270" s="52"/>
    </row>
    <row r="1271" spans="1:10" hidden="1" x14ac:dyDescent="0.35">
      <c r="A1271" s="51">
        <v>45046</v>
      </c>
      <c r="B1271" t="s">
        <v>43</v>
      </c>
      <c r="C1271" t="s">
        <v>27</v>
      </c>
      <c r="E1271">
        <v>26</v>
      </c>
      <c r="F1271">
        <v>0</v>
      </c>
      <c r="G1271">
        <v>37</v>
      </c>
      <c r="H1271">
        <v>0</v>
      </c>
      <c r="I1271" s="33">
        <v>18</v>
      </c>
      <c r="J1271" s="52"/>
    </row>
    <row r="1272" spans="1:10" hidden="1" x14ac:dyDescent="0.35">
      <c r="A1272" s="2">
        <v>45046</v>
      </c>
      <c r="B1272" t="s">
        <v>84</v>
      </c>
      <c r="C1272" t="s">
        <v>27</v>
      </c>
      <c r="E1272">
        <v>12</v>
      </c>
      <c r="F1272">
        <v>0</v>
      </c>
      <c r="G1272">
        <v>2</v>
      </c>
      <c r="H1272">
        <v>0</v>
      </c>
      <c r="I1272" s="33">
        <v>4</v>
      </c>
      <c r="J1272" s="52"/>
    </row>
    <row r="1273" spans="1:10" hidden="1" x14ac:dyDescent="0.35">
      <c r="A1273" s="51">
        <v>45046</v>
      </c>
      <c r="B1273" t="s">
        <v>17</v>
      </c>
      <c r="C1273" t="s">
        <v>9</v>
      </c>
      <c r="E1273">
        <v>32</v>
      </c>
      <c r="F1273">
        <v>1</v>
      </c>
      <c r="G1273">
        <v>42</v>
      </c>
      <c r="H1273">
        <v>1</v>
      </c>
      <c r="I1273" s="33">
        <v>12</v>
      </c>
      <c r="J1273" s="52"/>
    </row>
    <row r="1274" spans="1:10" hidden="1" x14ac:dyDescent="0.35">
      <c r="A1274" s="51">
        <v>45017</v>
      </c>
      <c r="B1274" t="s">
        <v>101</v>
      </c>
      <c r="C1274" t="s">
        <v>9</v>
      </c>
      <c r="E1274">
        <v>32</v>
      </c>
      <c r="F1274">
        <v>1</v>
      </c>
      <c r="G1274">
        <v>1</v>
      </c>
      <c r="H1274">
        <v>0</v>
      </c>
      <c r="I1274" s="33">
        <v>1</v>
      </c>
      <c r="J1274" s="52"/>
    </row>
    <row r="1275" spans="1:10" hidden="1" x14ac:dyDescent="0.35">
      <c r="A1275" s="2">
        <v>45046</v>
      </c>
      <c r="B1275" t="s">
        <v>14</v>
      </c>
      <c r="C1275" t="s">
        <v>21</v>
      </c>
      <c r="E1275">
        <v>24</v>
      </c>
      <c r="F1275">
        <v>11</v>
      </c>
      <c r="G1275">
        <v>29</v>
      </c>
      <c r="H1275">
        <v>9</v>
      </c>
      <c r="I1275" s="33">
        <v>12</v>
      </c>
      <c r="J1275" s="52"/>
    </row>
    <row r="1276" spans="1:10" hidden="1" x14ac:dyDescent="0.35">
      <c r="A1276" s="51">
        <v>45046</v>
      </c>
      <c r="B1276" t="s">
        <v>72</v>
      </c>
      <c r="C1276" t="s">
        <v>54</v>
      </c>
      <c r="E1276">
        <v>25</v>
      </c>
      <c r="F1276">
        <v>8</v>
      </c>
      <c r="G1276">
        <v>14</v>
      </c>
      <c r="H1276">
        <v>7</v>
      </c>
      <c r="I1276" s="33">
        <v>11</v>
      </c>
      <c r="J1276" s="52"/>
    </row>
    <row r="1277" spans="1:10" hidden="1" x14ac:dyDescent="0.35">
      <c r="A1277" s="51">
        <v>45046</v>
      </c>
      <c r="B1277" t="s">
        <v>93</v>
      </c>
      <c r="C1277" t="s">
        <v>54</v>
      </c>
      <c r="E1277">
        <v>6</v>
      </c>
      <c r="F1277">
        <v>1</v>
      </c>
      <c r="G1277">
        <v>0</v>
      </c>
      <c r="H1277">
        <v>0</v>
      </c>
      <c r="I1277" s="33">
        <v>0</v>
      </c>
      <c r="J1277" s="52"/>
    </row>
    <row r="1278" spans="1:10" hidden="1" x14ac:dyDescent="0.35">
      <c r="A1278" s="2">
        <v>45046</v>
      </c>
      <c r="B1278" t="s">
        <v>57</v>
      </c>
      <c r="C1278" t="s">
        <v>55</v>
      </c>
      <c r="E1278">
        <v>23</v>
      </c>
      <c r="F1278">
        <v>12</v>
      </c>
      <c r="G1278">
        <v>20</v>
      </c>
      <c r="H1278">
        <v>10</v>
      </c>
      <c r="I1278" s="33">
        <v>9</v>
      </c>
      <c r="J1278" s="52"/>
    </row>
    <row r="1279" spans="1:10" hidden="1" x14ac:dyDescent="0.35">
      <c r="A1279" s="51">
        <v>45046</v>
      </c>
      <c r="B1279" t="s">
        <v>65</v>
      </c>
      <c r="C1279" t="s">
        <v>58</v>
      </c>
      <c r="E1279">
        <v>3</v>
      </c>
      <c r="F1279">
        <v>1</v>
      </c>
      <c r="G1279">
        <v>28</v>
      </c>
      <c r="H1279">
        <v>16</v>
      </c>
      <c r="I1279" s="33">
        <v>10</v>
      </c>
      <c r="J1279" s="52"/>
    </row>
    <row r="1280" spans="1:10" hidden="1" x14ac:dyDescent="0.35">
      <c r="A1280" s="51">
        <v>45046</v>
      </c>
      <c r="B1280" t="s">
        <v>100</v>
      </c>
      <c r="C1280" t="s">
        <v>58</v>
      </c>
      <c r="E1280">
        <v>28</v>
      </c>
      <c r="F1280">
        <v>13</v>
      </c>
      <c r="G1280">
        <v>8</v>
      </c>
      <c r="H1280">
        <v>5</v>
      </c>
      <c r="I1280" s="33">
        <v>10</v>
      </c>
      <c r="J1280" s="52"/>
    </row>
    <row r="1281" spans="1:10" hidden="1" x14ac:dyDescent="0.35">
      <c r="A1281" s="2">
        <v>45046</v>
      </c>
      <c r="B1281" t="s">
        <v>64</v>
      </c>
      <c r="C1281" t="s">
        <v>62</v>
      </c>
      <c r="E1281">
        <v>25</v>
      </c>
      <c r="F1281">
        <v>10</v>
      </c>
      <c r="G1281">
        <v>24</v>
      </c>
      <c r="H1281">
        <v>9</v>
      </c>
      <c r="I1281" s="33">
        <v>8</v>
      </c>
      <c r="J1281" s="52"/>
    </row>
    <row r="1282" spans="1:10" hidden="1" x14ac:dyDescent="0.35">
      <c r="A1282" s="51">
        <v>45046</v>
      </c>
      <c r="B1282" t="s">
        <v>75</v>
      </c>
      <c r="C1282" t="s">
        <v>61</v>
      </c>
      <c r="E1282">
        <v>33</v>
      </c>
      <c r="F1282">
        <v>8</v>
      </c>
      <c r="G1282">
        <v>11</v>
      </c>
      <c r="H1282">
        <v>3</v>
      </c>
      <c r="I1282" s="33">
        <v>9</v>
      </c>
      <c r="J1282" s="52"/>
    </row>
    <row r="1283" spans="1:10" hidden="1" x14ac:dyDescent="0.35">
      <c r="A1283" s="2">
        <v>45046</v>
      </c>
      <c r="B1283" t="s">
        <v>97</v>
      </c>
      <c r="C1283" t="s">
        <v>91</v>
      </c>
      <c r="E1283">
        <v>13</v>
      </c>
      <c r="F1283">
        <v>8</v>
      </c>
      <c r="G1283">
        <v>4</v>
      </c>
      <c r="H1283">
        <v>0</v>
      </c>
      <c r="I1283" s="33">
        <v>4</v>
      </c>
      <c r="J1283" s="52"/>
    </row>
    <row r="1284" spans="1:10" hidden="1" x14ac:dyDescent="0.35">
      <c r="A1284" s="51">
        <v>45046</v>
      </c>
      <c r="B1284" t="s">
        <v>69</v>
      </c>
      <c r="C1284" t="s">
        <v>63</v>
      </c>
      <c r="E1284">
        <v>28</v>
      </c>
      <c r="F1284">
        <v>6</v>
      </c>
      <c r="G1284">
        <v>18</v>
      </c>
      <c r="H1284">
        <v>3</v>
      </c>
      <c r="I1284" s="33">
        <v>28</v>
      </c>
      <c r="J1284" s="52"/>
    </row>
    <row r="1285" spans="1:10" hidden="1" x14ac:dyDescent="0.35">
      <c r="A1285" s="2">
        <v>45046</v>
      </c>
      <c r="B1285" t="s">
        <v>77</v>
      </c>
      <c r="C1285" t="s">
        <v>73</v>
      </c>
      <c r="E1285">
        <v>22</v>
      </c>
      <c r="F1285">
        <v>7</v>
      </c>
      <c r="G1285">
        <v>14</v>
      </c>
      <c r="H1285">
        <v>13</v>
      </c>
      <c r="I1285" s="33">
        <v>12</v>
      </c>
      <c r="J1285" s="52"/>
    </row>
    <row r="1286" spans="1:10" hidden="1" x14ac:dyDescent="0.35">
      <c r="A1286" s="51">
        <v>45046</v>
      </c>
      <c r="B1286" t="s">
        <v>71</v>
      </c>
      <c r="C1286" t="s">
        <v>81</v>
      </c>
      <c r="E1286">
        <v>14</v>
      </c>
      <c r="F1286">
        <v>5</v>
      </c>
      <c r="G1286">
        <v>8</v>
      </c>
      <c r="H1286">
        <v>0</v>
      </c>
      <c r="I1286" s="33">
        <v>3</v>
      </c>
      <c r="J1286" s="52"/>
    </row>
    <row r="1287" spans="1:10" hidden="1" x14ac:dyDescent="0.35">
      <c r="A1287" s="51">
        <v>45017</v>
      </c>
      <c r="B1287" t="s">
        <v>84</v>
      </c>
      <c r="C1287" t="s">
        <v>81</v>
      </c>
      <c r="E1287">
        <v>0</v>
      </c>
      <c r="F1287">
        <v>1</v>
      </c>
      <c r="G1287">
        <v>0</v>
      </c>
      <c r="H1287">
        <v>0</v>
      </c>
      <c r="I1287" s="33">
        <v>1</v>
      </c>
      <c r="J1287" s="52"/>
    </row>
    <row r="1288" spans="1:10" hidden="1" x14ac:dyDescent="0.35">
      <c r="A1288" s="2">
        <v>45046</v>
      </c>
      <c r="B1288" t="s">
        <v>85</v>
      </c>
      <c r="C1288" t="s">
        <v>83</v>
      </c>
      <c r="E1288">
        <v>8</v>
      </c>
      <c r="F1288">
        <v>4</v>
      </c>
      <c r="G1288">
        <v>12</v>
      </c>
      <c r="H1288">
        <v>2</v>
      </c>
      <c r="I1288" s="33">
        <v>9</v>
      </c>
      <c r="J1288" s="52"/>
    </row>
    <row r="1289" spans="1:10" hidden="1" x14ac:dyDescent="0.35">
      <c r="A1289" s="51">
        <v>45046</v>
      </c>
      <c r="B1289" t="s">
        <v>88</v>
      </c>
      <c r="C1289" t="s">
        <v>76</v>
      </c>
      <c r="E1289">
        <v>8</v>
      </c>
      <c r="F1289">
        <v>8</v>
      </c>
      <c r="G1289">
        <v>2</v>
      </c>
      <c r="H1289">
        <v>2</v>
      </c>
      <c r="I1289" s="33">
        <v>4</v>
      </c>
      <c r="J1289" s="52"/>
    </row>
    <row r="1290" spans="1:10" hidden="1" x14ac:dyDescent="0.35">
      <c r="A1290" s="2">
        <v>45046</v>
      </c>
      <c r="B1290" t="s">
        <v>89</v>
      </c>
      <c r="C1290" t="s">
        <v>87</v>
      </c>
      <c r="E1290">
        <v>6</v>
      </c>
      <c r="F1290">
        <v>0</v>
      </c>
      <c r="G1290">
        <v>3</v>
      </c>
      <c r="H1290">
        <v>0</v>
      </c>
      <c r="I1290" s="33">
        <v>4</v>
      </c>
      <c r="J1290" s="52"/>
    </row>
    <row r="1291" spans="1:10" hidden="1" x14ac:dyDescent="0.35">
      <c r="A1291" s="51">
        <v>45046</v>
      </c>
      <c r="B1291" t="s">
        <v>93</v>
      </c>
      <c r="C1291" t="s">
        <v>90</v>
      </c>
      <c r="E1291">
        <v>5</v>
      </c>
      <c r="F1291">
        <v>5</v>
      </c>
      <c r="G1291">
        <v>1</v>
      </c>
      <c r="H1291">
        <v>0</v>
      </c>
      <c r="I1291" s="33">
        <v>4</v>
      </c>
      <c r="J1291" s="52"/>
    </row>
    <row r="1292" spans="1:10" hidden="1" x14ac:dyDescent="0.35">
      <c r="A1292" s="2">
        <v>45046</v>
      </c>
      <c r="B1292" t="s">
        <v>99</v>
      </c>
      <c r="C1292" t="s">
        <v>92</v>
      </c>
      <c r="E1292">
        <v>20</v>
      </c>
      <c r="F1292">
        <v>0</v>
      </c>
      <c r="G1292">
        <v>1</v>
      </c>
      <c r="H1292">
        <v>0</v>
      </c>
      <c r="I1292" s="33">
        <v>4</v>
      </c>
      <c r="J1292" s="52"/>
    </row>
    <row r="1293" spans="1:10" hidden="1" x14ac:dyDescent="0.35">
      <c r="A1293" s="51">
        <v>45046</v>
      </c>
      <c r="B1293" t="s">
        <v>98</v>
      </c>
      <c r="C1293" t="s">
        <v>94</v>
      </c>
      <c r="E1293">
        <v>12</v>
      </c>
      <c r="F1293">
        <v>3</v>
      </c>
      <c r="G1293">
        <v>0</v>
      </c>
      <c r="H1293">
        <v>0</v>
      </c>
      <c r="I1293" s="33">
        <v>7</v>
      </c>
      <c r="J1293" s="58"/>
    </row>
    <row r="1294" spans="1:10" hidden="1" x14ac:dyDescent="0.35">
      <c r="A1294" s="2">
        <v>45076</v>
      </c>
      <c r="C1294" t="s">
        <v>24</v>
      </c>
      <c r="D1294">
        <v>467</v>
      </c>
      <c r="J1294" s="58">
        <v>90300</v>
      </c>
    </row>
    <row r="1295" spans="1:10" hidden="1" x14ac:dyDescent="0.35">
      <c r="A1295" s="51">
        <v>45076</v>
      </c>
      <c r="C1295" t="s">
        <v>9</v>
      </c>
      <c r="D1295">
        <v>296</v>
      </c>
      <c r="J1295" s="58">
        <v>267550</v>
      </c>
    </row>
    <row r="1296" spans="1:10" hidden="1" x14ac:dyDescent="0.35">
      <c r="A1296" s="2">
        <v>45076</v>
      </c>
      <c r="C1296" t="s">
        <v>37</v>
      </c>
      <c r="D1296">
        <v>699</v>
      </c>
      <c r="J1296" s="58">
        <v>558615</v>
      </c>
    </row>
    <row r="1297" spans="1:10" hidden="1" x14ac:dyDescent="0.35">
      <c r="A1297" s="51">
        <v>45076</v>
      </c>
      <c r="C1297" t="s">
        <v>23</v>
      </c>
      <c r="D1297">
        <v>390</v>
      </c>
      <c r="J1297" s="58">
        <v>120350</v>
      </c>
    </row>
    <row r="1298" spans="1:10" hidden="1" x14ac:dyDescent="0.35">
      <c r="A1298" s="2">
        <v>45076</v>
      </c>
      <c r="C1298" t="s">
        <v>27</v>
      </c>
      <c r="D1298">
        <v>556</v>
      </c>
      <c r="J1298" s="58">
        <v>474350</v>
      </c>
    </row>
    <row r="1299" spans="1:10" hidden="1" x14ac:dyDescent="0.35">
      <c r="A1299" s="51">
        <v>45076</v>
      </c>
      <c r="C1299" t="s">
        <v>26</v>
      </c>
      <c r="D1299">
        <v>335</v>
      </c>
      <c r="J1299" s="58">
        <v>144400</v>
      </c>
    </row>
    <row r="1300" spans="1:10" hidden="1" x14ac:dyDescent="0.35">
      <c r="A1300" s="2">
        <v>45076</v>
      </c>
      <c r="C1300" t="s">
        <v>20</v>
      </c>
      <c r="D1300">
        <v>622</v>
      </c>
      <c r="J1300" s="58">
        <v>619710</v>
      </c>
    </row>
    <row r="1301" spans="1:10" hidden="1" x14ac:dyDescent="0.35">
      <c r="A1301" s="51">
        <v>45076</v>
      </c>
      <c r="C1301" t="s">
        <v>25</v>
      </c>
      <c r="D1301">
        <v>299</v>
      </c>
      <c r="J1301" s="58">
        <v>213900</v>
      </c>
    </row>
    <row r="1302" spans="1:10" hidden="1" x14ac:dyDescent="0.35">
      <c r="A1302" s="2">
        <v>45076</v>
      </c>
      <c r="C1302" t="s">
        <v>19</v>
      </c>
      <c r="D1302">
        <v>460</v>
      </c>
      <c r="J1302" s="58">
        <v>336300</v>
      </c>
    </row>
    <row r="1303" spans="1:10" hidden="1" x14ac:dyDescent="0.35">
      <c r="A1303" s="51">
        <v>45076</v>
      </c>
      <c r="C1303" t="s">
        <v>21</v>
      </c>
      <c r="D1303">
        <v>382</v>
      </c>
      <c r="J1303" s="58">
        <v>142950</v>
      </c>
    </row>
    <row r="1304" spans="1:10" hidden="1" x14ac:dyDescent="0.35">
      <c r="A1304" s="2">
        <v>45076</v>
      </c>
      <c r="C1304" t="s">
        <v>18</v>
      </c>
      <c r="D1304">
        <v>602</v>
      </c>
      <c r="J1304" s="58">
        <v>414751</v>
      </c>
    </row>
    <row r="1305" spans="1:10" hidden="1" x14ac:dyDescent="0.35">
      <c r="A1305" s="51">
        <v>45076</v>
      </c>
      <c r="C1305" t="s">
        <v>22</v>
      </c>
      <c r="D1305">
        <v>540</v>
      </c>
      <c r="J1305" s="58">
        <v>200000</v>
      </c>
    </row>
    <row r="1306" spans="1:10" hidden="1" x14ac:dyDescent="0.35">
      <c r="A1306" s="2">
        <v>45076</v>
      </c>
      <c r="C1306" t="s">
        <v>54</v>
      </c>
      <c r="D1306">
        <v>275</v>
      </c>
      <c r="J1306" s="58">
        <v>157400</v>
      </c>
    </row>
    <row r="1307" spans="1:10" hidden="1" x14ac:dyDescent="0.35">
      <c r="A1307" s="51">
        <v>45076</v>
      </c>
      <c r="C1307" t="s">
        <v>55</v>
      </c>
      <c r="D1307">
        <v>518</v>
      </c>
      <c r="J1307" s="58">
        <v>123000</v>
      </c>
    </row>
    <row r="1308" spans="1:10" hidden="1" x14ac:dyDescent="0.35">
      <c r="A1308" s="2">
        <v>45076</v>
      </c>
      <c r="C1308" t="s">
        <v>58</v>
      </c>
      <c r="D1308">
        <v>514</v>
      </c>
      <c r="J1308" s="58">
        <v>203250</v>
      </c>
    </row>
    <row r="1309" spans="1:10" hidden="1" x14ac:dyDescent="0.35">
      <c r="A1309" s="51">
        <v>45076</v>
      </c>
      <c r="C1309" t="s">
        <v>62</v>
      </c>
      <c r="D1309">
        <v>376</v>
      </c>
      <c r="J1309" s="58">
        <v>67000</v>
      </c>
    </row>
    <row r="1310" spans="1:10" hidden="1" x14ac:dyDescent="0.35">
      <c r="A1310" s="2">
        <v>45076</v>
      </c>
      <c r="C1310" t="s">
        <v>61</v>
      </c>
      <c r="D1310">
        <v>250</v>
      </c>
      <c r="J1310" s="58">
        <v>148970</v>
      </c>
    </row>
    <row r="1311" spans="1:10" hidden="1" x14ac:dyDescent="0.35">
      <c r="A1311" s="51">
        <v>45076</v>
      </c>
      <c r="C1311" t="s">
        <v>63</v>
      </c>
      <c r="D1311">
        <v>260</v>
      </c>
      <c r="J1311" s="58">
        <v>263900</v>
      </c>
    </row>
    <row r="1312" spans="1:10" hidden="1" x14ac:dyDescent="0.35">
      <c r="A1312" s="2">
        <v>45076</v>
      </c>
      <c r="C1312" t="s">
        <v>73</v>
      </c>
      <c r="D1312">
        <v>355</v>
      </c>
      <c r="J1312" s="58">
        <v>190450</v>
      </c>
    </row>
    <row r="1313" spans="1:10" hidden="1" x14ac:dyDescent="0.35">
      <c r="A1313" s="51">
        <v>45076</v>
      </c>
      <c r="C1313" t="s">
        <v>76</v>
      </c>
      <c r="D1313">
        <v>283</v>
      </c>
      <c r="J1313" s="58">
        <v>13500</v>
      </c>
    </row>
    <row r="1314" spans="1:10" hidden="1" x14ac:dyDescent="0.35">
      <c r="A1314" s="2">
        <v>45076</v>
      </c>
      <c r="C1314" t="s">
        <v>81</v>
      </c>
      <c r="D1314">
        <v>405</v>
      </c>
      <c r="J1314" s="58">
        <v>78850</v>
      </c>
    </row>
    <row r="1315" spans="1:10" hidden="1" x14ac:dyDescent="0.35">
      <c r="A1315" s="51">
        <v>45076</v>
      </c>
      <c r="C1315" t="s">
        <v>83</v>
      </c>
      <c r="D1315">
        <v>195</v>
      </c>
      <c r="J1315" s="58">
        <v>77000</v>
      </c>
    </row>
    <row r="1316" spans="1:10" hidden="1" x14ac:dyDescent="0.35">
      <c r="A1316" s="2">
        <v>45076</v>
      </c>
      <c r="C1316" t="s">
        <v>87</v>
      </c>
      <c r="D1316">
        <v>181</v>
      </c>
      <c r="J1316" s="58">
        <v>12000</v>
      </c>
    </row>
    <row r="1317" spans="1:10" hidden="1" x14ac:dyDescent="0.35">
      <c r="A1317" s="51">
        <v>45076</v>
      </c>
      <c r="C1317" t="s">
        <v>90</v>
      </c>
      <c r="D1317">
        <v>593</v>
      </c>
      <c r="J1317" s="58">
        <v>50500</v>
      </c>
    </row>
    <row r="1318" spans="1:10" hidden="1" x14ac:dyDescent="0.35">
      <c r="A1318" s="2">
        <v>45076</v>
      </c>
      <c r="C1318" t="s">
        <v>91</v>
      </c>
      <c r="D1318">
        <v>200</v>
      </c>
      <c r="J1318" s="58">
        <v>36000</v>
      </c>
    </row>
    <row r="1319" spans="1:10" hidden="1" x14ac:dyDescent="0.35">
      <c r="A1319" s="51">
        <v>45076</v>
      </c>
      <c r="C1319" t="s">
        <v>92</v>
      </c>
      <c r="D1319">
        <v>226</v>
      </c>
      <c r="J1319" s="58">
        <v>74900</v>
      </c>
    </row>
    <row r="1320" spans="1:10" hidden="1" x14ac:dyDescent="0.35">
      <c r="A1320" s="2">
        <v>45076</v>
      </c>
      <c r="C1320" t="s">
        <v>94</v>
      </c>
      <c r="D1320">
        <v>266</v>
      </c>
      <c r="J1320" s="58">
        <v>137550</v>
      </c>
    </row>
    <row r="1321" spans="1:10" hidden="1" x14ac:dyDescent="0.35">
      <c r="A1321" s="51">
        <v>45076</v>
      </c>
      <c r="B1321" t="s">
        <v>71</v>
      </c>
      <c r="C1321" t="s">
        <v>20</v>
      </c>
      <c r="E1321">
        <v>14</v>
      </c>
      <c r="F1321">
        <v>12</v>
      </c>
      <c r="G1321">
        <v>23</v>
      </c>
      <c r="H1321">
        <v>3</v>
      </c>
      <c r="I1321">
        <v>12</v>
      </c>
      <c r="J1321" s="52"/>
    </row>
    <row r="1322" spans="1:10" hidden="1" x14ac:dyDescent="0.35">
      <c r="A1322" s="2">
        <v>45076</v>
      </c>
      <c r="B1322" t="s">
        <v>36</v>
      </c>
      <c r="C1322" t="s">
        <v>20</v>
      </c>
      <c r="E1322">
        <v>58</v>
      </c>
      <c r="F1322">
        <v>15</v>
      </c>
      <c r="G1322">
        <v>69</v>
      </c>
      <c r="H1322">
        <v>7</v>
      </c>
      <c r="I1322">
        <v>33</v>
      </c>
      <c r="J1322" s="52"/>
    </row>
    <row r="1323" spans="1:10" hidden="1" x14ac:dyDescent="0.35">
      <c r="A1323" s="51">
        <v>45076</v>
      </c>
      <c r="B1323" t="s">
        <v>70</v>
      </c>
      <c r="C1323" t="s">
        <v>26</v>
      </c>
      <c r="E1323">
        <v>33</v>
      </c>
      <c r="F1323">
        <v>2</v>
      </c>
      <c r="G1323">
        <v>45</v>
      </c>
      <c r="H1323">
        <v>1</v>
      </c>
      <c r="I1323">
        <v>11</v>
      </c>
      <c r="J1323" s="52"/>
    </row>
    <row r="1324" spans="1:10" hidden="1" x14ac:dyDescent="0.35">
      <c r="A1324" s="2">
        <v>45076</v>
      </c>
      <c r="B1324" t="s">
        <v>38</v>
      </c>
      <c r="C1324" t="s">
        <v>18</v>
      </c>
      <c r="E1324">
        <v>60</v>
      </c>
      <c r="F1324">
        <v>24</v>
      </c>
      <c r="G1324">
        <v>36</v>
      </c>
      <c r="H1324">
        <v>15</v>
      </c>
      <c r="I1324">
        <v>18</v>
      </c>
      <c r="J1324" s="52"/>
    </row>
    <row r="1325" spans="1:10" hidden="1" x14ac:dyDescent="0.35">
      <c r="A1325" s="51">
        <v>45076</v>
      </c>
      <c r="B1325" t="s">
        <v>86</v>
      </c>
      <c r="C1325" t="s">
        <v>18</v>
      </c>
      <c r="E1325">
        <v>32</v>
      </c>
      <c r="F1325">
        <v>22</v>
      </c>
      <c r="G1325">
        <v>12</v>
      </c>
      <c r="H1325">
        <v>6</v>
      </c>
      <c r="I1325">
        <v>12</v>
      </c>
      <c r="J1325" s="52"/>
    </row>
    <row r="1326" spans="1:10" hidden="1" x14ac:dyDescent="0.35">
      <c r="A1326" s="2">
        <v>45076</v>
      </c>
      <c r="B1326" t="s">
        <v>13</v>
      </c>
      <c r="C1326" t="s">
        <v>25</v>
      </c>
      <c r="E1326">
        <v>45</v>
      </c>
      <c r="F1326">
        <v>5</v>
      </c>
      <c r="G1326">
        <v>30</v>
      </c>
      <c r="H1326">
        <v>2</v>
      </c>
      <c r="I1326">
        <v>16</v>
      </c>
      <c r="J1326" s="52"/>
    </row>
    <row r="1327" spans="1:10" hidden="1" x14ac:dyDescent="0.35">
      <c r="A1327" s="51">
        <v>45076</v>
      </c>
      <c r="B1327" t="s">
        <v>13</v>
      </c>
      <c r="C1327" t="s">
        <v>23</v>
      </c>
      <c r="E1327">
        <v>27</v>
      </c>
      <c r="F1327">
        <v>2</v>
      </c>
      <c r="G1327">
        <v>18</v>
      </c>
      <c r="H1327">
        <v>0</v>
      </c>
      <c r="I1327">
        <v>7</v>
      </c>
      <c r="J1327" s="52"/>
    </row>
    <row r="1328" spans="1:10" hidden="1" x14ac:dyDescent="0.35">
      <c r="A1328" s="2">
        <v>45076</v>
      </c>
      <c r="B1328" t="s">
        <v>41</v>
      </c>
      <c r="C1328" t="s">
        <v>23</v>
      </c>
      <c r="E1328">
        <v>0</v>
      </c>
      <c r="F1328">
        <v>0</v>
      </c>
      <c r="G1328">
        <v>0</v>
      </c>
      <c r="H1328">
        <v>1</v>
      </c>
      <c r="I1328">
        <v>2</v>
      </c>
      <c r="J1328" s="52"/>
    </row>
    <row r="1329" spans="1:10" hidden="1" x14ac:dyDescent="0.35">
      <c r="A1329" s="51">
        <v>45076</v>
      </c>
      <c r="B1329" t="s">
        <v>102</v>
      </c>
      <c r="C1329" t="s">
        <v>24</v>
      </c>
      <c r="E1329">
        <v>43</v>
      </c>
      <c r="F1329">
        <v>4</v>
      </c>
      <c r="G1329">
        <v>21</v>
      </c>
      <c r="H1329">
        <v>0</v>
      </c>
      <c r="I1329">
        <v>2</v>
      </c>
      <c r="J1329" s="52"/>
    </row>
    <row r="1330" spans="1:10" hidden="1" x14ac:dyDescent="0.35">
      <c r="A1330" s="51">
        <v>45076</v>
      </c>
      <c r="B1330" t="s">
        <v>96</v>
      </c>
      <c r="C1330" t="s">
        <v>24</v>
      </c>
      <c r="E1330">
        <v>6</v>
      </c>
      <c r="F1330">
        <v>0</v>
      </c>
      <c r="G1330">
        <v>2</v>
      </c>
      <c r="H1330">
        <v>1</v>
      </c>
      <c r="I1330">
        <v>5</v>
      </c>
      <c r="J1330" s="52"/>
    </row>
    <row r="1331" spans="1:10" hidden="1" x14ac:dyDescent="0.35">
      <c r="A1331" s="51">
        <v>45076</v>
      </c>
      <c r="B1331" t="s">
        <v>96</v>
      </c>
      <c r="C1331" t="s">
        <v>37</v>
      </c>
      <c r="E1331">
        <v>6</v>
      </c>
      <c r="F1331">
        <v>0</v>
      </c>
      <c r="G1331">
        <v>5</v>
      </c>
      <c r="H1331">
        <v>0</v>
      </c>
      <c r="I1331">
        <v>0</v>
      </c>
      <c r="J1331" s="52"/>
    </row>
    <row r="1332" spans="1:10" hidden="1" x14ac:dyDescent="0.35">
      <c r="A1332" s="2">
        <v>45076</v>
      </c>
      <c r="B1332" t="s">
        <v>12</v>
      </c>
      <c r="C1332" t="s">
        <v>37</v>
      </c>
      <c r="E1332">
        <v>0</v>
      </c>
      <c r="F1332">
        <v>0</v>
      </c>
      <c r="G1332">
        <v>42</v>
      </c>
      <c r="H1332">
        <v>10</v>
      </c>
      <c r="I1332">
        <v>3</v>
      </c>
      <c r="J1332" s="52"/>
    </row>
    <row r="1333" spans="1:10" hidden="1" x14ac:dyDescent="0.35">
      <c r="A1333" s="51">
        <v>45076</v>
      </c>
      <c r="B1333" t="s">
        <v>17</v>
      </c>
      <c r="C1333" t="s">
        <v>37</v>
      </c>
      <c r="E1333">
        <v>44</v>
      </c>
      <c r="F1333">
        <v>5</v>
      </c>
      <c r="G1333">
        <v>28</v>
      </c>
      <c r="H1333">
        <v>3</v>
      </c>
      <c r="I1333">
        <v>21</v>
      </c>
      <c r="J1333" s="52"/>
    </row>
    <row r="1334" spans="1:10" hidden="1" x14ac:dyDescent="0.35">
      <c r="A1334" s="2">
        <v>45076</v>
      </c>
      <c r="B1334" t="s">
        <v>50</v>
      </c>
      <c r="C1334" t="s">
        <v>37</v>
      </c>
      <c r="E1334">
        <v>18</v>
      </c>
      <c r="F1334">
        <v>2</v>
      </c>
      <c r="G1334">
        <v>24</v>
      </c>
      <c r="H1334">
        <v>2</v>
      </c>
      <c r="I1334">
        <v>16</v>
      </c>
      <c r="J1334" s="52"/>
    </row>
    <row r="1335" spans="1:10" hidden="1" x14ac:dyDescent="0.35">
      <c r="A1335" s="51">
        <v>45076</v>
      </c>
      <c r="B1335" t="s">
        <v>40</v>
      </c>
      <c r="C1335" t="s">
        <v>19</v>
      </c>
      <c r="E1335">
        <v>26</v>
      </c>
      <c r="F1335">
        <v>9</v>
      </c>
      <c r="G1335">
        <v>35</v>
      </c>
      <c r="H1335">
        <v>4</v>
      </c>
      <c r="I1335">
        <v>14</v>
      </c>
      <c r="J1335" s="52"/>
    </row>
    <row r="1336" spans="1:10" hidden="1" x14ac:dyDescent="0.35">
      <c r="A1336" s="2">
        <v>45076</v>
      </c>
      <c r="B1336" t="s">
        <v>42</v>
      </c>
      <c r="C1336" t="s">
        <v>19</v>
      </c>
      <c r="E1336">
        <v>39</v>
      </c>
      <c r="F1336">
        <v>6</v>
      </c>
      <c r="G1336">
        <v>40</v>
      </c>
      <c r="H1336">
        <v>3</v>
      </c>
      <c r="I1336">
        <v>11</v>
      </c>
      <c r="J1336" s="52"/>
    </row>
    <row r="1337" spans="1:10" hidden="1" x14ac:dyDescent="0.35">
      <c r="A1337" s="51">
        <v>45076</v>
      </c>
      <c r="B1337" t="s">
        <v>95</v>
      </c>
      <c r="C1337" t="s">
        <v>22</v>
      </c>
      <c r="E1337">
        <v>36</v>
      </c>
      <c r="F1337">
        <v>19</v>
      </c>
      <c r="G1337">
        <v>35</v>
      </c>
      <c r="H1337">
        <v>19</v>
      </c>
      <c r="I1337">
        <v>16</v>
      </c>
      <c r="J1337" s="52"/>
    </row>
    <row r="1338" spans="1:10" hidden="1" x14ac:dyDescent="0.35">
      <c r="A1338" s="2">
        <v>45076</v>
      </c>
      <c r="B1338" t="s">
        <v>43</v>
      </c>
      <c r="C1338" t="s">
        <v>27</v>
      </c>
      <c r="E1338">
        <v>41</v>
      </c>
      <c r="F1338">
        <v>0</v>
      </c>
      <c r="G1338">
        <v>49</v>
      </c>
      <c r="H1338">
        <v>0</v>
      </c>
      <c r="I1338">
        <v>25</v>
      </c>
      <c r="J1338" s="52"/>
    </row>
    <row r="1339" spans="1:10" hidden="1" x14ac:dyDescent="0.35">
      <c r="A1339" s="51">
        <v>45076</v>
      </c>
      <c r="B1339" t="s">
        <v>84</v>
      </c>
      <c r="C1339" t="s">
        <v>27</v>
      </c>
      <c r="E1339">
        <v>17</v>
      </c>
      <c r="F1339">
        <v>0</v>
      </c>
      <c r="G1339">
        <v>4</v>
      </c>
      <c r="H1339">
        <v>0</v>
      </c>
      <c r="I1339">
        <v>5</v>
      </c>
      <c r="J1339" s="52"/>
    </row>
    <row r="1340" spans="1:10" hidden="1" x14ac:dyDescent="0.35">
      <c r="A1340" s="2">
        <v>45076</v>
      </c>
      <c r="B1340" t="s">
        <v>17</v>
      </c>
      <c r="C1340" t="s">
        <v>9</v>
      </c>
      <c r="E1340">
        <v>6</v>
      </c>
      <c r="F1340">
        <v>0</v>
      </c>
      <c r="G1340">
        <v>22</v>
      </c>
      <c r="H1340">
        <v>1</v>
      </c>
      <c r="I1340">
        <v>6</v>
      </c>
      <c r="J1340" s="52"/>
    </row>
    <row r="1341" spans="1:10" hidden="1" x14ac:dyDescent="0.35">
      <c r="A1341" s="51">
        <v>45076</v>
      </c>
      <c r="B1341" t="s">
        <v>101</v>
      </c>
      <c r="C1341" t="s">
        <v>9</v>
      </c>
      <c r="E1341">
        <v>57</v>
      </c>
      <c r="F1341">
        <v>2</v>
      </c>
      <c r="G1341">
        <v>23</v>
      </c>
      <c r="H1341">
        <v>0</v>
      </c>
      <c r="I1341">
        <v>13</v>
      </c>
      <c r="J1341" s="52"/>
    </row>
    <row r="1342" spans="1:10" hidden="1" x14ac:dyDescent="0.35">
      <c r="A1342" s="2">
        <v>45076</v>
      </c>
      <c r="B1342" t="s">
        <v>14</v>
      </c>
      <c r="C1342" t="s">
        <v>21</v>
      </c>
      <c r="E1342">
        <v>31</v>
      </c>
      <c r="F1342">
        <v>35</v>
      </c>
      <c r="G1342">
        <v>24</v>
      </c>
      <c r="H1342">
        <v>18</v>
      </c>
      <c r="I1342">
        <v>10</v>
      </c>
      <c r="J1342" s="52"/>
    </row>
    <row r="1343" spans="1:10" hidden="1" x14ac:dyDescent="0.35">
      <c r="A1343" s="51">
        <v>45076</v>
      </c>
      <c r="B1343" t="s">
        <v>72</v>
      </c>
      <c r="C1343" t="s">
        <v>54</v>
      </c>
      <c r="E1343">
        <v>39</v>
      </c>
      <c r="F1343">
        <v>10</v>
      </c>
      <c r="G1343">
        <v>34</v>
      </c>
      <c r="H1343">
        <v>17</v>
      </c>
      <c r="I1343">
        <v>10</v>
      </c>
      <c r="J1343" s="52"/>
    </row>
    <row r="1344" spans="1:10" hidden="1" x14ac:dyDescent="0.35">
      <c r="A1344" s="2">
        <v>45076</v>
      </c>
      <c r="B1344" t="s">
        <v>93</v>
      </c>
      <c r="C1344" t="s">
        <v>54</v>
      </c>
      <c r="E1344">
        <v>3</v>
      </c>
      <c r="F1344">
        <v>2</v>
      </c>
      <c r="G1344">
        <v>0</v>
      </c>
      <c r="H1344">
        <v>1</v>
      </c>
      <c r="I1344">
        <v>1</v>
      </c>
      <c r="J1344" s="52"/>
    </row>
    <row r="1345" spans="1:10" hidden="1" x14ac:dyDescent="0.35">
      <c r="A1345" s="51">
        <v>45076</v>
      </c>
      <c r="B1345" t="s">
        <v>57</v>
      </c>
      <c r="C1345" t="s">
        <v>55</v>
      </c>
      <c r="E1345">
        <v>34</v>
      </c>
      <c r="F1345">
        <v>2</v>
      </c>
      <c r="G1345">
        <v>27</v>
      </c>
      <c r="H1345">
        <v>6</v>
      </c>
      <c r="I1345">
        <v>10</v>
      </c>
      <c r="J1345" s="52"/>
    </row>
    <row r="1346" spans="1:10" hidden="1" x14ac:dyDescent="0.35">
      <c r="A1346" s="51">
        <v>45076</v>
      </c>
      <c r="B1346" t="s">
        <v>100</v>
      </c>
      <c r="C1346" t="s">
        <v>58</v>
      </c>
      <c r="E1346">
        <v>53</v>
      </c>
      <c r="F1346">
        <v>10</v>
      </c>
      <c r="G1346">
        <v>27</v>
      </c>
      <c r="H1346">
        <v>7</v>
      </c>
      <c r="I1346">
        <v>15</v>
      </c>
      <c r="J1346" s="52"/>
    </row>
    <row r="1347" spans="1:10" hidden="1" x14ac:dyDescent="0.35">
      <c r="A1347" s="2">
        <v>45076</v>
      </c>
      <c r="B1347" t="s">
        <v>64</v>
      </c>
      <c r="C1347" t="s">
        <v>62</v>
      </c>
      <c r="E1347">
        <v>25</v>
      </c>
      <c r="F1347">
        <v>13</v>
      </c>
      <c r="G1347">
        <v>32</v>
      </c>
      <c r="H1347">
        <v>22</v>
      </c>
      <c r="I1347">
        <v>5</v>
      </c>
      <c r="J1347" s="52"/>
    </row>
    <row r="1348" spans="1:10" hidden="1" x14ac:dyDescent="0.35">
      <c r="A1348" s="51">
        <v>45076</v>
      </c>
      <c r="B1348" t="s">
        <v>75</v>
      </c>
      <c r="C1348" t="s">
        <v>61</v>
      </c>
      <c r="E1348">
        <v>42</v>
      </c>
      <c r="F1348">
        <v>10</v>
      </c>
      <c r="G1348">
        <v>32</v>
      </c>
      <c r="H1348">
        <v>4</v>
      </c>
      <c r="I1348">
        <v>12</v>
      </c>
      <c r="J1348" s="52"/>
    </row>
    <row r="1349" spans="1:10" hidden="1" x14ac:dyDescent="0.35">
      <c r="A1349" s="2">
        <v>45076</v>
      </c>
      <c r="B1349" t="s">
        <v>97</v>
      </c>
      <c r="C1349" t="s">
        <v>91</v>
      </c>
      <c r="E1349">
        <v>11</v>
      </c>
      <c r="F1349">
        <v>3</v>
      </c>
      <c r="G1349">
        <v>1</v>
      </c>
      <c r="H1349">
        <v>3</v>
      </c>
      <c r="I1349">
        <v>3</v>
      </c>
      <c r="J1349" s="52"/>
    </row>
    <row r="1350" spans="1:10" hidden="1" x14ac:dyDescent="0.35">
      <c r="A1350" s="51">
        <v>45076</v>
      </c>
      <c r="B1350" t="s">
        <v>69</v>
      </c>
      <c r="C1350" t="s">
        <v>63</v>
      </c>
      <c r="E1350">
        <v>30</v>
      </c>
      <c r="F1350">
        <v>15</v>
      </c>
      <c r="G1350">
        <v>27</v>
      </c>
      <c r="H1350">
        <v>14</v>
      </c>
      <c r="I1350">
        <v>20</v>
      </c>
      <c r="J1350" s="52"/>
    </row>
    <row r="1351" spans="1:10" hidden="1" x14ac:dyDescent="0.35">
      <c r="A1351" s="2">
        <v>45076</v>
      </c>
      <c r="B1351" t="s">
        <v>77</v>
      </c>
      <c r="C1351" t="s">
        <v>73</v>
      </c>
      <c r="E1351">
        <v>22</v>
      </c>
      <c r="F1351">
        <v>12</v>
      </c>
      <c r="G1351">
        <v>36</v>
      </c>
      <c r="H1351">
        <v>22</v>
      </c>
      <c r="I1351">
        <v>15</v>
      </c>
      <c r="J1351" s="52"/>
    </row>
    <row r="1352" spans="1:10" hidden="1" x14ac:dyDescent="0.35">
      <c r="A1352" s="51">
        <v>45076</v>
      </c>
      <c r="B1352" t="s">
        <v>71</v>
      </c>
      <c r="C1352" t="s">
        <v>81</v>
      </c>
      <c r="E1352">
        <v>14</v>
      </c>
      <c r="F1352">
        <v>3</v>
      </c>
      <c r="G1352">
        <v>15</v>
      </c>
      <c r="H1352">
        <v>2</v>
      </c>
      <c r="I1352">
        <v>6</v>
      </c>
      <c r="J1352" s="52"/>
    </row>
    <row r="1353" spans="1:10" hidden="1" x14ac:dyDescent="0.35">
      <c r="A1353" s="51">
        <v>45076</v>
      </c>
      <c r="B1353" t="s">
        <v>85</v>
      </c>
      <c r="C1353" t="s">
        <v>83</v>
      </c>
      <c r="E1353">
        <v>34</v>
      </c>
      <c r="F1353">
        <v>12</v>
      </c>
      <c r="G1353">
        <v>16</v>
      </c>
      <c r="H1353">
        <v>3</v>
      </c>
      <c r="I1353">
        <v>6</v>
      </c>
      <c r="J1353" s="52"/>
    </row>
    <row r="1354" spans="1:10" hidden="1" x14ac:dyDescent="0.35">
      <c r="A1354" s="2">
        <v>45076</v>
      </c>
      <c r="B1354" t="s">
        <v>88</v>
      </c>
      <c r="C1354" t="s">
        <v>76</v>
      </c>
      <c r="E1354">
        <v>20</v>
      </c>
      <c r="F1354">
        <v>12</v>
      </c>
      <c r="G1354">
        <v>5</v>
      </c>
      <c r="H1354">
        <v>2</v>
      </c>
      <c r="I1354">
        <v>1</v>
      </c>
      <c r="J1354" s="52"/>
    </row>
    <row r="1355" spans="1:10" hidden="1" x14ac:dyDescent="0.35">
      <c r="A1355" s="51">
        <v>45076</v>
      </c>
      <c r="B1355" t="s">
        <v>89</v>
      </c>
      <c r="C1355" t="s">
        <v>87</v>
      </c>
      <c r="E1355">
        <v>24</v>
      </c>
      <c r="F1355">
        <v>13</v>
      </c>
      <c r="G1355">
        <v>6</v>
      </c>
      <c r="H1355">
        <v>0</v>
      </c>
      <c r="I1355">
        <v>1</v>
      </c>
      <c r="J1355" s="52"/>
    </row>
    <row r="1356" spans="1:10" hidden="1" x14ac:dyDescent="0.35">
      <c r="A1356" s="2">
        <v>45076</v>
      </c>
      <c r="B1356" t="s">
        <v>93</v>
      </c>
      <c r="C1356" t="s">
        <v>90</v>
      </c>
      <c r="E1356">
        <v>15</v>
      </c>
      <c r="F1356">
        <v>1</v>
      </c>
      <c r="G1356">
        <v>5</v>
      </c>
      <c r="H1356">
        <v>1</v>
      </c>
      <c r="I1356">
        <v>4</v>
      </c>
      <c r="J1356" s="52"/>
    </row>
    <row r="1357" spans="1:10" hidden="1" x14ac:dyDescent="0.35">
      <c r="A1357" s="51">
        <v>45076</v>
      </c>
      <c r="B1357" t="s">
        <v>99</v>
      </c>
      <c r="C1357" t="s">
        <v>92</v>
      </c>
      <c r="E1357">
        <v>21</v>
      </c>
      <c r="F1357">
        <v>2</v>
      </c>
      <c r="G1357">
        <v>9</v>
      </c>
      <c r="H1357">
        <v>0</v>
      </c>
      <c r="I1357">
        <v>5</v>
      </c>
      <c r="J1357" s="52"/>
    </row>
    <row r="1358" spans="1:10" hidden="1" x14ac:dyDescent="0.35">
      <c r="A1358" s="2">
        <v>45076</v>
      </c>
      <c r="B1358" t="s">
        <v>98</v>
      </c>
      <c r="C1358" t="s">
        <v>94</v>
      </c>
      <c r="E1358">
        <v>36</v>
      </c>
      <c r="F1358">
        <v>3</v>
      </c>
      <c r="G1358">
        <v>13</v>
      </c>
      <c r="H1358">
        <v>1</v>
      </c>
      <c r="I1358">
        <v>10</v>
      </c>
      <c r="J1358" s="52"/>
    </row>
    <row r="1359" spans="1:10" hidden="1" x14ac:dyDescent="0.35">
      <c r="A1359" s="2">
        <v>45107</v>
      </c>
      <c r="C1359" t="s">
        <v>24</v>
      </c>
      <c r="D1359">
        <v>291</v>
      </c>
      <c r="J1359" s="58">
        <v>209900</v>
      </c>
    </row>
    <row r="1360" spans="1:10" hidden="1" x14ac:dyDescent="0.35">
      <c r="A1360" s="2">
        <v>45107</v>
      </c>
      <c r="C1360" t="s">
        <v>9</v>
      </c>
      <c r="D1360">
        <v>261</v>
      </c>
      <c r="J1360" s="58">
        <v>215850</v>
      </c>
    </row>
    <row r="1361" spans="1:10" hidden="1" x14ac:dyDescent="0.35">
      <c r="A1361" s="2">
        <v>45107</v>
      </c>
      <c r="C1361" t="s">
        <v>37</v>
      </c>
      <c r="D1361">
        <v>415</v>
      </c>
      <c r="J1361" s="58">
        <v>442430</v>
      </c>
    </row>
    <row r="1362" spans="1:10" hidden="1" x14ac:dyDescent="0.35">
      <c r="A1362" s="2">
        <v>45107</v>
      </c>
      <c r="C1362" t="s">
        <v>23</v>
      </c>
      <c r="D1362">
        <v>320</v>
      </c>
      <c r="J1362" s="58">
        <v>139000</v>
      </c>
    </row>
    <row r="1363" spans="1:10" hidden="1" x14ac:dyDescent="0.35">
      <c r="A1363" s="2">
        <v>45107</v>
      </c>
      <c r="C1363" t="s">
        <v>27</v>
      </c>
      <c r="D1363">
        <v>441</v>
      </c>
      <c r="J1363" s="58">
        <v>451800</v>
      </c>
    </row>
    <row r="1364" spans="1:10" hidden="1" x14ac:dyDescent="0.35">
      <c r="A1364" s="2">
        <v>45107</v>
      </c>
      <c r="C1364" t="s">
        <v>26</v>
      </c>
      <c r="D1364">
        <v>310</v>
      </c>
      <c r="J1364" s="58">
        <v>200300</v>
      </c>
    </row>
    <row r="1365" spans="1:10" hidden="1" x14ac:dyDescent="0.35">
      <c r="A1365" s="2">
        <v>45107</v>
      </c>
      <c r="C1365" t="s">
        <v>20</v>
      </c>
      <c r="D1365">
        <v>435</v>
      </c>
      <c r="J1365" s="58">
        <v>636400</v>
      </c>
    </row>
    <row r="1366" spans="1:10" hidden="1" x14ac:dyDescent="0.35">
      <c r="A1366" s="2">
        <v>45107</v>
      </c>
      <c r="C1366" t="s">
        <v>25</v>
      </c>
      <c r="D1366">
        <v>283</v>
      </c>
      <c r="J1366" s="58">
        <v>268450</v>
      </c>
    </row>
    <row r="1367" spans="1:10" hidden="1" x14ac:dyDescent="0.35">
      <c r="A1367" s="2">
        <v>45107</v>
      </c>
      <c r="C1367" t="s">
        <v>19</v>
      </c>
      <c r="D1367">
        <v>364</v>
      </c>
      <c r="J1367" s="58">
        <v>336750</v>
      </c>
    </row>
    <row r="1368" spans="1:10" hidden="1" x14ac:dyDescent="0.35">
      <c r="A1368" s="2">
        <v>45107</v>
      </c>
      <c r="C1368" t="s">
        <v>21</v>
      </c>
      <c r="D1368">
        <v>343</v>
      </c>
      <c r="J1368" s="58">
        <v>220450</v>
      </c>
    </row>
    <row r="1369" spans="1:10" hidden="1" x14ac:dyDescent="0.35">
      <c r="A1369" s="2">
        <v>45107</v>
      </c>
      <c r="C1369" t="s">
        <v>18</v>
      </c>
      <c r="D1369">
        <v>561</v>
      </c>
      <c r="J1369" s="58">
        <v>434005</v>
      </c>
    </row>
    <row r="1370" spans="1:10" hidden="1" x14ac:dyDescent="0.35">
      <c r="A1370" s="2">
        <v>45107</v>
      </c>
      <c r="C1370" t="s">
        <v>22</v>
      </c>
      <c r="D1370">
        <v>356</v>
      </c>
      <c r="J1370" s="58">
        <v>300500</v>
      </c>
    </row>
    <row r="1371" spans="1:10" hidden="1" x14ac:dyDescent="0.35">
      <c r="A1371" s="2">
        <v>45107</v>
      </c>
      <c r="C1371" t="s">
        <v>54</v>
      </c>
      <c r="D1371">
        <v>258</v>
      </c>
      <c r="J1371" s="58">
        <v>115200</v>
      </c>
    </row>
    <row r="1372" spans="1:10" hidden="1" x14ac:dyDescent="0.35">
      <c r="A1372" s="2">
        <v>45107</v>
      </c>
      <c r="C1372" t="s">
        <v>55</v>
      </c>
      <c r="D1372">
        <v>438</v>
      </c>
      <c r="J1372" s="58">
        <v>112890</v>
      </c>
    </row>
    <row r="1373" spans="1:10" hidden="1" x14ac:dyDescent="0.35">
      <c r="A1373" s="2">
        <v>45107</v>
      </c>
      <c r="C1373" t="s">
        <v>58</v>
      </c>
      <c r="D1373">
        <v>397</v>
      </c>
      <c r="J1373" s="58">
        <v>221550</v>
      </c>
    </row>
    <row r="1374" spans="1:10" hidden="1" x14ac:dyDescent="0.35">
      <c r="A1374" s="2">
        <v>45107</v>
      </c>
      <c r="C1374" t="s">
        <v>62</v>
      </c>
      <c r="D1374">
        <v>276</v>
      </c>
      <c r="J1374" s="58">
        <v>107850</v>
      </c>
    </row>
    <row r="1375" spans="1:10" hidden="1" x14ac:dyDescent="0.35">
      <c r="A1375" s="2">
        <v>45107</v>
      </c>
      <c r="C1375" t="s">
        <v>61</v>
      </c>
      <c r="D1375">
        <v>200</v>
      </c>
      <c r="J1375" s="58">
        <v>140950</v>
      </c>
    </row>
    <row r="1376" spans="1:10" hidden="1" x14ac:dyDescent="0.35">
      <c r="A1376" s="2">
        <v>45107</v>
      </c>
      <c r="C1376" t="s">
        <v>63</v>
      </c>
      <c r="D1376">
        <v>220</v>
      </c>
      <c r="J1376" s="58">
        <v>331965.75</v>
      </c>
    </row>
    <row r="1377" spans="1:10" hidden="1" x14ac:dyDescent="0.35">
      <c r="A1377" s="2">
        <v>45107</v>
      </c>
      <c r="C1377" t="s">
        <v>73</v>
      </c>
      <c r="D1377">
        <v>267</v>
      </c>
      <c r="J1377" s="58">
        <v>143350</v>
      </c>
    </row>
    <row r="1378" spans="1:10" hidden="1" x14ac:dyDescent="0.35">
      <c r="A1378" s="2">
        <v>45107</v>
      </c>
      <c r="C1378" t="s">
        <v>76</v>
      </c>
      <c r="D1378">
        <v>129</v>
      </c>
      <c r="J1378" s="58">
        <v>98450</v>
      </c>
    </row>
    <row r="1379" spans="1:10" hidden="1" x14ac:dyDescent="0.35">
      <c r="A1379" s="2">
        <v>45107</v>
      </c>
      <c r="C1379" t="s">
        <v>81</v>
      </c>
      <c r="D1379">
        <v>371</v>
      </c>
      <c r="J1379" s="58">
        <v>87500</v>
      </c>
    </row>
    <row r="1380" spans="1:10" hidden="1" x14ac:dyDescent="0.35">
      <c r="A1380" s="2">
        <v>45107</v>
      </c>
      <c r="C1380" t="s">
        <v>83</v>
      </c>
      <c r="D1380">
        <v>149</v>
      </c>
      <c r="J1380" s="58">
        <v>133900</v>
      </c>
    </row>
    <row r="1381" spans="1:10" hidden="1" x14ac:dyDescent="0.35">
      <c r="A1381" s="2">
        <v>45107</v>
      </c>
      <c r="C1381" t="s">
        <v>87</v>
      </c>
      <c r="D1381">
        <v>161</v>
      </c>
      <c r="J1381" s="58">
        <v>54900</v>
      </c>
    </row>
    <row r="1382" spans="1:10" hidden="1" x14ac:dyDescent="0.35">
      <c r="A1382" s="2">
        <v>45107</v>
      </c>
      <c r="C1382" t="s">
        <v>90</v>
      </c>
      <c r="D1382">
        <v>407</v>
      </c>
      <c r="J1382" s="58">
        <v>24000</v>
      </c>
    </row>
    <row r="1383" spans="1:10" hidden="1" x14ac:dyDescent="0.35">
      <c r="A1383" s="2">
        <v>45107</v>
      </c>
      <c r="C1383" t="s">
        <v>91</v>
      </c>
      <c r="D1383">
        <v>187</v>
      </c>
      <c r="J1383" s="58">
        <v>52480</v>
      </c>
    </row>
    <row r="1384" spans="1:10" hidden="1" x14ac:dyDescent="0.35">
      <c r="A1384" s="2">
        <v>45107</v>
      </c>
      <c r="C1384" t="s">
        <v>92</v>
      </c>
      <c r="D1384">
        <v>221</v>
      </c>
      <c r="J1384" s="58">
        <v>25000</v>
      </c>
    </row>
    <row r="1385" spans="1:10" hidden="1" x14ac:dyDescent="0.35">
      <c r="A1385" s="2">
        <v>45107</v>
      </c>
      <c r="C1385" t="s">
        <v>94</v>
      </c>
      <c r="D1385">
        <v>206</v>
      </c>
      <c r="J1385" s="58">
        <v>51950</v>
      </c>
    </row>
    <row r="1386" spans="1:10" hidden="1" x14ac:dyDescent="0.35">
      <c r="A1386" s="2">
        <v>45107</v>
      </c>
      <c r="C1386" t="s">
        <v>103</v>
      </c>
      <c r="D1386">
        <v>67</v>
      </c>
      <c r="J1386" s="58">
        <v>25000</v>
      </c>
    </row>
    <row r="1387" spans="1:10" hidden="1" x14ac:dyDescent="0.35">
      <c r="A1387" s="2">
        <v>45107</v>
      </c>
      <c r="C1387" t="s">
        <v>109</v>
      </c>
      <c r="D1387">
        <v>276</v>
      </c>
      <c r="J1387" s="58"/>
    </row>
    <row r="1388" spans="1:10" hidden="1" x14ac:dyDescent="0.35">
      <c r="A1388" s="2">
        <v>45107</v>
      </c>
      <c r="B1388" t="s">
        <v>71</v>
      </c>
      <c r="C1388" t="s">
        <v>20</v>
      </c>
      <c r="E1388">
        <v>24</v>
      </c>
      <c r="F1388">
        <v>7</v>
      </c>
      <c r="G1388">
        <v>18</v>
      </c>
      <c r="H1388">
        <v>5</v>
      </c>
      <c r="I1388">
        <v>18</v>
      </c>
      <c r="J1388" s="52"/>
    </row>
    <row r="1389" spans="1:10" hidden="1" x14ac:dyDescent="0.35">
      <c r="A1389" s="2">
        <v>45107</v>
      </c>
      <c r="B1389" t="s">
        <v>36</v>
      </c>
      <c r="C1389" t="s">
        <v>20</v>
      </c>
      <c r="E1389">
        <v>47</v>
      </c>
      <c r="F1389">
        <v>13</v>
      </c>
      <c r="G1389">
        <v>67</v>
      </c>
      <c r="H1389">
        <v>12</v>
      </c>
      <c r="I1389">
        <v>28</v>
      </c>
      <c r="J1389" s="52"/>
    </row>
    <row r="1390" spans="1:10" hidden="1" x14ac:dyDescent="0.35">
      <c r="A1390" s="2">
        <v>45107</v>
      </c>
      <c r="B1390" t="s">
        <v>70</v>
      </c>
      <c r="C1390" t="s">
        <v>26</v>
      </c>
      <c r="E1390">
        <v>33</v>
      </c>
      <c r="F1390">
        <v>4</v>
      </c>
      <c r="G1390">
        <v>24</v>
      </c>
      <c r="H1390">
        <v>2</v>
      </c>
      <c r="I1390">
        <v>15</v>
      </c>
      <c r="J1390" s="52"/>
    </row>
    <row r="1391" spans="1:10" hidden="1" x14ac:dyDescent="0.35">
      <c r="A1391" s="2">
        <v>45107</v>
      </c>
      <c r="B1391" t="s">
        <v>38</v>
      </c>
      <c r="C1391" t="s">
        <v>18</v>
      </c>
      <c r="E1391">
        <v>33</v>
      </c>
      <c r="F1391">
        <v>15</v>
      </c>
      <c r="G1391">
        <v>24</v>
      </c>
      <c r="H1391">
        <v>19</v>
      </c>
      <c r="I1391">
        <v>17</v>
      </c>
      <c r="J1391" s="52"/>
    </row>
    <row r="1392" spans="1:10" hidden="1" x14ac:dyDescent="0.35">
      <c r="A1392" s="2">
        <v>45107</v>
      </c>
      <c r="B1392" t="s">
        <v>86</v>
      </c>
      <c r="C1392" t="s">
        <v>18</v>
      </c>
      <c r="E1392">
        <v>14</v>
      </c>
      <c r="F1392">
        <v>19</v>
      </c>
      <c r="G1392">
        <v>11</v>
      </c>
      <c r="H1392">
        <v>8</v>
      </c>
      <c r="I1392">
        <v>14</v>
      </c>
      <c r="J1392" s="52"/>
    </row>
    <row r="1393" spans="1:10" hidden="1" x14ac:dyDescent="0.35">
      <c r="A1393" s="2">
        <v>45107</v>
      </c>
      <c r="B1393" t="s">
        <v>13</v>
      </c>
      <c r="C1393" t="s">
        <v>25</v>
      </c>
      <c r="E1393">
        <v>32</v>
      </c>
      <c r="F1393">
        <v>3</v>
      </c>
      <c r="G1393">
        <v>40</v>
      </c>
      <c r="H1393">
        <v>2</v>
      </c>
      <c r="I1393">
        <v>20</v>
      </c>
      <c r="J1393" s="52"/>
    </row>
    <row r="1394" spans="1:10" hidden="1" x14ac:dyDescent="0.35">
      <c r="A1394" s="2">
        <v>45107</v>
      </c>
      <c r="B1394" t="s">
        <v>13</v>
      </c>
      <c r="C1394" t="s">
        <v>23</v>
      </c>
      <c r="E1394">
        <v>14</v>
      </c>
      <c r="F1394">
        <v>0</v>
      </c>
      <c r="G1394">
        <v>9</v>
      </c>
      <c r="H1394">
        <v>3</v>
      </c>
      <c r="I1394">
        <v>9</v>
      </c>
      <c r="J1394" s="52"/>
    </row>
    <row r="1395" spans="1:10" hidden="1" x14ac:dyDescent="0.35">
      <c r="A1395" s="2">
        <v>45107</v>
      </c>
      <c r="B1395" t="s">
        <v>104</v>
      </c>
      <c r="C1395" t="s">
        <v>23</v>
      </c>
      <c r="E1395">
        <v>27</v>
      </c>
      <c r="F1395">
        <v>0</v>
      </c>
      <c r="G1395">
        <v>9</v>
      </c>
      <c r="H1395">
        <v>0</v>
      </c>
      <c r="I1395">
        <v>2</v>
      </c>
      <c r="J1395" s="52"/>
    </row>
    <row r="1396" spans="1:10" hidden="1" x14ac:dyDescent="0.35">
      <c r="A1396" s="2">
        <v>45107</v>
      </c>
      <c r="B1396" t="s">
        <v>102</v>
      </c>
      <c r="C1396" t="s">
        <v>24</v>
      </c>
      <c r="E1396">
        <v>36</v>
      </c>
      <c r="F1396">
        <v>9</v>
      </c>
      <c r="G1396">
        <v>27</v>
      </c>
      <c r="H1396">
        <v>3</v>
      </c>
      <c r="I1396">
        <v>14</v>
      </c>
      <c r="J1396" s="52"/>
    </row>
    <row r="1397" spans="1:10" hidden="1" x14ac:dyDescent="0.35">
      <c r="A1397" s="2">
        <v>45107</v>
      </c>
      <c r="B1397" t="s">
        <v>96</v>
      </c>
      <c r="C1397" t="s">
        <v>24</v>
      </c>
      <c r="E1397">
        <v>5</v>
      </c>
      <c r="F1397">
        <v>5</v>
      </c>
      <c r="G1397">
        <v>6</v>
      </c>
      <c r="H1397">
        <v>0</v>
      </c>
      <c r="I1397">
        <v>2</v>
      </c>
      <c r="J1397" s="52"/>
    </row>
    <row r="1398" spans="1:10" hidden="1" x14ac:dyDescent="0.35">
      <c r="A1398" s="2">
        <v>45107</v>
      </c>
      <c r="B1398" t="s">
        <v>96</v>
      </c>
      <c r="C1398" t="s">
        <v>37</v>
      </c>
      <c r="E1398">
        <v>12</v>
      </c>
      <c r="F1398">
        <v>0</v>
      </c>
      <c r="G1398">
        <v>5</v>
      </c>
      <c r="H1398">
        <v>1</v>
      </c>
      <c r="I1398">
        <v>2</v>
      </c>
      <c r="J1398" s="52"/>
    </row>
    <row r="1399" spans="1:10" hidden="1" x14ac:dyDescent="0.35">
      <c r="A1399" s="2">
        <v>45107</v>
      </c>
      <c r="B1399" t="s">
        <v>17</v>
      </c>
      <c r="C1399" t="s">
        <v>37</v>
      </c>
      <c r="E1399">
        <v>33</v>
      </c>
      <c r="F1399">
        <v>2</v>
      </c>
      <c r="G1399">
        <v>45</v>
      </c>
      <c r="H1399">
        <v>1</v>
      </c>
      <c r="I1399">
        <v>21</v>
      </c>
      <c r="J1399" s="52"/>
    </row>
    <row r="1400" spans="1:10" hidden="1" x14ac:dyDescent="0.35">
      <c r="A1400" s="2">
        <v>45107</v>
      </c>
      <c r="B1400" t="s">
        <v>50</v>
      </c>
      <c r="C1400" t="s">
        <v>37</v>
      </c>
      <c r="E1400">
        <v>24</v>
      </c>
      <c r="F1400">
        <v>3</v>
      </c>
      <c r="G1400">
        <v>33</v>
      </c>
      <c r="H1400">
        <v>4</v>
      </c>
      <c r="I1400">
        <v>9</v>
      </c>
      <c r="J1400" s="52"/>
    </row>
    <row r="1401" spans="1:10" hidden="1" x14ac:dyDescent="0.35">
      <c r="A1401" s="2">
        <v>45107</v>
      </c>
      <c r="B1401" t="s">
        <v>40</v>
      </c>
      <c r="C1401" t="s">
        <v>19</v>
      </c>
      <c r="E1401">
        <v>51</v>
      </c>
      <c r="F1401">
        <v>6</v>
      </c>
      <c r="G1401">
        <v>43</v>
      </c>
      <c r="H1401">
        <v>4</v>
      </c>
      <c r="I1401">
        <v>9</v>
      </c>
      <c r="J1401" s="52"/>
    </row>
    <row r="1402" spans="1:10" hidden="1" x14ac:dyDescent="0.35">
      <c r="A1402" s="2">
        <v>45107</v>
      </c>
      <c r="B1402" t="s">
        <v>42</v>
      </c>
      <c r="C1402" t="s">
        <v>19</v>
      </c>
      <c r="E1402">
        <v>28</v>
      </c>
      <c r="F1402">
        <v>5</v>
      </c>
      <c r="G1402">
        <v>32</v>
      </c>
      <c r="H1402">
        <v>5</v>
      </c>
      <c r="I1402">
        <v>16</v>
      </c>
      <c r="J1402" s="52"/>
    </row>
    <row r="1403" spans="1:10" hidden="1" x14ac:dyDescent="0.35">
      <c r="A1403" s="2">
        <v>45107</v>
      </c>
      <c r="B1403" t="s">
        <v>95</v>
      </c>
      <c r="C1403" t="s">
        <v>22</v>
      </c>
      <c r="E1403">
        <v>23</v>
      </c>
      <c r="F1403">
        <v>8</v>
      </c>
      <c r="G1403">
        <v>27</v>
      </c>
      <c r="H1403">
        <v>15</v>
      </c>
      <c r="I1403">
        <v>18</v>
      </c>
      <c r="J1403" s="52"/>
    </row>
    <row r="1404" spans="1:10" hidden="1" x14ac:dyDescent="0.35">
      <c r="A1404" s="2">
        <v>45107</v>
      </c>
      <c r="B1404" t="s">
        <v>105</v>
      </c>
      <c r="C1404" t="s">
        <v>22</v>
      </c>
      <c r="E1404">
        <v>21</v>
      </c>
      <c r="F1404">
        <v>11</v>
      </c>
      <c r="G1404">
        <v>1</v>
      </c>
      <c r="H1404">
        <v>3</v>
      </c>
      <c r="I1404">
        <v>5</v>
      </c>
      <c r="J1404" s="52"/>
    </row>
    <row r="1405" spans="1:10" hidden="1" x14ac:dyDescent="0.35">
      <c r="A1405" s="2">
        <v>45107</v>
      </c>
      <c r="B1405" t="s">
        <v>43</v>
      </c>
      <c r="C1405" t="s">
        <v>27</v>
      </c>
      <c r="E1405">
        <v>36</v>
      </c>
      <c r="F1405">
        <v>0</v>
      </c>
      <c r="G1405">
        <v>38</v>
      </c>
      <c r="H1405">
        <v>0</v>
      </c>
      <c r="I1405">
        <v>25</v>
      </c>
      <c r="J1405" s="52"/>
    </row>
    <row r="1406" spans="1:10" hidden="1" x14ac:dyDescent="0.35">
      <c r="A1406" s="2">
        <v>45107</v>
      </c>
      <c r="B1406" t="s">
        <v>84</v>
      </c>
      <c r="C1406" t="s">
        <v>27</v>
      </c>
      <c r="E1406">
        <v>16</v>
      </c>
      <c r="F1406">
        <v>0</v>
      </c>
      <c r="G1406">
        <v>8</v>
      </c>
      <c r="H1406">
        <v>0</v>
      </c>
      <c r="I1406">
        <v>3</v>
      </c>
      <c r="J1406" s="52"/>
    </row>
    <row r="1407" spans="1:10" hidden="1" x14ac:dyDescent="0.35">
      <c r="A1407" s="2">
        <v>45107</v>
      </c>
      <c r="B1407" t="s">
        <v>17</v>
      </c>
      <c r="C1407" t="s">
        <v>9</v>
      </c>
      <c r="E1407">
        <v>3</v>
      </c>
      <c r="F1407">
        <v>0</v>
      </c>
      <c r="G1407">
        <v>21</v>
      </c>
      <c r="H1407">
        <v>4</v>
      </c>
      <c r="I1407">
        <v>3</v>
      </c>
      <c r="J1407" s="52"/>
    </row>
    <row r="1408" spans="1:10" hidden="1" x14ac:dyDescent="0.35">
      <c r="A1408" s="2">
        <v>45107</v>
      </c>
      <c r="B1408" t="s">
        <v>101</v>
      </c>
      <c r="C1408" t="s">
        <v>9</v>
      </c>
      <c r="E1408">
        <v>26</v>
      </c>
      <c r="F1408">
        <v>0</v>
      </c>
      <c r="G1408">
        <v>8</v>
      </c>
      <c r="H1408">
        <v>0</v>
      </c>
      <c r="I1408">
        <v>13</v>
      </c>
      <c r="J1408" s="52"/>
    </row>
    <row r="1409" spans="1:10" hidden="1" x14ac:dyDescent="0.35">
      <c r="A1409" s="2">
        <v>45107</v>
      </c>
      <c r="B1409" t="s">
        <v>14</v>
      </c>
      <c r="C1409" t="s">
        <v>21</v>
      </c>
      <c r="E1409">
        <v>33</v>
      </c>
      <c r="F1409">
        <v>35</v>
      </c>
      <c r="G1409">
        <v>17</v>
      </c>
      <c r="H1409">
        <v>18</v>
      </c>
      <c r="I1409">
        <v>16</v>
      </c>
      <c r="J1409" s="52"/>
    </row>
    <row r="1410" spans="1:10" hidden="1" x14ac:dyDescent="0.35">
      <c r="A1410" s="2">
        <v>45107</v>
      </c>
      <c r="B1410" t="s">
        <v>72</v>
      </c>
      <c r="C1410" t="s">
        <v>54</v>
      </c>
      <c r="E1410">
        <v>36</v>
      </c>
      <c r="F1410">
        <v>7</v>
      </c>
      <c r="G1410">
        <v>18</v>
      </c>
      <c r="H1410">
        <v>7</v>
      </c>
      <c r="I1410">
        <v>7</v>
      </c>
      <c r="J1410" s="52"/>
    </row>
    <row r="1411" spans="1:10" hidden="1" x14ac:dyDescent="0.35">
      <c r="A1411" s="2">
        <v>45107</v>
      </c>
      <c r="B1411" t="s">
        <v>93</v>
      </c>
      <c r="C1411" t="s">
        <v>54</v>
      </c>
      <c r="E1411">
        <v>0</v>
      </c>
      <c r="F1411">
        <v>0</v>
      </c>
      <c r="G1411">
        <v>1</v>
      </c>
      <c r="H1411">
        <v>1</v>
      </c>
      <c r="I1411">
        <v>1</v>
      </c>
      <c r="J1411" s="52"/>
    </row>
    <row r="1412" spans="1:10" hidden="1" x14ac:dyDescent="0.35">
      <c r="A1412" s="2">
        <v>45107</v>
      </c>
      <c r="B1412" t="s">
        <v>57</v>
      </c>
      <c r="C1412" t="s">
        <v>55</v>
      </c>
      <c r="E1412">
        <v>15</v>
      </c>
      <c r="F1412">
        <v>13</v>
      </c>
      <c r="G1412">
        <v>12</v>
      </c>
      <c r="H1412">
        <v>6</v>
      </c>
      <c r="I1412">
        <v>9</v>
      </c>
      <c r="J1412" s="52"/>
    </row>
    <row r="1413" spans="1:10" hidden="1" x14ac:dyDescent="0.35">
      <c r="A1413" s="2">
        <v>45107</v>
      </c>
      <c r="B1413" t="s">
        <v>100</v>
      </c>
      <c r="C1413" t="s">
        <v>58</v>
      </c>
      <c r="E1413">
        <v>25</v>
      </c>
      <c r="F1413">
        <v>4</v>
      </c>
      <c r="G1413">
        <v>18</v>
      </c>
      <c r="H1413">
        <v>15</v>
      </c>
      <c r="I1413">
        <v>14</v>
      </c>
      <c r="J1413" s="52"/>
    </row>
    <row r="1414" spans="1:10" hidden="1" x14ac:dyDescent="0.35">
      <c r="A1414" s="2">
        <v>45107</v>
      </c>
      <c r="B1414" t="s">
        <v>107</v>
      </c>
      <c r="C1414" t="s">
        <v>58</v>
      </c>
      <c r="E1414">
        <v>30</v>
      </c>
      <c r="F1414">
        <v>12</v>
      </c>
      <c r="G1414">
        <v>1</v>
      </c>
      <c r="H1414">
        <v>0</v>
      </c>
      <c r="I1414">
        <v>2</v>
      </c>
      <c r="J1414" s="52"/>
    </row>
    <row r="1415" spans="1:10" hidden="1" x14ac:dyDescent="0.35">
      <c r="A1415" s="2">
        <v>45107</v>
      </c>
      <c r="B1415" t="s">
        <v>64</v>
      </c>
      <c r="C1415" t="s">
        <v>62</v>
      </c>
      <c r="E1415">
        <v>27</v>
      </c>
      <c r="F1415">
        <v>6</v>
      </c>
      <c r="G1415">
        <v>29</v>
      </c>
      <c r="H1415">
        <v>15</v>
      </c>
      <c r="I1415">
        <v>8</v>
      </c>
      <c r="J1415" s="52"/>
    </row>
    <row r="1416" spans="1:10" hidden="1" x14ac:dyDescent="0.35">
      <c r="A1416" s="2">
        <v>45107</v>
      </c>
      <c r="B1416" t="s">
        <v>75</v>
      </c>
      <c r="C1416" t="s">
        <v>61</v>
      </c>
      <c r="E1416">
        <v>38</v>
      </c>
      <c r="F1416">
        <v>12</v>
      </c>
      <c r="G1416">
        <v>24</v>
      </c>
      <c r="H1416">
        <v>3</v>
      </c>
      <c r="I1416">
        <v>11</v>
      </c>
      <c r="J1416" s="52"/>
    </row>
    <row r="1417" spans="1:10" hidden="1" x14ac:dyDescent="0.35">
      <c r="A1417" s="2">
        <v>45107</v>
      </c>
      <c r="B1417" t="s">
        <v>97</v>
      </c>
      <c r="C1417" t="s">
        <v>91</v>
      </c>
      <c r="E1417">
        <v>17</v>
      </c>
      <c r="F1417">
        <v>7</v>
      </c>
      <c r="G1417">
        <v>3</v>
      </c>
      <c r="H1417">
        <v>1</v>
      </c>
      <c r="I1417">
        <v>4</v>
      </c>
      <c r="J1417" s="52"/>
    </row>
    <row r="1418" spans="1:10" hidden="1" x14ac:dyDescent="0.35">
      <c r="A1418" s="2">
        <v>45107</v>
      </c>
      <c r="B1418" t="s">
        <v>69</v>
      </c>
      <c r="C1418" t="s">
        <v>63</v>
      </c>
      <c r="E1418">
        <v>30</v>
      </c>
      <c r="F1418">
        <v>8</v>
      </c>
      <c r="G1418">
        <v>16</v>
      </c>
      <c r="H1418">
        <v>4</v>
      </c>
      <c r="I1418">
        <v>25</v>
      </c>
      <c r="J1418" s="52"/>
    </row>
    <row r="1419" spans="1:10" hidden="1" x14ac:dyDescent="0.35">
      <c r="A1419" s="2">
        <v>45107</v>
      </c>
      <c r="B1419" t="s">
        <v>77</v>
      </c>
      <c r="C1419" t="s">
        <v>73</v>
      </c>
      <c r="E1419">
        <v>15</v>
      </c>
      <c r="F1419">
        <v>8</v>
      </c>
      <c r="G1419">
        <v>19</v>
      </c>
      <c r="H1419">
        <v>23</v>
      </c>
      <c r="I1419">
        <v>11</v>
      </c>
      <c r="J1419" s="52"/>
    </row>
    <row r="1420" spans="1:10" hidden="1" x14ac:dyDescent="0.35">
      <c r="A1420" s="2">
        <v>45107</v>
      </c>
      <c r="B1420" t="s">
        <v>71</v>
      </c>
      <c r="C1420" t="s">
        <v>81</v>
      </c>
      <c r="E1420">
        <v>7</v>
      </c>
      <c r="F1420">
        <v>3</v>
      </c>
      <c r="G1420">
        <v>11</v>
      </c>
      <c r="H1420">
        <v>1</v>
      </c>
      <c r="I1420">
        <v>7</v>
      </c>
      <c r="J1420" s="52"/>
    </row>
    <row r="1421" spans="1:10" hidden="1" x14ac:dyDescent="0.35">
      <c r="A1421" s="2">
        <v>45107</v>
      </c>
      <c r="B1421" t="s">
        <v>85</v>
      </c>
      <c r="C1421" t="s">
        <v>83</v>
      </c>
      <c r="E1421">
        <v>12</v>
      </c>
      <c r="F1421">
        <v>2</v>
      </c>
      <c r="G1421">
        <v>20</v>
      </c>
      <c r="H1421">
        <v>5</v>
      </c>
      <c r="I1421">
        <v>10</v>
      </c>
      <c r="J1421" s="52"/>
    </row>
    <row r="1422" spans="1:10" hidden="1" x14ac:dyDescent="0.35">
      <c r="A1422" s="2">
        <v>45107</v>
      </c>
      <c r="B1422" t="s">
        <v>88</v>
      </c>
      <c r="C1422" t="s">
        <v>76</v>
      </c>
      <c r="E1422">
        <v>23</v>
      </c>
      <c r="F1422">
        <v>6</v>
      </c>
      <c r="G1422">
        <v>5</v>
      </c>
      <c r="H1422">
        <v>3</v>
      </c>
      <c r="I1422">
        <v>8</v>
      </c>
      <c r="J1422" s="52"/>
    </row>
    <row r="1423" spans="1:10" hidden="1" x14ac:dyDescent="0.35">
      <c r="A1423" s="2">
        <v>45107</v>
      </c>
      <c r="B1423" t="s">
        <v>89</v>
      </c>
      <c r="C1423" t="s">
        <v>87</v>
      </c>
      <c r="E1423">
        <v>24</v>
      </c>
      <c r="F1423">
        <v>12</v>
      </c>
      <c r="G1423">
        <v>10</v>
      </c>
      <c r="H1423">
        <v>2</v>
      </c>
      <c r="I1423">
        <v>4</v>
      </c>
      <c r="J1423" s="52"/>
    </row>
    <row r="1424" spans="1:10" hidden="1" x14ac:dyDescent="0.35">
      <c r="A1424" s="2">
        <v>45107</v>
      </c>
      <c r="B1424" t="s">
        <v>93</v>
      </c>
      <c r="C1424" t="s">
        <v>90</v>
      </c>
      <c r="E1424">
        <v>5</v>
      </c>
      <c r="F1424">
        <v>4</v>
      </c>
      <c r="G1424">
        <v>4</v>
      </c>
      <c r="H1424">
        <v>2</v>
      </c>
      <c r="I1424">
        <v>2</v>
      </c>
      <c r="J1424" s="52"/>
    </row>
    <row r="1425" spans="1:10" hidden="1" x14ac:dyDescent="0.35">
      <c r="A1425" s="2">
        <v>45107</v>
      </c>
      <c r="B1425" t="s">
        <v>99</v>
      </c>
      <c r="C1425" t="s">
        <v>92</v>
      </c>
      <c r="E1425">
        <v>20</v>
      </c>
      <c r="F1425">
        <v>2</v>
      </c>
      <c r="G1425">
        <v>2</v>
      </c>
      <c r="H1425">
        <v>0</v>
      </c>
      <c r="I1425">
        <v>2</v>
      </c>
      <c r="J1425" s="52"/>
    </row>
    <row r="1426" spans="1:10" hidden="1" x14ac:dyDescent="0.35">
      <c r="A1426" s="2">
        <v>45107</v>
      </c>
      <c r="B1426" t="s">
        <v>98</v>
      </c>
      <c r="C1426" t="s">
        <v>94</v>
      </c>
      <c r="E1426">
        <v>21</v>
      </c>
      <c r="F1426">
        <v>6</v>
      </c>
      <c r="G1426">
        <v>6</v>
      </c>
      <c r="H1426">
        <v>0</v>
      </c>
      <c r="I1426">
        <v>4</v>
      </c>
      <c r="J1426" s="52"/>
    </row>
    <row r="1427" spans="1:10" hidden="1" x14ac:dyDescent="0.35">
      <c r="A1427" s="2">
        <v>45107</v>
      </c>
      <c r="B1427" t="s">
        <v>106</v>
      </c>
      <c r="C1427" t="s">
        <v>103</v>
      </c>
      <c r="E1427">
        <v>13</v>
      </c>
      <c r="F1427">
        <v>4</v>
      </c>
      <c r="G1427">
        <v>0</v>
      </c>
      <c r="H1427">
        <v>0</v>
      </c>
      <c r="I1427">
        <v>2</v>
      </c>
      <c r="J1427" s="52"/>
    </row>
    <row r="1428" spans="1:10" hidden="1" x14ac:dyDescent="0.35">
      <c r="A1428" s="2">
        <v>45107</v>
      </c>
      <c r="B1428" t="s">
        <v>108</v>
      </c>
      <c r="C1428" t="s">
        <v>109</v>
      </c>
      <c r="E1428">
        <v>11</v>
      </c>
      <c r="F1428">
        <v>4</v>
      </c>
      <c r="G1428">
        <v>0</v>
      </c>
      <c r="H1428">
        <v>0</v>
      </c>
      <c r="I1428">
        <v>0</v>
      </c>
      <c r="J1428" s="52"/>
    </row>
    <row r="1429" spans="1:10" hidden="1" x14ac:dyDescent="0.35">
      <c r="A1429" s="2">
        <v>45137</v>
      </c>
      <c r="C1429" t="s">
        <v>24</v>
      </c>
      <c r="D1429">
        <v>439</v>
      </c>
      <c r="J1429" s="58">
        <v>229150</v>
      </c>
    </row>
    <row r="1430" spans="1:10" hidden="1" x14ac:dyDescent="0.35">
      <c r="A1430" s="2">
        <v>45137</v>
      </c>
      <c r="C1430" t="s">
        <v>9</v>
      </c>
      <c r="D1430">
        <v>281</v>
      </c>
      <c r="J1430" s="58">
        <v>211200</v>
      </c>
    </row>
    <row r="1431" spans="1:10" hidden="1" x14ac:dyDescent="0.35">
      <c r="A1431" s="2">
        <v>45137</v>
      </c>
      <c r="C1431" t="s">
        <v>37</v>
      </c>
      <c r="D1431">
        <v>488</v>
      </c>
      <c r="J1431" s="58">
        <v>422500</v>
      </c>
    </row>
    <row r="1432" spans="1:10" hidden="1" x14ac:dyDescent="0.35">
      <c r="A1432" s="2">
        <v>45137</v>
      </c>
      <c r="C1432" t="s">
        <v>23</v>
      </c>
      <c r="D1432">
        <v>291</v>
      </c>
      <c r="J1432" s="58">
        <v>192050</v>
      </c>
    </row>
    <row r="1433" spans="1:10" hidden="1" x14ac:dyDescent="0.35">
      <c r="A1433" s="2">
        <v>45137</v>
      </c>
      <c r="C1433" t="s">
        <v>27</v>
      </c>
      <c r="D1433">
        <v>460</v>
      </c>
      <c r="J1433" s="58">
        <v>490100</v>
      </c>
    </row>
    <row r="1434" spans="1:10" hidden="1" x14ac:dyDescent="0.35">
      <c r="A1434" s="2">
        <v>45137</v>
      </c>
      <c r="C1434" t="s">
        <v>26</v>
      </c>
      <c r="D1434">
        <v>345</v>
      </c>
      <c r="J1434" s="58">
        <v>152125</v>
      </c>
    </row>
    <row r="1435" spans="1:10" hidden="1" x14ac:dyDescent="0.35">
      <c r="A1435" s="2">
        <v>45137</v>
      </c>
      <c r="C1435" t="s">
        <v>20</v>
      </c>
      <c r="D1435">
        <v>404</v>
      </c>
      <c r="J1435" s="58">
        <v>553500</v>
      </c>
    </row>
    <row r="1436" spans="1:10" hidden="1" x14ac:dyDescent="0.35">
      <c r="A1436" s="2">
        <v>45137</v>
      </c>
      <c r="C1436" t="s">
        <v>25</v>
      </c>
      <c r="D1436">
        <v>255</v>
      </c>
      <c r="J1436" s="58">
        <v>135350</v>
      </c>
    </row>
    <row r="1437" spans="1:10" hidden="1" x14ac:dyDescent="0.35">
      <c r="A1437" s="2">
        <v>45137</v>
      </c>
      <c r="C1437" t="s">
        <v>19</v>
      </c>
      <c r="D1437">
        <v>435</v>
      </c>
      <c r="J1437" s="58">
        <v>462650</v>
      </c>
    </row>
    <row r="1438" spans="1:10" hidden="1" x14ac:dyDescent="0.35">
      <c r="A1438" s="2">
        <v>45137</v>
      </c>
      <c r="C1438" t="s">
        <v>21</v>
      </c>
      <c r="D1438">
        <v>331</v>
      </c>
      <c r="J1438" s="58">
        <v>269050</v>
      </c>
    </row>
    <row r="1439" spans="1:10" hidden="1" x14ac:dyDescent="0.35">
      <c r="A1439" s="2">
        <v>45137</v>
      </c>
      <c r="C1439" t="s">
        <v>18</v>
      </c>
      <c r="D1439">
        <v>610</v>
      </c>
      <c r="J1439" s="58">
        <v>480750</v>
      </c>
    </row>
    <row r="1440" spans="1:10" hidden="1" x14ac:dyDescent="0.35">
      <c r="A1440" s="2">
        <v>45137</v>
      </c>
      <c r="C1440" t="s">
        <v>22</v>
      </c>
      <c r="D1440">
        <v>424</v>
      </c>
      <c r="J1440" s="58">
        <v>282450</v>
      </c>
    </row>
    <row r="1441" spans="1:10" hidden="1" x14ac:dyDescent="0.35">
      <c r="A1441" s="2">
        <v>45137</v>
      </c>
      <c r="C1441" t="s">
        <v>54</v>
      </c>
      <c r="D1441">
        <v>251</v>
      </c>
      <c r="J1441" s="58">
        <v>216700</v>
      </c>
    </row>
    <row r="1442" spans="1:10" hidden="1" x14ac:dyDescent="0.35">
      <c r="A1442" s="2">
        <v>45137</v>
      </c>
      <c r="C1442" t="s">
        <v>55</v>
      </c>
      <c r="D1442">
        <v>547</v>
      </c>
      <c r="J1442" s="58">
        <v>139960</v>
      </c>
    </row>
    <row r="1443" spans="1:10" hidden="1" x14ac:dyDescent="0.35">
      <c r="A1443" s="2">
        <v>45137</v>
      </c>
      <c r="C1443" t="s">
        <v>58</v>
      </c>
      <c r="D1443">
        <v>463</v>
      </c>
      <c r="J1443" s="58">
        <v>284300</v>
      </c>
    </row>
    <row r="1444" spans="1:10" hidden="1" x14ac:dyDescent="0.35">
      <c r="A1444" s="2">
        <v>45137</v>
      </c>
      <c r="C1444" t="s">
        <v>62</v>
      </c>
      <c r="D1444">
        <v>345</v>
      </c>
      <c r="J1444" s="58">
        <v>120300</v>
      </c>
    </row>
    <row r="1445" spans="1:10" hidden="1" x14ac:dyDescent="0.35">
      <c r="A1445" s="2">
        <v>45137</v>
      </c>
      <c r="C1445" t="s">
        <v>61</v>
      </c>
      <c r="D1445">
        <v>216</v>
      </c>
      <c r="J1445" s="58">
        <v>150450</v>
      </c>
    </row>
    <row r="1446" spans="1:10" hidden="1" x14ac:dyDescent="0.35">
      <c r="A1446" s="2">
        <v>45137</v>
      </c>
      <c r="C1446" t="s">
        <v>63</v>
      </c>
      <c r="D1446">
        <v>250</v>
      </c>
      <c r="J1446" s="58">
        <v>346500</v>
      </c>
    </row>
    <row r="1447" spans="1:10" hidden="1" x14ac:dyDescent="0.35">
      <c r="A1447" s="2">
        <v>45137</v>
      </c>
      <c r="C1447" t="s">
        <v>73</v>
      </c>
      <c r="D1447">
        <v>298</v>
      </c>
      <c r="J1447" s="58">
        <v>204100</v>
      </c>
    </row>
    <row r="1448" spans="1:10" hidden="1" x14ac:dyDescent="0.35">
      <c r="A1448" s="2">
        <v>45137</v>
      </c>
      <c r="C1448" t="s">
        <v>76</v>
      </c>
      <c r="D1448">
        <v>109</v>
      </c>
      <c r="J1448" s="58">
        <v>125450</v>
      </c>
    </row>
    <row r="1449" spans="1:10" hidden="1" x14ac:dyDescent="0.35">
      <c r="A1449" s="2">
        <v>45137</v>
      </c>
      <c r="C1449" t="s">
        <v>81</v>
      </c>
      <c r="D1449">
        <v>330</v>
      </c>
      <c r="J1449" s="58">
        <v>74500</v>
      </c>
    </row>
    <row r="1450" spans="1:10" hidden="1" x14ac:dyDescent="0.35">
      <c r="A1450" s="2">
        <v>45137</v>
      </c>
      <c r="C1450" t="s">
        <v>83</v>
      </c>
      <c r="D1450">
        <v>199</v>
      </c>
      <c r="J1450" s="58">
        <v>130252</v>
      </c>
    </row>
    <row r="1451" spans="1:10" hidden="1" x14ac:dyDescent="0.35">
      <c r="A1451" s="2">
        <v>45137</v>
      </c>
      <c r="C1451" t="s">
        <v>87</v>
      </c>
      <c r="D1451">
        <v>181</v>
      </c>
      <c r="J1451" s="58">
        <v>95300</v>
      </c>
    </row>
    <row r="1452" spans="1:10" hidden="1" x14ac:dyDescent="0.35">
      <c r="A1452" s="2">
        <v>45137</v>
      </c>
      <c r="C1452" t="s">
        <v>90</v>
      </c>
      <c r="D1452">
        <v>452</v>
      </c>
      <c r="J1452" s="58">
        <v>12990</v>
      </c>
    </row>
    <row r="1453" spans="1:10" hidden="1" x14ac:dyDescent="0.35">
      <c r="A1453" s="2">
        <v>45137</v>
      </c>
      <c r="C1453" t="s">
        <v>91</v>
      </c>
      <c r="D1453">
        <v>200</v>
      </c>
      <c r="J1453" s="58">
        <v>74980</v>
      </c>
    </row>
    <row r="1454" spans="1:10" hidden="1" x14ac:dyDescent="0.35">
      <c r="A1454" s="2">
        <v>45137</v>
      </c>
      <c r="C1454" t="s">
        <v>92</v>
      </c>
      <c r="D1454">
        <v>247</v>
      </c>
      <c r="J1454" s="58">
        <v>51500</v>
      </c>
    </row>
    <row r="1455" spans="1:10" hidden="1" x14ac:dyDescent="0.35">
      <c r="A1455" s="2">
        <v>45137</v>
      </c>
      <c r="C1455" t="s">
        <v>94</v>
      </c>
      <c r="D1455">
        <v>242</v>
      </c>
      <c r="J1455" s="58">
        <v>160550</v>
      </c>
    </row>
    <row r="1456" spans="1:10" hidden="1" x14ac:dyDescent="0.35">
      <c r="A1456" s="2">
        <v>45137</v>
      </c>
      <c r="C1456" t="s">
        <v>103</v>
      </c>
      <c r="D1456">
        <v>144</v>
      </c>
      <c r="J1456" s="58">
        <v>12000</v>
      </c>
    </row>
    <row r="1457" spans="1:10" hidden="1" x14ac:dyDescent="0.35">
      <c r="A1457" s="2">
        <v>45137</v>
      </c>
      <c r="C1457" t="s">
        <v>109</v>
      </c>
      <c r="D1457">
        <v>298</v>
      </c>
      <c r="J1457" s="52">
        <v>14500</v>
      </c>
    </row>
    <row r="1458" spans="1:10" hidden="1" x14ac:dyDescent="0.35">
      <c r="A1458" s="2">
        <v>45137</v>
      </c>
      <c r="B1458" t="s">
        <v>71</v>
      </c>
      <c r="C1458" t="s">
        <v>20</v>
      </c>
      <c r="E1458">
        <v>14</v>
      </c>
      <c r="F1458">
        <v>4</v>
      </c>
      <c r="G1458">
        <v>28</v>
      </c>
      <c r="H1458">
        <v>8</v>
      </c>
      <c r="I1458">
        <v>12</v>
      </c>
      <c r="J1458" s="52"/>
    </row>
    <row r="1459" spans="1:10" hidden="1" x14ac:dyDescent="0.35">
      <c r="A1459" s="2">
        <v>45137</v>
      </c>
      <c r="B1459" t="s">
        <v>36</v>
      </c>
      <c r="C1459" t="s">
        <v>20</v>
      </c>
      <c r="E1459">
        <v>53</v>
      </c>
      <c r="F1459">
        <v>9</v>
      </c>
      <c r="G1459">
        <v>63</v>
      </c>
      <c r="H1459">
        <v>4</v>
      </c>
      <c r="I1459">
        <v>28</v>
      </c>
      <c r="J1459" s="52"/>
    </row>
    <row r="1460" spans="1:10" hidden="1" x14ac:dyDescent="0.35">
      <c r="A1460" s="2">
        <v>45137</v>
      </c>
      <c r="B1460" t="s">
        <v>70</v>
      </c>
      <c r="C1460" t="s">
        <v>26</v>
      </c>
      <c r="E1460">
        <v>22</v>
      </c>
      <c r="F1460">
        <v>3</v>
      </c>
      <c r="G1460">
        <v>33</v>
      </c>
      <c r="H1460">
        <v>3</v>
      </c>
      <c r="I1460">
        <v>12</v>
      </c>
      <c r="J1460" s="52"/>
    </row>
    <row r="1461" spans="1:10" hidden="1" x14ac:dyDescent="0.35">
      <c r="A1461" s="2">
        <v>45137</v>
      </c>
      <c r="B1461" t="s">
        <v>38</v>
      </c>
      <c r="C1461" t="s">
        <v>18</v>
      </c>
      <c r="E1461">
        <v>51</v>
      </c>
      <c r="F1461">
        <v>14</v>
      </c>
      <c r="G1461">
        <v>26</v>
      </c>
      <c r="H1461">
        <v>15</v>
      </c>
      <c r="I1461">
        <v>21</v>
      </c>
      <c r="J1461" s="52"/>
    </row>
    <row r="1462" spans="1:10" hidden="1" x14ac:dyDescent="0.35">
      <c r="A1462" s="2">
        <v>45137</v>
      </c>
      <c r="B1462" t="s">
        <v>86</v>
      </c>
      <c r="C1462" t="s">
        <v>18</v>
      </c>
      <c r="E1462">
        <v>32</v>
      </c>
      <c r="F1462">
        <v>13</v>
      </c>
      <c r="G1462">
        <v>16</v>
      </c>
      <c r="H1462">
        <v>7</v>
      </c>
      <c r="I1462">
        <v>13</v>
      </c>
      <c r="J1462" s="52"/>
    </row>
    <row r="1463" spans="1:10" hidden="1" x14ac:dyDescent="0.35">
      <c r="A1463" s="2">
        <v>45137</v>
      </c>
      <c r="B1463" t="s">
        <v>13</v>
      </c>
      <c r="C1463" t="s">
        <v>25</v>
      </c>
      <c r="E1463">
        <v>36</v>
      </c>
      <c r="F1463">
        <v>5</v>
      </c>
      <c r="G1463">
        <v>34</v>
      </c>
      <c r="H1463">
        <v>4</v>
      </c>
      <c r="I1463">
        <v>10</v>
      </c>
      <c r="J1463" s="52"/>
    </row>
    <row r="1464" spans="1:10" hidden="1" x14ac:dyDescent="0.35">
      <c r="A1464" s="2">
        <v>45137</v>
      </c>
      <c r="B1464" t="s">
        <v>13</v>
      </c>
      <c r="C1464" t="s">
        <v>23</v>
      </c>
      <c r="E1464">
        <v>14</v>
      </c>
      <c r="F1464">
        <v>1</v>
      </c>
      <c r="G1464">
        <v>14</v>
      </c>
      <c r="H1464">
        <v>1</v>
      </c>
      <c r="I1464">
        <v>5</v>
      </c>
      <c r="J1464" s="52"/>
    </row>
    <row r="1465" spans="1:10" hidden="1" x14ac:dyDescent="0.35">
      <c r="A1465" s="2">
        <v>45137</v>
      </c>
      <c r="B1465" t="s">
        <v>104</v>
      </c>
      <c r="C1465" t="s">
        <v>23</v>
      </c>
      <c r="E1465">
        <v>22</v>
      </c>
      <c r="F1465">
        <v>0</v>
      </c>
      <c r="G1465">
        <v>24</v>
      </c>
      <c r="H1465">
        <v>1</v>
      </c>
      <c r="I1465">
        <v>10</v>
      </c>
      <c r="J1465" s="52"/>
    </row>
    <row r="1466" spans="1:10" hidden="1" x14ac:dyDescent="0.35">
      <c r="A1466" s="2">
        <v>45137</v>
      </c>
      <c r="B1466" t="s">
        <v>102</v>
      </c>
      <c r="C1466" t="s">
        <v>24</v>
      </c>
      <c r="E1466">
        <v>46</v>
      </c>
      <c r="F1466">
        <v>1</v>
      </c>
      <c r="G1466">
        <v>41</v>
      </c>
      <c r="H1466">
        <v>3</v>
      </c>
      <c r="I1466">
        <v>14</v>
      </c>
      <c r="J1466" s="52"/>
    </row>
    <row r="1467" spans="1:10" hidden="1" x14ac:dyDescent="0.35">
      <c r="A1467" s="2">
        <v>45137</v>
      </c>
      <c r="B1467" t="s">
        <v>96</v>
      </c>
      <c r="C1467" t="s">
        <v>24</v>
      </c>
      <c r="E1467">
        <v>19</v>
      </c>
      <c r="F1467">
        <v>3</v>
      </c>
      <c r="G1467">
        <v>15</v>
      </c>
      <c r="H1467">
        <v>1</v>
      </c>
      <c r="I1467">
        <v>3</v>
      </c>
      <c r="J1467" s="52"/>
    </row>
    <row r="1468" spans="1:10" hidden="1" x14ac:dyDescent="0.35">
      <c r="A1468" s="2">
        <v>45137</v>
      </c>
      <c r="B1468" t="s">
        <v>96</v>
      </c>
      <c r="C1468" t="s">
        <v>37</v>
      </c>
      <c r="E1468">
        <v>11</v>
      </c>
      <c r="F1468">
        <v>7</v>
      </c>
      <c r="G1468">
        <v>10</v>
      </c>
      <c r="H1468">
        <v>1</v>
      </c>
      <c r="I1468">
        <v>8</v>
      </c>
      <c r="J1468" s="52"/>
    </row>
    <row r="1469" spans="1:10" hidden="1" x14ac:dyDescent="0.35">
      <c r="A1469" s="2">
        <v>45137</v>
      </c>
      <c r="B1469" t="s">
        <v>17</v>
      </c>
      <c r="C1469" t="s">
        <v>37</v>
      </c>
      <c r="E1469">
        <v>24</v>
      </c>
      <c r="F1469">
        <v>0</v>
      </c>
      <c r="G1469">
        <v>29</v>
      </c>
      <c r="H1469">
        <v>4</v>
      </c>
      <c r="I1469">
        <v>13</v>
      </c>
      <c r="J1469" s="52"/>
    </row>
    <row r="1470" spans="1:10" hidden="1" x14ac:dyDescent="0.35">
      <c r="A1470" s="2">
        <v>45137</v>
      </c>
      <c r="B1470" t="s">
        <v>50</v>
      </c>
      <c r="C1470" t="s">
        <v>37</v>
      </c>
      <c r="E1470">
        <v>18</v>
      </c>
      <c r="F1470">
        <v>5</v>
      </c>
      <c r="G1470">
        <v>23</v>
      </c>
      <c r="H1470">
        <v>2</v>
      </c>
      <c r="I1470">
        <v>9</v>
      </c>
      <c r="J1470" s="52"/>
    </row>
    <row r="1471" spans="1:10" hidden="1" x14ac:dyDescent="0.35">
      <c r="A1471" s="2">
        <v>45137</v>
      </c>
      <c r="B1471" t="s">
        <v>40</v>
      </c>
      <c r="C1471" t="s">
        <v>19</v>
      </c>
      <c r="E1471">
        <v>23</v>
      </c>
      <c r="F1471">
        <v>8</v>
      </c>
      <c r="G1471">
        <v>49</v>
      </c>
      <c r="H1471">
        <v>3</v>
      </c>
      <c r="I1471">
        <v>13</v>
      </c>
      <c r="J1471" s="52"/>
    </row>
    <row r="1472" spans="1:10" hidden="1" x14ac:dyDescent="0.35">
      <c r="A1472" s="2">
        <v>45137</v>
      </c>
      <c r="B1472" t="s">
        <v>42</v>
      </c>
      <c r="C1472" t="s">
        <v>19</v>
      </c>
      <c r="E1472">
        <v>47</v>
      </c>
      <c r="F1472">
        <v>5</v>
      </c>
      <c r="G1472">
        <v>48</v>
      </c>
      <c r="H1472">
        <v>4</v>
      </c>
      <c r="I1472">
        <v>21</v>
      </c>
      <c r="J1472" s="52"/>
    </row>
    <row r="1473" spans="1:10" hidden="1" x14ac:dyDescent="0.35">
      <c r="A1473" s="2">
        <v>45137</v>
      </c>
      <c r="B1473" t="s">
        <v>95</v>
      </c>
      <c r="C1473" t="s">
        <v>22</v>
      </c>
      <c r="E1473">
        <v>21</v>
      </c>
      <c r="F1473">
        <v>15</v>
      </c>
      <c r="G1473">
        <v>16</v>
      </c>
      <c r="H1473">
        <v>12</v>
      </c>
      <c r="I1473">
        <v>9</v>
      </c>
      <c r="J1473" s="52"/>
    </row>
    <row r="1474" spans="1:10" hidden="1" x14ac:dyDescent="0.35">
      <c r="A1474" s="2">
        <v>45137</v>
      </c>
      <c r="B1474" t="s">
        <v>105</v>
      </c>
      <c r="C1474" t="s">
        <v>22</v>
      </c>
      <c r="E1474">
        <v>34</v>
      </c>
      <c r="F1474">
        <v>15</v>
      </c>
      <c r="G1474">
        <v>14</v>
      </c>
      <c r="H1474">
        <v>7</v>
      </c>
      <c r="I1474">
        <v>12</v>
      </c>
      <c r="J1474" s="52"/>
    </row>
    <row r="1475" spans="1:10" hidden="1" x14ac:dyDescent="0.35">
      <c r="A1475" s="2">
        <v>45137</v>
      </c>
      <c r="B1475" t="s">
        <v>43</v>
      </c>
      <c r="C1475" t="s">
        <v>27</v>
      </c>
      <c r="E1475">
        <v>18</v>
      </c>
      <c r="F1475">
        <v>0</v>
      </c>
      <c r="G1475">
        <v>44</v>
      </c>
      <c r="H1475">
        <v>0</v>
      </c>
      <c r="I1475">
        <v>21</v>
      </c>
      <c r="J1475" s="52"/>
    </row>
    <row r="1476" spans="1:10" hidden="1" x14ac:dyDescent="0.35">
      <c r="A1476" s="2">
        <v>45137</v>
      </c>
      <c r="B1476" t="s">
        <v>84</v>
      </c>
      <c r="C1476" t="s">
        <v>27</v>
      </c>
      <c r="E1476">
        <v>31</v>
      </c>
      <c r="F1476">
        <v>0</v>
      </c>
      <c r="G1476">
        <v>6</v>
      </c>
      <c r="H1476">
        <v>0</v>
      </c>
      <c r="I1476">
        <v>10</v>
      </c>
      <c r="J1476" s="52"/>
    </row>
    <row r="1477" spans="1:10" hidden="1" x14ac:dyDescent="0.35">
      <c r="A1477" s="2">
        <v>45137</v>
      </c>
      <c r="B1477" t="s">
        <v>17</v>
      </c>
      <c r="C1477" t="s">
        <v>9</v>
      </c>
      <c r="E1477">
        <v>4</v>
      </c>
      <c r="F1477">
        <v>0</v>
      </c>
      <c r="G1477">
        <v>10</v>
      </c>
      <c r="H1477">
        <v>3</v>
      </c>
      <c r="I1477">
        <v>4</v>
      </c>
      <c r="J1477" s="52"/>
    </row>
    <row r="1478" spans="1:10" hidden="1" x14ac:dyDescent="0.35">
      <c r="A1478" s="2">
        <v>45137</v>
      </c>
      <c r="B1478" t="s">
        <v>101</v>
      </c>
      <c r="C1478" t="s">
        <v>9</v>
      </c>
      <c r="E1478">
        <v>20</v>
      </c>
      <c r="F1478">
        <v>0</v>
      </c>
      <c r="G1478">
        <v>13</v>
      </c>
      <c r="H1478">
        <v>0</v>
      </c>
      <c r="I1478">
        <v>12</v>
      </c>
      <c r="J1478" s="52"/>
    </row>
    <row r="1479" spans="1:10" hidden="1" x14ac:dyDescent="0.35">
      <c r="A1479" s="2">
        <v>45137</v>
      </c>
      <c r="B1479" t="s">
        <v>14</v>
      </c>
      <c r="C1479" t="s">
        <v>21</v>
      </c>
      <c r="E1479">
        <v>22</v>
      </c>
      <c r="F1479">
        <v>24</v>
      </c>
      <c r="G1479">
        <v>7</v>
      </c>
      <c r="H1479">
        <v>17</v>
      </c>
      <c r="I1479">
        <v>19</v>
      </c>
      <c r="J1479" s="52"/>
    </row>
    <row r="1480" spans="1:10" hidden="1" x14ac:dyDescent="0.35">
      <c r="A1480" s="2">
        <v>45137</v>
      </c>
      <c r="B1480" t="s">
        <v>72</v>
      </c>
      <c r="C1480" t="s">
        <v>54</v>
      </c>
      <c r="E1480">
        <v>35</v>
      </c>
      <c r="F1480">
        <v>9</v>
      </c>
      <c r="G1480">
        <v>29</v>
      </c>
      <c r="H1480">
        <v>4</v>
      </c>
      <c r="I1480">
        <v>15</v>
      </c>
      <c r="J1480" s="52"/>
    </row>
    <row r="1481" spans="1:10" hidden="1" x14ac:dyDescent="0.35">
      <c r="A1481" s="2">
        <v>45137</v>
      </c>
      <c r="B1481" t="s">
        <v>57</v>
      </c>
      <c r="C1481" t="s">
        <v>55</v>
      </c>
      <c r="E1481">
        <v>22</v>
      </c>
      <c r="F1481">
        <v>7</v>
      </c>
      <c r="G1481">
        <v>16</v>
      </c>
      <c r="H1481">
        <v>2</v>
      </c>
      <c r="I1481">
        <v>11</v>
      </c>
      <c r="J1481" s="52"/>
    </row>
    <row r="1482" spans="1:10" hidden="1" x14ac:dyDescent="0.35">
      <c r="A1482" s="2">
        <v>45137</v>
      </c>
      <c r="B1482" t="s">
        <v>100</v>
      </c>
      <c r="C1482" t="s">
        <v>58</v>
      </c>
      <c r="E1482">
        <v>18</v>
      </c>
      <c r="F1482">
        <v>6</v>
      </c>
      <c r="G1482">
        <v>11</v>
      </c>
      <c r="H1482">
        <v>11</v>
      </c>
      <c r="I1482">
        <v>7</v>
      </c>
      <c r="J1482" s="52"/>
    </row>
    <row r="1483" spans="1:10" hidden="1" x14ac:dyDescent="0.35">
      <c r="A1483" s="2">
        <v>45137</v>
      </c>
      <c r="B1483" t="s">
        <v>107</v>
      </c>
      <c r="C1483" t="s">
        <v>58</v>
      </c>
      <c r="E1483">
        <v>36</v>
      </c>
      <c r="F1483">
        <v>13</v>
      </c>
      <c r="G1483">
        <v>18</v>
      </c>
      <c r="H1483">
        <v>9</v>
      </c>
      <c r="I1483">
        <v>14</v>
      </c>
      <c r="J1483" s="52"/>
    </row>
    <row r="1484" spans="1:10" hidden="1" x14ac:dyDescent="0.35">
      <c r="A1484" s="2">
        <v>45137</v>
      </c>
      <c r="B1484" t="s">
        <v>64</v>
      </c>
      <c r="C1484" t="s">
        <v>62</v>
      </c>
      <c r="E1484">
        <v>30</v>
      </c>
      <c r="F1484">
        <v>6</v>
      </c>
      <c r="G1484">
        <v>27</v>
      </c>
      <c r="H1484">
        <v>12</v>
      </c>
      <c r="I1484">
        <v>9</v>
      </c>
      <c r="J1484" s="52"/>
    </row>
    <row r="1485" spans="1:10" hidden="1" x14ac:dyDescent="0.35">
      <c r="A1485" s="2">
        <v>45137</v>
      </c>
      <c r="B1485" t="s">
        <v>75</v>
      </c>
      <c r="C1485" t="s">
        <v>61</v>
      </c>
      <c r="E1485">
        <v>45</v>
      </c>
      <c r="F1485">
        <v>7</v>
      </c>
      <c r="G1485">
        <v>19</v>
      </c>
      <c r="H1485">
        <v>5</v>
      </c>
      <c r="I1485">
        <v>12</v>
      </c>
      <c r="J1485" s="52"/>
    </row>
    <row r="1486" spans="1:10" hidden="1" x14ac:dyDescent="0.35">
      <c r="A1486" s="2">
        <v>45137</v>
      </c>
      <c r="B1486" t="s">
        <v>97</v>
      </c>
      <c r="C1486" t="s">
        <v>91</v>
      </c>
      <c r="E1486">
        <v>24</v>
      </c>
      <c r="F1486">
        <v>7</v>
      </c>
      <c r="G1486">
        <v>4</v>
      </c>
      <c r="H1486">
        <v>0</v>
      </c>
      <c r="I1486">
        <v>6</v>
      </c>
      <c r="J1486" s="52"/>
    </row>
    <row r="1487" spans="1:10" hidden="1" x14ac:dyDescent="0.35">
      <c r="A1487" s="2">
        <v>45137</v>
      </c>
      <c r="B1487" t="s">
        <v>69</v>
      </c>
      <c r="C1487" t="s">
        <v>63</v>
      </c>
      <c r="E1487">
        <v>32</v>
      </c>
      <c r="F1487">
        <v>9</v>
      </c>
      <c r="G1487">
        <v>23</v>
      </c>
      <c r="H1487">
        <v>4</v>
      </c>
      <c r="I1487">
        <v>26</v>
      </c>
      <c r="J1487" s="52"/>
    </row>
    <row r="1488" spans="1:10" hidden="1" x14ac:dyDescent="0.35">
      <c r="A1488" s="2">
        <v>45137</v>
      </c>
      <c r="B1488" t="s">
        <v>77</v>
      </c>
      <c r="C1488" t="s">
        <v>73</v>
      </c>
      <c r="E1488">
        <v>18</v>
      </c>
      <c r="F1488">
        <v>14</v>
      </c>
      <c r="G1488">
        <v>40</v>
      </c>
      <c r="H1488">
        <v>20</v>
      </c>
      <c r="I1488">
        <v>15</v>
      </c>
      <c r="J1488" s="52"/>
    </row>
    <row r="1489" spans="1:10" hidden="1" x14ac:dyDescent="0.35">
      <c r="A1489" s="2">
        <v>45137</v>
      </c>
      <c r="B1489" t="s">
        <v>71</v>
      </c>
      <c r="C1489" t="s">
        <v>81</v>
      </c>
      <c r="E1489">
        <v>19</v>
      </c>
      <c r="F1489">
        <v>6</v>
      </c>
      <c r="G1489">
        <v>14</v>
      </c>
      <c r="H1489">
        <v>3</v>
      </c>
      <c r="I1489">
        <v>6</v>
      </c>
      <c r="J1489" s="52"/>
    </row>
    <row r="1490" spans="1:10" hidden="1" x14ac:dyDescent="0.35">
      <c r="A1490" s="2">
        <v>45137</v>
      </c>
      <c r="B1490" t="s">
        <v>85</v>
      </c>
      <c r="C1490" t="s">
        <v>83</v>
      </c>
      <c r="E1490">
        <v>24</v>
      </c>
      <c r="F1490">
        <v>6</v>
      </c>
      <c r="G1490">
        <v>24</v>
      </c>
      <c r="H1490">
        <v>6</v>
      </c>
      <c r="I1490">
        <v>10</v>
      </c>
      <c r="J1490" s="52"/>
    </row>
    <row r="1491" spans="1:10" hidden="1" x14ac:dyDescent="0.35">
      <c r="A1491" s="2">
        <v>45137</v>
      </c>
      <c r="B1491" t="s">
        <v>88</v>
      </c>
      <c r="C1491" t="s">
        <v>76</v>
      </c>
      <c r="E1491">
        <v>16</v>
      </c>
      <c r="F1491">
        <v>4</v>
      </c>
      <c r="G1491">
        <v>11</v>
      </c>
      <c r="H1491">
        <v>8</v>
      </c>
      <c r="I1491">
        <v>10</v>
      </c>
      <c r="J1491" s="52"/>
    </row>
    <row r="1492" spans="1:10" hidden="1" x14ac:dyDescent="0.35">
      <c r="A1492" s="2">
        <v>45137</v>
      </c>
      <c r="B1492" t="s">
        <v>89</v>
      </c>
      <c r="C1492" t="s">
        <v>87</v>
      </c>
      <c r="E1492">
        <v>22</v>
      </c>
      <c r="F1492">
        <v>9</v>
      </c>
      <c r="G1492">
        <v>11</v>
      </c>
      <c r="H1492">
        <v>0</v>
      </c>
      <c r="I1492">
        <v>7</v>
      </c>
      <c r="J1492" s="52"/>
    </row>
    <row r="1493" spans="1:10" hidden="1" x14ac:dyDescent="0.35">
      <c r="A1493" s="2">
        <v>45137</v>
      </c>
      <c r="B1493" t="s">
        <v>93</v>
      </c>
      <c r="C1493" t="s">
        <v>90</v>
      </c>
      <c r="E1493">
        <v>19</v>
      </c>
      <c r="F1493">
        <v>10</v>
      </c>
      <c r="G1493">
        <v>1</v>
      </c>
      <c r="H1493">
        <v>0</v>
      </c>
      <c r="I1493">
        <v>1</v>
      </c>
      <c r="J1493" s="52"/>
    </row>
    <row r="1494" spans="1:10" hidden="1" x14ac:dyDescent="0.35">
      <c r="A1494" s="2">
        <v>45137</v>
      </c>
      <c r="B1494" t="s">
        <v>99</v>
      </c>
      <c r="C1494" t="s">
        <v>92</v>
      </c>
      <c r="E1494">
        <v>20</v>
      </c>
      <c r="F1494">
        <v>5</v>
      </c>
      <c r="G1494">
        <v>7</v>
      </c>
      <c r="H1494">
        <v>0</v>
      </c>
      <c r="I1494">
        <v>4</v>
      </c>
      <c r="J1494" s="52"/>
    </row>
    <row r="1495" spans="1:10" hidden="1" x14ac:dyDescent="0.35">
      <c r="A1495" s="2">
        <v>45137</v>
      </c>
      <c r="B1495" t="s">
        <v>98</v>
      </c>
      <c r="C1495" t="s">
        <v>94</v>
      </c>
      <c r="E1495">
        <v>28</v>
      </c>
      <c r="F1495">
        <v>2</v>
      </c>
      <c r="G1495">
        <v>11</v>
      </c>
      <c r="H1495">
        <v>2</v>
      </c>
      <c r="I1495">
        <v>11</v>
      </c>
      <c r="J1495" s="52"/>
    </row>
    <row r="1496" spans="1:10" hidden="1" x14ac:dyDescent="0.35">
      <c r="A1496" s="2">
        <v>45137</v>
      </c>
      <c r="B1496" t="s">
        <v>106</v>
      </c>
      <c r="C1496" t="s">
        <v>103</v>
      </c>
      <c r="E1496">
        <v>13</v>
      </c>
      <c r="F1496">
        <v>4</v>
      </c>
      <c r="G1496">
        <v>2</v>
      </c>
      <c r="H1496">
        <v>0</v>
      </c>
      <c r="I1496">
        <v>1</v>
      </c>
      <c r="J1496" s="52"/>
    </row>
    <row r="1497" spans="1:10" hidden="1" x14ac:dyDescent="0.35">
      <c r="A1497" s="2">
        <v>45137</v>
      </c>
      <c r="B1497" t="s">
        <v>108</v>
      </c>
      <c r="C1497" t="s">
        <v>109</v>
      </c>
      <c r="E1497">
        <v>8</v>
      </c>
      <c r="F1497">
        <v>7</v>
      </c>
      <c r="G1497">
        <v>0</v>
      </c>
      <c r="H1497">
        <v>0</v>
      </c>
      <c r="I1497">
        <v>1</v>
      </c>
      <c r="J1497" s="52"/>
    </row>
    <row r="1498" spans="1:10" hidden="1" x14ac:dyDescent="0.35">
      <c r="A1498" s="2">
        <v>45168</v>
      </c>
      <c r="C1498" t="s">
        <v>24</v>
      </c>
      <c r="D1498">
        <v>509</v>
      </c>
      <c r="J1498" s="58">
        <v>134000</v>
      </c>
    </row>
    <row r="1499" spans="1:10" hidden="1" x14ac:dyDescent="0.35">
      <c r="A1499" s="2">
        <v>45168</v>
      </c>
      <c r="C1499" t="s">
        <v>9</v>
      </c>
      <c r="D1499">
        <v>300</v>
      </c>
      <c r="J1499" s="58">
        <v>212350</v>
      </c>
    </row>
    <row r="1500" spans="1:10" hidden="1" x14ac:dyDescent="0.35">
      <c r="A1500" s="2">
        <v>45168</v>
      </c>
      <c r="C1500" t="s">
        <v>37</v>
      </c>
      <c r="D1500">
        <v>530</v>
      </c>
      <c r="J1500" s="58">
        <v>421750</v>
      </c>
    </row>
    <row r="1501" spans="1:10" hidden="1" x14ac:dyDescent="0.35">
      <c r="A1501" s="2">
        <v>45168</v>
      </c>
      <c r="C1501" t="s">
        <v>23</v>
      </c>
      <c r="D1501">
        <v>332</v>
      </c>
      <c r="J1501" s="58">
        <v>102100</v>
      </c>
    </row>
    <row r="1502" spans="1:10" hidden="1" x14ac:dyDescent="0.35">
      <c r="A1502" s="2">
        <v>45168</v>
      </c>
      <c r="C1502" t="s">
        <v>27</v>
      </c>
      <c r="D1502">
        <v>511</v>
      </c>
      <c r="J1502" s="58">
        <v>517700</v>
      </c>
    </row>
    <row r="1503" spans="1:10" hidden="1" x14ac:dyDescent="0.35">
      <c r="A1503" s="2">
        <v>45168</v>
      </c>
      <c r="C1503" t="s">
        <v>26</v>
      </c>
      <c r="D1503">
        <v>327</v>
      </c>
      <c r="J1503" s="58">
        <v>167400</v>
      </c>
    </row>
    <row r="1504" spans="1:10" hidden="1" x14ac:dyDescent="0.35">
      <c r="A1504" s="2">
        <v>45168</v>
      </c>
      <c r="C1504" t="s">
        <v>20</v>
      </c>
      <c r="D1504">
        <v>392</v>
      </c>
      <c r="J1504" s="58">
        <v>561550</v>
      </c>
    </row>
    <row r="1505" spans="1:10" hidden="1" x14ac:dyDescent="0.35">
      <c r="A1505" s="2">
        <v>45168</v>
      </c>
      <c r="C1505" t="s">
        <v>25</v>
      </c>
      <c r="D1505">
        <v>230</v>
      </c>
      <c r="J1505" s="58">
        <v>105900</v>
      </c>
    </row>
    <row r="1506" spans="1:10" hidden="1" x14ac:dyDescent="0.35">
      <c r="A1506" s="2">
        <v>45168</v>
      </c>
      <c r="C1506" t="s">
        <v>19</v>
      </c>
      <c r="D1506">
        <v>369</v>
      </c>
      <c r="J1506" s="58">
        <v>378900</v>
      </c>
    </row>
    <row r="1507" spans="1:10" hidden="1" x14ac:dyDescent="0.35">
      <c r="A1507" s="2">
        <v>45168</v>
      </c>
      <c r="C1507" t="s">
        <v>21</v>
      </c>
      <c r="D1507">
        <v>389</v>
      </c>
      <c r="J1507" s="58">
        <v>229000</v>
      </c>
    </row>
    <row r="1508" spans="1:10" hidden="1" x14ac:dyDescent="0.35">
      <c r="A1508" s="2">
        <v>45168</v>
      </c>
      <c r="C1508" t="s">
        <v>18</v>
      </c>
      <c r="D1508">
        <v>654</v>
      </c>
      <c r="J1508" s="58">
        <v>470350</v>
      </c>
    </row>
    <row r="1509" spans="1:10" hidden="1" x14ac:dyDescent="0.35">
      <c r="A1509" s="2">
        <v>45168</v>
      </c>
      <c r="C1509" t="s">
        <v>22</v>
      </c>
      <c r="D1509">
        <v>417</v>
      </c>
      <c r="J1509" s="58">
        <v>230500</v>
      </c>
    </row>
    <row r="1510" spans="1:10" hidden="1" x14ac:dyDescent="0.35">
      <c r="A1510" s="2">
        <v>45168</v>
      </c>
      <c r="C1510" t="s">
        <v>54</v>
      </c>
      <c r="D1510">
        <v>410</v>
      </c>
      <c r="J1510" s="58">
        <v>142750</v>
      </c>
    </row>
    <row r="1511" spans="1:10" hidden="1" x14ac:dyDescent="0.35">
      <c r="A1511" s="2">
        <v>45168</v>
      </c>
      <c r="C1511" t="s">
        <v>55</v>
      </c>
      <c r="D1511">
        <v>789</v>
      </c>
      <c r="J1511" s="58">
        <v>127000</v>
      </c>
    </row>
    <row r="1512" spans="1:10" hidden="1" x14ac:dyDescent="0.35">
      <c r="A1512" s="2">
        <v>45168</v>
      </c>
      <c r="C1512" t="s">
        <v>58</v>
      </c>
      <c r="D1512">
        <v>448</v>
      </c>
      <c r="J1512" s="58">
        <v>333250</v>
      </c>
    </row>
    <row r="1513" spans="1:10" hidden="1" x14ac:dyDescent="0.35">
      <c r="A1513" s="2">
        <v>45168</v>
      </c>
      <c r="C1513" t="s">
        <v>62</v>
      </c>
      <c r="D1513">
        <v>437</v>
      </c>
      <c r="J1513" s="58">
        <v>118900</v>
      </c>
    </row>
    <row r="1514" spans="1:10" hidden="1" x14ac:dyDescent="0.35">
      <c r="A1514" s="2">
        <v>45168</v>
      </c>
      <c r="C1514" t="s">
        <v>61</v>
      </c>
      <c r="D1514">
        <v>337</v>
      </c>
      <c r="J1514" s="58">
        <v>102960</v>
      </c>
    </row>
    <row r="1515" spans="1:10" hidden="1" x14ac:dyDescent="0.35">
      <c r="A1515" s="2">
        <v>45168</v>
      </c>
      <c r="C1515" t="s">
        <v>63</v>
      </c>
      <c r="D1515">
        <v>231</v>
      </c>
      <c r="J1515" s="58">
        <v>388350</v>
      </c>
    </row>
    <row r="1516" spans="1:10" hidden="1" x14ac:dyDescent="0.35">
      <c r="A1516" s="2">
        <v>45168</v>
      </c>
      <c r="C1516" t="s">
        <v>73</v>
      </c>
      <c r="D1516">
        <v>316</v>
      </c>
      <c r="J1516" s="58">
        <v>135800</v>
      </c>
    </row>
    <row r="1517" spans="1:10" hidden="1" x14ac:dyDescent="0.35">
      <c r="A1517" s="2">
        <v>45168</v>
      </c>
      <c r="C1517" t="s">
        <v>76</v>
      </c>
      <c r="D1517">
        <v>205</v>
      </c>
      <c r="J1517" s="58">
        <v>84000</v>
      </c>
    </row>
    <row r="1518" spans="1:10" hidden="1" x14ac:dyDescent="0.35">
      <c r="A1518" s="2">
        <v>45168</v>
      </c>
      <c r="C1518" t="s">
        <v>81</v>
      </c>
      <c r="D1518">
        <v>286</v>
      </c>
      <c r="J1518" s="58">
        <v>76450</v>
      </c>
    </row>
    <row r="1519" spans="1:10" hidden="1" x14ac:dyDescent="0.35">
      <c r="A1519" s="2">
        <v>45168</v>
      </c>
      <c r="C1519" t="s">
        <v>83</v>
      </c>
      <c r="D1519">
        <v>234</v>
      </c>
      <c r="J1519" s="58">
        <v>174350</v>
      </c>
    </row>
    <row r="1520" spans="1:10" hidden="1" x14ac:dyDescent="0.35">
      <c r="A1520" s="2">
        <v>45168</v>
      </c>
      <c r="C1520" t="s">
        <v>87</v>
      </c>
      <c r="D1520">
        <v>212</v>
      </c>
      <c r="J1520" s="58">
        <v>42250</v>
      </c>
    </row>
    <row r="1521" spans="1:10" hidden="1" x14ac:dyDescent="0.35">
      <c r="A1521" s="2">
        <v>45168</v>
      </c>
      <c r="C1521" t="s">
        <v>90</v>
      </c>
      <c r="D1521">
        <v>521</v>
      </c>
      <c r="J1521" s="58">
        <v>36000</v>
      </c>
    </row>
    <row r="1522" spans="1:10" hidden="1" x14ac:dyDescent="0.35">
      <c r="A1522" s="2">
        <v>45168</v>
      </c>
      <c r="C1522" t="s">
        <v>91</v>
      </c>
      <c r="D1522">
        <v>143</v>
      </c>
      <c r="J1522" s="58">
        <v>87980</v>
      </c>
    </row>
    <row r="1523" spans="1:10" hidden="1" x14ac:dyDescent="0.35">
      <c r="A1523" s="2">
        <v>45168</v>
      </c>
      <c r="C1523" t="s">
        <v>92</v>
      </c>
      <c r="D1523">
        <v>235</v>
      </c>
      <c r="J1523" s="58">
        <v>76300</v>
      </c>
    </row>
    <row r="1524" spans="1:10" hidden="1" x14ac:dyDescent="0.35">
      <c r="A1524" s="2">
        <v>45168</v>
      </c>
      <c r="C1524" t="s">
        <v>94</v>
      </c>
      <c r="D1524">
        <v>251</v>
      </c>
      <c r="J1524" s="58">
        <v>46250</v>
      </c>
    </row>
    <row r="1525" spans="1:10" hidden="1" x14ac:dyDescent="0.35">
      <c r="A1525" s="2">
        <v>45168</v>
      </c>
      <c r="C1525" t="s">
        <v>103</v>
      </c>
      <c r="D1525">
        <v>183</v>
      </c>
      <c r="J1525" s="58">
        <v>36500</v>
      </c>
    </row>
    <row r="1526" spans="1:10" hidden="1" x14ac:dyDescent="0.35">
      <c r="A1526" s="2">
        <v>45168</v>
      </c>
      <c r="C1526" t="s">
        <v>109</v>
      </c>
      <c r="D1526">
        <v>309</v>
      </c>
      <c r="J1526" s="58">
        <v>56850</v>
      </c>
    </row>
    <row r="1527" spans="1:10" hidden="1" x14ac:dyDescent="0.35">
      <c r="A1527" s="2">
        <v>45168</v>
      </c>
      <c r="B1527" t="s">
        <v>71</v>
      </c>
      <c r="C1527" t="s">
        <v>20</v>
      </c>
      <c r="E1527">
        <v>12</v>
      </c>
      <c r="F1527">
        <v>1</v>
      </c>
      <c r="G1527">
        <v>34</v>
      </c>
      <c r="H1527">
        <v>6</v>
      </c>
      <c r="I1527">
        <v>7</v>
      </c>
      <c r="J1527" s="52"/>
    </row>
    <row r="1528" spans="1:10" hidden="1" x14ac:dyDescent="0.35">
      <c r="A1528" s="2">
        <v>45168</v>
      </c>
      <c r="B1528" t="s">
        <v>36</v>
      </c>
      <c r="C1528" t="s">
        <v>20</v>
      </c>
      <c r="E1528">
        <v>41</v>
      </c>
      <c r="F1528">
        <v>5</v>
      </c>
      <c r="G1528">
        <v>57</v>
      </c>
      <c r="H1528">
        <v>1</v>
      </c>
      <c r="I1528">
        <v>31</v>
      </c>
      <c r="J1528" s="52"/>
    </row>
    <row r="1529" spans="1:10" hidden="1" x14ac:dyDescent="0.35">
      <c r="A1529" s="2">
        <v>45168</v>
      </c>
      <c r="B1529" t="s">
        <v>110</v>
      </c>
      <c r="C1529" t="s">
        <v>20</v>
      </c>
      <c r="E1529">
        <v>14</v>
      </c>
      <c r="F1529">
        <v>2</v>
      </c>
      <c r="G1529">
        <v>0</v>
      </c>
      <c r="H1529">
        <v>0</v>
      </c>
      <c r="I1529">
        <v>2</v>
      </c>
      <c r="J1529" s="52"/>
    </row>
    <row r="1530" spans="1:10" hidden="1" x14ac:dyDescent="0.35">
      <c r="A1530" s="2">
        <v>45168</v>
      </c>
      <c r="B1530" t="s">
        <v>70</v>
      </c>
      <c r="C1530" t="s">
        <v>26</v>
      </c>
      <c r="E1530">
        <v>24</v>
      </c>
      <c r="F1530">
        <v>1</v>
      </c>
      <c r="G1530">
        <v>29</v>
      </c>
      <c r="H1530">
        <v>1</v>
      </c>
      <c r="I1530">
        <v>13</v>
      </c>
      <c r="J1530" s="52"/>
    </row>
    <row r="1531" spans="1:10" hidden="1" x14ac:dyDescent="0.35">
      <c r="A1531" s="2">
        <v>45168</v>
      </c>
      <c r="B1531" t="s">
        <v>38</v>
      </c>
      <c r="C1531" t="s">
        <v>18</v>
      </c>
      <c r="E1531">
        <v>67</v>
      </c>
      <c r="F1531">
        <v>14</v>
      </c>
      <c r="G1531">
        <v>33</v>
      </c>
      <c r="H1531">
        <v>11</v>
      </c>
      <c r="I1531">
        <v>21</v>
      </c>
      <c r="J1531" s="52"/>
    </row>
    <row r="1532" spans="1:10" hidden="1" x14ac:dyDescent="0.35">
      <c r="A1532" s="2">
        <v>45168</v>
      </c>
      <c r="B1532" t="s">
        <v>86</v>
      </c>
      <c r="C1532" t="s">
        <v>18</v>
      </c>
      <c r="E1532">
        <v>25</v>
      </c>
      <c r="F1532">
        <v>23</v>
      </c>
      <c r="G1532">
        <v>12</v>
      </c>
      <c r="H1532">
        <v>7</v>
      </c>
      <c r="I1532">
        <v>14</v>
      </c>
      <c r="J1532" s="52"/>
    </row>
    <row r="1533" spans="1:10" hidden="1" x14ac:dyDescent="0.35">
      <c r="A1533" s="2">
        <v>45168</v>
      </c>
      <c r="B1533" t="s">
        <v>102</v>
      </c>
      <c r="C1533" t="s">
        <v>25</v>
      </c>
      <c r="E1533">
        <v>0</v>
      </c>
      <c r="F1533">
        <v>1</v>
      </c>
      <c r="G1533">
        <v>0</v>
      </c>
      <c r="H1533">
        <v>0</v>
      </c>
      <c r="I1533">
        <v>1</v>
      </c>
      <c r="J1533" s="52"/>
    </row>
    <row r="1534" spans="1:10" hidden="1" x14ac:dyDescent="0.35">
      <c r="A1534" s="2">
        <v>45168</v>
      </c>
      <c r="B1534" t="s">
        <v>13</v>
      </c>
      <c r="C1534" t="s">
        <v>25</v>
      </c>
      <c r="E1534">
        <v>34</v>
      </c>
      <c r="F1534">
        <v>0</v>
      </c>
      <c r="G1534">
        <v>17</v>
      </c>
      <c r="H1534">
        <v>1</v>
      </c>
      <c r="I1534">
        <v>7</v>
      </c>
      <c r="J1534" s="52"/>
    </row>
    <row r="1535" spans="1:10" hidden="1" x14ac:dyDescent="0.35">
      <c r="A1535" s="2">
        <v>45168</v>
      </c>
      <c r="B1535" t="s">
        <v>13</v>
      </c>
      <c r="C1535" t="s">
        <v>23</v>
      </c>
      <c r="E1535">
        <v>9</v>
      </c>
      <c r="F1535">
        <v>0</v>
      </c>
      <c r="G1535">
        <v>3</v>
      </c>
      <c r="H1535">
        <v>0</v>
      </c>
      <c r="I1535">
        <v>0</v>
      </c>
      <c r="J1535" s="52"/>
    </row>
    <row r="1536" spans="1:10" hidden="1" x14ac:dyDescent="0.35">
      <c r="A1536" s="2">
        <v>45168</v>
      </c>
      <c r="B1536" t="s">
        <v>104</v>
      </c>
      <c r="C1536" t="s">
        <v>23</v>
      </c>
      <c r="E1536">
        <v>34</v>
      </c>
      <c r="F1536">
        <v>3</v>
      </c>
      <c r="G1536">
        <v>17</v>
      </c>
      <c r="H1536">
        <v>4</v>
      </c>
      <c r="I1536">
        <v>6</v>
      </c>
      <c r="J1536" s="52"/>
    </row>
    <row r="1537" spans="1:10" hidden="1" x14ac:dyDescent="0.35">
      <c r="A1537" s="2">
        <v>45168</v>
      </c>
      <c r="B1537" t="s">
        <v>17</v>
      </c>
      <c r="C1537" t="s">
        <v>23</v>
      </c>
      <c r="E1537">
        <v>0</v>
      </c>
      <c r="F1537">
        <v>2</v>
      </c>
      <c r="G1537">
        <v>0</v>
      </c>
      <c r="H1537">
        <v>0</v>
      </c>
      <c r="I1537">
        <v>2</v>
      </c>
      <c r="J1537" s="52"/>
    </row>
    <row r="1538" spans="1:10" hidden="1" x14ac:dyDescent="0.35">
      <c r="A1538" s="2">
        <v>45168</v>
      </c>
      <c r="B1538" t="s">
        <v>102</v>
      </c>
      <c r="C1538" t="s">
        <v>24</v>
      </c>
      <c r="E1538">
        <v>33</v>
      </c>
      <c r="F1538">
        <v>7</v>
      </c>
      <c r="G1538">
        <v>16</v>
      </c>
      <c r="H1538">
        <v>0</v>
      </c>
      <c r="I1538">
        <v>10</v>
      </c>
      <c r="J1538" s="52"/>
    </row>
    <row r="1539" spans="1:10" hidden="1" x14ac:dyDescent="0.35">
      <c r="A1539" s="2">
        <v>45168</v>
      </c>
      <c r="B1539" t="s">
        <v>96</v>
      </c>
      <c r="C1539" t="s">
        <v>24</v>
      </c>
      <c r="E1539">
        <v>8</v>
      </c>
      <c r="F1539">
        <v>1</v>
      </c>
      <c r="G1539">
        <v>5</v>
      </c>
      <c r="H1539">
        <v>0</v>
      </c>
      <c r="I1539">
        <v>1</v>
      </c>
      <c r="J1539" s="52"/>
    </row>
    <row r="1540" spans="1:10" hidden="1" x14ac:dyDescent="0.35">
      <c r="A1540" s="2">
        <v>45168</v>
      </c>
      <c r="B1540" t="s">
        <v>96</v>
      </c>
      <c r="C1540" t="s">
        <v>37</v>
      </c>
      <c r="E1540">
        <v>10</v>
      </c>
      <c r="F1540">
        <v>0</v>
      </c>
      <c r="G1540">
        <v>9</v>
      </c>
      <c r="H1540">
        <v>5</v>
      </c>
      <c r="I1540">
        <v>3</v>
      </c>
      <c r="J1540" s="52"/>
    </row>
    <row r="1541" spans="1:10" hidden="1" x14ac:dyDescent="0.35">
      <c r="A1541" s="2">
        <v>45168</v>
      </c>
      <c r="B1541" t="s">
        <v>17</v>
      </c>
      <c r="C1541" t="s">
        <v>37</v>
      </c>
      <c r="E1541">
        <v>39</v>
      </c>
      <c r="F1541">
        <v>8</v>
      </c>
      <c r="G1541">
        <v>46</v>
      </c>
      <c r="H1541">
        <v>4</v>
      </c>
      <c r="I1541">
        <v>20</v>
      </c>
      <c r="J1541" s="52"/>
    </row>
    <row r="1542" spans="1:10" hidden="1" x14ac:dyDescent="0.35">
      <c r="A1542" s="2">
        <v>45168</v>
      </c>
      <c r="B1542" t="s">
        <v>50</v>
      </c>
      <c r="C1542" t="s">
        <v>37</v>
      </c>
      <c r="E1542">
        <v>27</v>
      </c>
      <c r="F1542">
        <v>0</v>
      </c>
      <c r="G1542">
        <v>25</v>
      </c>
      <c r="H1542">
        <v>4</v>
      </c>
      <c r="I1542">
        <v>7</v>
      </c>
      <c r="J1542" s="52"/>
    </row>
    <row r="1543" spans="1:10" hidden="1" x14ac:dyDescent="0.35">
      <c r="A1543" s="2">
        <v>45168</v>
      </c>
      <c r="B1543" t="s">
        <v>101</v>
      </c>
      <c r="C1543" t="s">
        <v>37</v>
      </c>
      <c r="E1543">
        <v>3</v>
      </c>
      <c r="F1543">
        <v>0</v>
      </c>
      <c r="G1543">
        <v>0</v>
      </c>
      <c r="H1543">
        <v>0</v>
      </c>
      <c r="I1543">
        <v>2</v>
      </c>
      <c r="J1543" s="52"/>
    </row>
    <row r="1544" spans="1:10" hidden="1" x14ac:dyDescent="0.35">
      <c r="A1544" s="2">
        <v>45168</v>
      </c>
      <c r="B1544" t="s">
        <v>102</v>
      </c>
      <c r="C1544" t="s">
        <v>37</v>
      </c>
      <c r="E1544">
        <v>1</v>
      </c>
      <c r="F1544">
        <v>0</v>
      </c>
      <c r="G1544">
        <v>0</v>
      </c>
      <c r="H1544">
        <v>0</v>
      </c>
      <c r="I1544">
        <v>0</v>
      </c>
      <c r="J1544" s="52"/>
    </row>
    <row r="1545" spans="1:10" hidden="1" x14ac:dyDescent="0.35">
      <c r="A1545" s="2">
        <v>45168</v>
      </c>
      <c r="B1545" t="s">
        <v>40</v>
      </c>
      <c r="C1545" t="s">
        <v>19</v>
      </c>
      <c r="E1545">
        <v>50</v>
      </c>
      <c r="F1545">
        <v>5</v>
      </c>
      <c r="G1545">
        <v>50</v>
      </c>
      <c r="H1545">
        <v>5</v>
      </c>
      <c r="I1545">
        <v>14</v>
      </c>
      <c r="J1545" s="52"/>
    </row>
    <row r="1546" spans="1:10" hidden="1" x14ac:dyDescent="0.35">
      <c r="A1546" s="2">
        <v>45168</v>
      </c>
      <c r="B1546" t="s">
        <v>42</v>
      </c>
      <c r="C1546" t="s">
        <v>19</v>
      </c>
      <c r="E1546">
        <v>20</v>
      </c>
      <c r="F1546">
        <v>2</v>
      </c>
      <c r="G1546">
        <v>31</v>
      </c>
      <c r="H1546">
        <v>6</v>
      </c>
      <c r="I1546">
        <v>13</v>
      </c>
      <c r="J1546" s="52"/>
    </row>
    <row r="1547" spans="1:10" hidden="1" x14ac:dyDescent="0.35">
      <c r="A1547" s="2">
        <v>45168</v>
      </c>
      <c r="B1547" t="s">
        <v>95</v>
      </c>
      <c r="C1547" t="s">
        <v>22</v>
      </c>
      <c r="E1547">
        <v>27</v>
      </c>
      <c r="F1547">
        <v>14</v>
      </c>
      <c r="G1547">
        <v>26</v>
      </c>
      <c r="H1547">
        <v>19</v>
      </c>
      <c r="I1547">
        <v>10</v>
      </c>
      <c r="J1547" s="52"/>
    </row>
    <row r="1548" spans="1:10" hidden="1" x14ac:dyDescent="0.35">
      <c r="A1548" s="2">
        <v>45168</v>
      </c>
      <c r="B1548" t="s">
        <v>105</v>
      </c>
      <c r="C1548" t="s">
        <v>22</v>
      </c>
      <c r="E1548">
        <v>23</v>
      </c>
      <c r="F1548">
        <v>14</v>
      </c>
      <c r="G1548">
        <v>15</v>
      </c>
      <c r="H1548">
        <v>2</v>
      </c>
      <c r="I1548">
        <v>7</v>
      </c>
      <c r="J1548" s="52"/>
    </row>
    <row r="1549" spans="1:10" hidden="1" x14ac:dyDescent="0.35">
      <c r="A1549" s="2">
        <v>45168</v>
      </c>
      <c r="B1549" t="s">
        <v>43</v>
      </c>
      <c r="C1549" t="s">
        <v>27</v>
      </c>
      <c r="E1549">
        <v>30</v>
      </c>
      <c r="F1549">
        <v>0</v>
      </c>
      <c r="G1549">
        <v>39</v>
      </c>
      <c r="H1549">
        <v>0</v>
      </c>
      <c r="I1549">
        <v>14</v>
      </c>
      <c r="J1549" s="52"/>
    </row>
    <row r="1550" spans="1:10" hidden="1" x14ac:dyDescent="0.35">
      <c r="A1550" s="2">
        <v>45168</v>
      </c>
      <c r="B1550" t="s">
        <v>84</v>
      </c>
      <c r="C1550" t="s">
        <v>27</v>
      </c>
      <c r="E1550">
        <v>36</v>
      </c>
      <c r="F1550">
        <v>0</v>
      </c>
      <c r="G1550">
        <v>21</v>
      </c>
      <c r="H1550">
        <v>0</v>
      </c>
      <c r="I1550">
        <v>19</v>
      </c>
      <c r="J1550" s="52"/>
    </row>
    <row r="1551" spans="1:10" hidden="1" x14ac:dyDescent="0.35">
      <c r="A1551" s="2">
        <v>45168</v>
      </c>
      <c r="B1551" t="s">
        <v>17</v>
      </c>
      <c r="C1551" t="s">
        <v>9</v>
      </c>
      <c r="E1551">
        <v>2</v>
      </c>
      <c r="F1551">
        <v>0</v>
      </c>
      <c r="G1551">
        <v>16</v>
      </c>
      <c r="H1551">
        <v>0</v>
      </c>
      <c r="I1551">
        <v>4</v>
      </c>
      <c r="J1551" s="52"/>
    </row>
    <row r="1552" spans="1:10" hidden="1" x14ac:dyDescent="0.35">
      <c r="A1552" s="2">
        <v>45168</v>
      </c>
      <c r="B1552" t="s">
        <v>101</v>
      </c>
      <c r="C1552" t="s">
        <v>9</v>
      </c>
      <c r="E1552">
        <v>29</v>
      </c>
      <c r="F1552">
        <v>2</v>
      </c>
      <c r="G1552">
        <v>14</v>
      </c>
      <c r="H1552">
        <v>0</v>
      </c>
      <c r="I1552">
        <v>12</v>
      </c>
      <c r="J1552" s="52"/>
    </row>
    <row r="1553" spans="1:10" hidden="1" x14ac:dyDescent="0.35">
      <c r="A1553" s="2">
        <v>45168</v>
      </c>
      <c r="B1553" t="s">
        <v>14</v>
      </c>
      <c r="C1553" t="s">
        <v>21</v>
      </c>
      <c r="E1553">
        <v>34</v>
      </c>
      <c r="F1553">
        <v>0</v>
      </c>
      <c r="G1553">
        <v>21</v>
      </c>
      <c r="H1553">
        <v>6</v>
      </c>
      <c r="I1553">
        <v>17</v>
      </c>
      <c r="J1553" s="52"/>
    </row>
    <row r="1554" spans="1:10" hidden="1" x14ac:dyDescent="0.35">
      <c r="A1554" s="2">
        <v>45168</v>
      </c>
      <c r="B1554" t="s">
        <v>72</v>
      </c>
      <c r="C1554" t="s">
        <v>54</v>
      </c>
      <c r="E1554">
        <v>40</v>
      </c>
      <c r="F1554">
        <v>13</v>
      </c>
      <c r="G1554">
        <v>24</v>
      </c>
      <c r="H1554">
        <v>6</v>
      </c>
      <c r="I1554">
        <v>10</v>
      </c>
      <c r="J1554" s="52"/>
    </row>
    <row r="1555" spans="1:10" hidden="1" x14ac:dyDescent="0.35">
      <c r="A1555" s="2">
        <v>45168</v>
      </c>
      <c r="B1555" t="s">
        <v>57</v>
      </c>
      <c r="C1555" t="s">
        <v>55</v>
      </c>
      <c r="E1555">
        <v>28</v>
      </c>
      <c r="F1555">
        <v>10</v>
      </c>
      <c r="G1555">
        <v>23</v>
      </c>
      <c r="H1555">
        <v>2</v>
      </c>
      <c r="I1555">
        <v>10</v>
      </c>
      <c r="J1555" s="52"/>
    </row>
    <row r="1556" spans="1:10" hidden="1" x14ac:dyDescent="0.35">
      <c r="A1556" s="2">
        <v>45168</v>
      </c>
      <c r="B1556" t="s">
        <v>100</v>
      </c>
      <c r="C1556" t="s">
        <v>58</v>
      </c>
      <c r="E1556">
        <v>19</v>
      </c>
      <c r="F1556">
        <v>5</v>
      </c>
      <c r="G1556">
        <v>16</v>
      </c>
      <c r="H1556">
        <v>8</v>
      </c>
      <c r="I1556">
        <v>9</v>
      </c>
      <c r="J1556" s="52"/>
    </row>
    <row r="1557" spans="1:10" hidden="1" x14ac:dyDescent="0.35">
      <c r="A1557" s="2">
        <v>45168</v>
      </c>
      <c r="B1557" t="s">
        <v>107</v>
      </c>
      <c r="C1557" t="s">
        <v>58</v>
      </c>
      <c r="E1557">
        <v>27</v>
      </c>
      <c r="F1557">
        <v>16</v>
      </c>
      <c r="G1557">
        <v>13</v>
      </c>
      <c r="H1557">
        <v>6</v>
      </c>
      <c r="I1557">
        <v>16</v>
      </c>
      <c r="J1557" s="52"/>
    </row>
    <row r="1558" spans="1:10" hidden="1" x14ac:dyDescent="0.35">
      <c r="A1558" s="2">
        <v>45168</v>
      </c>
      <c r="B1558" t="s">
        <v>64</v>
      </c>
      <c r="C1558" t="s">
        <v>62</v>
      </c>
      <c r="E1558">
        <v>26</v>
      </c>
      <c r="F1558">
        <v>15</v>
      </c>
      <c r="G1558">
        <v>49</v>
      </c>
      <c r="H1558">
        <v>15</v>
      </c>
      <c r="I1558">
        <v>9</v>
      </c>
      <c r="J1558" s="52"/>
    </row>
    <row r="1559" spans="1:10" hidden="1" x14ac:dyDescent="0.35">
      <c r="A1559" s="2">
        <v>45168</v>
      </c>
      <c r="B1559" t="s">
        <v>75</v>
      </c>
      <c r="C1559" t="s">
        <v>61</v>
      </c>
      <c r="E1559">
        <v>36</v>
      </c>
      <c r="F1559">
        <v>3</v>
      </c>
      <c r="G1559">
        <v>37</v>
      </c>
      <c r="H1559">
        <v>4</v>
      </c>
      <c r="I1559">
        <v>8</v>
      </c>
      <c r="J1559" s="52"/>
    </row>
    <row r="1560" spans="1:10" hidden="1" x14ac:dyDescent="0.35">
      <c r="A1560" s="2">
        <v>45168</v>
      </c>
      <c r="B1560" t="s">
        <v>97</v>
      </c>
      <c r="C1560" t="s">
        <v>91</v>
      </c>
      <c r="E1560">
        <v>26</v>
      </c>
      <c r="F1560">
        <v>12</v>
      </c>
      <c r="G1560">
        <v>9</v>
      </c>
      <c r="H1560">
        <v>0</v>
      </c>
      <c r="I1560">
        <v>7</v>
      </c>
      <c r="J1560" s="52"/>
    </row>
    <row r="1561" spans="1:10" hidden="1" x14ac:dyDescent="0.35">
      <c r="A1561" s="2">
        <v>45168</v>
      </c>
      <c r="B1561" t="s">
        <v>69</v>
      </c>
      <c r="C1561" t="s">
        <v>63</v>
      </c>
      <c r="E1561">
        <v>31</v>
      </c>
      <c r="F1561">
        <v>10</v>
      </c>
      <c r="G1561">
        <v>21</v>
      </c>
      <c r="H1561">
        <v>12</v>
      </c>
      <c r="I1561">
        <v>29</v>
      </c>
      <c r="J1561" s="52"/>
    </row>
    <row r="1562" spans="1:10" hidden="1" x14ac:dyDescent="0.35">
      <c r="A1562" s="2">
        <v>45168</v>
      </c>
      <c r="B1562" t="s">
        <v>77</v>
      </c>
      <c r="C1562" t="s">
        <v>73</v>
      </c>
      <c r="E1562">
        <v>8</v>
      </c>
      <c r="F1562">
        <v>6</v>
      </c>
      <c r="G1562">
        <v>11</v>
      </c>
      <c r="H1562">
        <v>16</v>
      </c>
      <c r="I1562">
        <v>10</v>
      </c>
      <c r="J1562" s="52"/>
    </row>
    <row r="1563" spans="1:10" hidden="1" x14ac:dyDescent="0.35">
      <c r="A1563" s="2">
        <v>45168</v>
      </c>
      <c r="B1563" t="s">
        <v>71</v>
      </c>
      <c r="C1563" t="s">
        <v>81</v>
      </c>
      <c r="E1563">
        <v>8</v>
      </c>
      <c r="F1563">
        <v>0</v>
      </c>
      <c r="G1563">
        <v>22</v>
      </c>
      <c r="H1563">
        <v>3</v>
      </c>
      <c r="I1563">
        <v>6</v>
      </c>
      <c r="J1563" s="52"/>
    </row>
    <row r="1564" spans="1:10" hidden="1" x14ac:dyDescent="0.35">
      <c r="A1564" s="2">
        <v>45168</v>
      </c>
      <c r="B1564" t="s">
        <v>110</v>
      </c>
      <c r="C1564" t="s">
        <v>81</v>
      </c>
      <c r="E1564">
        <v>10</v>
      </c>
      <c r="F1564">
        <v>1</v>
      </c>
      <c r="G1564">
        <v>0</v>
      </c>
      <c r="H1564">
        <v>0</v>
      </c>
      <c r="I1564">
        <v>0</v>
      </c>
      <c r="J1564" s="52"/>
    </row>
    <row r="1565" spans="1:10" hidden="1" x14ac:dyDescent="0.35">
      <c r="A1565" s="2">
        <v>45168</v>
      </c>
      <c r="B1565" t="s">
        <v>85</v>
      </c>
      <c r="C1565" t="s">
        <v>83</v>
      </c>
      <c r="E1565">
        <v>17</v>
      </c>
      <c r="F1565">
        <v>11</v>
      </c>
      <c r="G1565">
        <v>19</v>
      </c>
      <c r="H1565">
        <v>11</v>
      </c>
      <c r="I1565">
        <v>13</v>
      </c>
      <c r="J1565" s="52"/>
    </row>
    <row r="1566" spans="1:10" hidden="1" x14ac:dyDescent="0.35">
      <c r="A1566" s="2">
        <v>45168</v>
      </c>
      <c r="B1566" t="s">
        <v>88</v>
      </c>
      <c r="C1566" t="s">
        <v>76</v>
      </c>
      <c r="E1566">
        <v>9</v>
      </c>
      <c r="F1566">
        <v>7</v>
      </c>
      <c r="G1566">
        <v>12</v>
      </c>
      <c r="H1566">
        <v>5</v>
      </c>
      <c r="I1566">
        <v>7</v>
      </c>
      <c r="J1566" s="52"/>
    </row>
    <row r="1567" spans="1:10" hidden="1" x14ac:dyDescent="0.35">
      <c r="A1567" s="2">
        <v>45168</v>
      </c>
      <c r="B1567" t="s">
        <v>89</v>
      </c>
      <c r="C1567" t="s">
        <v>87</v>
      </c>
      <c r="E1567">
        <v>17</v>
      </c>
      <c r="F1567">
        <v>5</v>
      </c>
      <c r="G1567">
        <v>11</v>
      </c>
      <c r="H1567">
        <v>1</v>
      </c>
      <c r="I1567">
        <v>3</v>
      </c>
      <c r="J1567" s="52"/>
    </row>
    <row r="1568" spans="1:10" hidden="1" x14ac:dyDescent="0.35">
      <c r="A1568" s="2">
        <v>45168</v>
      </c>
      <c r="B1568" t="s">
        <v>93</v>
      </c>
      <c r="C1568" t="s">
        <v>90</v>
      </c>
      <c r="E1568">
        <v>11</v>
      </c>
      <c r="F1568">
        <v>19</v>
      </c>
      <c r="G1568">
        <v>5</v>
      </c>
      <c r="H1568">
        <v>0</v>
      </c>
      <c r="I1568">
        <v>3</v>
      </c>
      <c r="J1568" s="52"/>
    </row>
    <row r="1569" spans="1:10" hidden="1" x14ac:dyDescent="0.35">
      <c r="A1569" s="2">
        <v>45168</v>
      </c>
      <c r="B1569" t="s">
        <v>99</v>
      </c>
      <c r="C1569" t="s">
        <v>92</v>
      </c>
      <c r="E1569">
        <v>22</v>
      </c>
      <c r="F1569">
        <v>3</v>
      </c>
      <c r="G1569">
        <v>14</v>
      </c>
      <c r="H1569">
        <v>1</v>
      </c>
      <c r="I1569">
        <v>6</v>
      </c>
      <c r="J1569" s="52"/>
    </row>
    <row r="1570" spans="1:10" hidden="1" x14ac:dyDescent="0.35">
      <c r="A1570" s="2">
        <v>45168</v>
      </c>
      <c r="B1570" t="s">
        <v>98</v>
      </c>
      <c r="C1570" t="s">
        <v>94</v>
      </c>
      <c r="E1570">
        <v>8</v>
      </c>
      <c r="F1570">
        <v>2</v>
      </c>
      <c r="G1570">
        <v>12</v>
      </c>
      <c r="H1570">
        <v>5</v>
      </c>
      <c r="I1570">
        <v>2</v>
      </c>
      <c r="J1570" s="52"/>
    </row>
    <row r="1571" spans="1:10" hidden="1" x14ac:dyDescent="0.35">
      <c r="A1571" s="2">
        <v>45168</v>
      </c>
      <c r="B1571" t="s">
        <v>102</v>
      </c>
      <c r="C1571" t="s">
        <v>94</v>
      </c>
      <c r="E1571">
        <v>23</v>
      </c>
      <c r="F1571">
        <v>0</v>
      </c>
      <c r="G1571">
        <v>0</v>
      </c>
      <c r="H1571">
        <v>0</v>
      </c>
      <c r="I1571">
        <v>1</v>
      </c>
      <c r="J1571" s="52"/>
    </row>
    <row r="1572" spans="1:10" hidden="1" x14ac:dyDescent="0.35">
      <c r="A1572" s="2">
        <v>45168</v>
      </c>
      <c r="B1572" t="s">
        <v>106</v>
      </c>
      <c r="C1572" t="s">
        <v>103</v>
      </c>
      <c r="E1572">
        <v>9</v>
      </c>
      <c r="F1572">
        <v>5</v>
      </c>
      <c r="G1572">
        <v>4</v>
      </c>
      <c r="H1572">
        <v>0</v>
      </c>
      <c r="I1572">
        <v>3</v>
      </c>
      <c r="J1572" s="52"/>
    </row>
    <row r="1573" spans="1:10" hidden="1" x14ac:dyDescent="0.35">
      <c r="A1573" s="2">
        <v>45168</v>
      </c>
      <c r="B1573" t="s">
        <v>108</v>
      </c>
      <c r="C1573" t="s">
        <v>109</v>
      </c>
      <c r="E1573">
        <v>20</v>
      </c>
      <c r="F1573">
        <v>2</v>
      </c>
      <c r="G1573">
        <v>2</v>
      </c>
      <c r="H1573">
        <v>1</v>
      </c>
      <c r="I1573">
        <v>4</v>
      </c>
      <c r="J1573" s="52"/>
    </row>
    <row r="1574" spans="1:10" hidden="1" x14ac:dyDescent="0.35">
      <c r="A1574" s="2">
        <v>45199</v>
      </c>
      <c r="C1574" t="s">
        <v>24</v>
      </c>
      <c r="D1574">
        <v>646</v>
      </c>
      <c r="J1574" s="52">
        <v>242400</v>
      </c>
    </row>
    <row r="1575" spans="1:10" hidden="1" x14ac:dyDescent="0.35">
      <c r="A1575" s="2">
        <v>45199</v>
      </c>
      <c r="C1575" t="s">
        <v>9</v>
      </c>
      <c r="D1575">
        <v>301</v>
      </c>
      <c r="J1575" s="58">
        <v>203300</v>
      </c>
    </row>
    <row r="1576" spans="1:10" hidden="1" x14ac:dyDescent="0.35">
      <c r="A1576" s="2">
        <v>45199</v>
      </c>
      <c r="C1576" t="s">
        <v>37</v>
      </c>
      <c r="D1576">
        <v>608</v>
      </c>
      <c r="J1576" s="58">
        <v>387350</v>
      </c>
    </row>
    <row r="1577" spans="1:10" hidden="1" x14ac:dyDescent="0.35">
      <c r="A1577" s="2">
        <v>45199</v>
      </c>
      <c r="C1577" t="s">
        <v>23</v>
      </c>
      <c r="D1577">
        <v>467</v>
      </c>
      <c r="J1577" s="58">
        <v>137900</v>
      </c>
    </row>
    <row r="1578" spans="1:10" hidden="1" x14ac:dyDescent="0.35">
      <c r="A1578" s="2">
        <v>45199</v>
      </c>
      <c r="C1578" t="s">
        <v>27</v>
      </c>
      <c r="D1578">
        <v>515</v>
      </c>
      <c r="J1578" s="58">
        <v>442200</v>
      </c>
    </row>
    <row r="1579" spans="1:10" hidden="1" x14ac:dyDescent="0.35">
      <c r="A1579" s="2">
        <v>45199</v>
      </c>
      <c r="C1579" t="s">
        <v>26</v>
      </c>
      <c r="D1579">
        <v>293</v>
      </c>
      <c r="J1579" s="58">
        <v>66900</v>
      </c>
    </row>
    <row r="1580" spans="1:10" hidden="1" x14ac:dyDescent="0.35">
      <c r="A1580" s="2">
        <v>45199</v>
      </c>
      <c r="C1580" t="s">
        <v>20</v>
      </c>
      <c r="D1580">
        <v>830</v>
      </c>
      <c r="J1580" s="58">
        <v>690500</v>
      </c>
    </row>
    <row r="1581" spans="1:10" hidden="1" x14ac:dyDescent="0.35">
      <c r="A1581" s="2">
        <v>45199</v>
      </c>
      <c r="C1581" t="s">
        <v>25</v>
      </c>
      <c r="D1581">
        <v>329</v>
      </c>
      <c r="J1581" s="58">
        <v>105000</v>
      </c>
    </row>
    <row r="1582" spans="1:10" hidden="1" x14ac:dyDescent="0.35">
      <c r="A1582" s="2">
        <v>45199</v>
      </c>
      <c r="C1582" t="s">
        <v>19</v>
      </c>
      <c r="D1582">
        <v>391</v>
      </c>
      <c r="J1582" s="58">
        <v>456200</v>
      </c>
    </row>
    <row r="1583" spans="1:10" hidden="1" x14ac:dyDescent="0.35">
      <c r="A1583" s="2">
        <v>45199</v>
      </c>
      <c r="C1583" t="s">
        <v>21</v>
      </c>
      <c r="D1583">
        <v>383</v>
      </c>
      <c r="J1583" s="58">
        <v>187200</v>
      </c>
    </row>
    <row r="1584" spans="1:10" hidden="1" x14ac:dyDescent="0.35">
      <c r="A1584" s="2">
        <v>45199</v>
      </c>
      <c r="C1584" t="s">
        <v>18</v>
      </c>
      <c r="D1584">
        <v>579</v>
      </c>
      <c r="J1584" s="58">
        <v>296200</v>
      </c>
    </row>
    <row r="1585" spans="1:10" hidden="1" x14ac:dyDescent="0.35">
      <c r="A1585" s="2">
        <v>45199</v>
      </c>
      <c r="C1585" t="s">
        <v>22</v>
      </c>
      <c r="D1585">
        <v>445</v>
      </c>
      <c r="J1585" s="58">
        <v>355950</v>
      </c>
    </row>
    <row r="1586" spans="1:10" hidden="1" x14ac:dyDescent="0.35">
      <c r="A1586" s="2">
        <v>45199</v>
      </c>
      <c r="C1586" t="s">
        <v>54</v>
      </c>
      <c r="D1586">
        <v>671</v>
      </c>
      <c r="J1586" s="58">
        <v>216700</v>
      </c>
    </row>
    <row r="1587" spans="1:10" hidden="1" x14ac:dyDescent="0.35">
      <c r="A1587" s="2">
        <v>45199</v>
      </c>
      <c r="C1587" t="s">
        <v>55</v>
      </c>
      <c r="D1587">
        <v>829</v>
      </c>
      <c r="J1587" s="58">
        <v>143010</v>
      </c>
    </row>
    <row r="1588" spans="1:10" hidden="1" x14ac:dyDescent="0.35">
      <c r="A1588" s="2">
        <v>45199</v>
      </c>
      <c r="C1588" t="s">
        <v>58</v>
      </c>
      <c r="D1588">
        <v>493</v>
      </c>
      <c r="J1588" s="58">
        <v>206800</v>
      </c>
    </row>
    <row r="1589" spans="1:10" hidden="1" x14ac:dyDescent="0.35">
      <c r="A1589" s="2">
        <v>45199</v>
      </c>
      <c r="C1589" t="s">
        <v>62</v>
      </c>
      <c r="D1589">
        <v>442</v>
      </c>
      <c r="J1589" s="58">
        <v>52000</v>
      </c>
    </row>
    <row r="1590" spans="1:10" hidden="1" x14ac:dyDescent="0.35">
      <c r="A1590" s="2">
        <v>45199</v>
      </c>
      <c r="C1590" t="s">
        <v>61</v>
      </c>
      <c r="D1590">
        <v>322</v>
      </c>
      <c r="J1590" s="58">
        <v>138960</v>
      </c>
    </row>
    <row r="1591" spans="1:10" hidden="1" x14ac:dyDescent="0.35">
      <c r="A1591" s="2">
        <v>45199</v>
      </c>
      <c r="C1591" t="s">
        <v>63</v>
      </c>
      <c r="D1591">
        <v>225</v>
      </c>
      <c r="J1591" s="58">
        <v>328200</v>
      </c>
    </row>
    <row r="1592" spans="1:10" hidden="1" x14ac:dyDescent="0.35">
      <c r="A1592" s="2">
        <v>45199</v>
      </c>
      <c r="C1592" t="s">
        <v>73</v>
      </c>
      <c r="D1592">
        <v>464</v>
      </c>
      <c r="J1592" s="58">
        <v>172750</v>
      </c>
    </row>
    <row r="1593" spans="1:10" hidden="1" x14ac:dyDescent="0.35">
      <c r="A1593" s="2">
        <v>45199</v>
      </c>
      <c r="C1593" t="s">
        <v>76</v>
      </c>
      <c r="D1593">
        <v>383</v>
      </c>
      <c r="J1593" s="58">
        <v>54850</v>
      </c>
    </row>
    <row r="1594" spans="1:10" hidden="1" x14ac:dyDescent="0.35">
      <c r="A1594" s="2">
        <v>45199</v>
      </c>
      <c r="C1594" t="s">
        <v>81</v>
      </c>
      <c r="D1594">
        <v>273</v>
      </c>
      <c r="J1594" s="58">
        <v>139500</v>
      </c>
    </row>
    <row r="1595" spans="1:10" hidden="1" x14ac:dyDescent="0.35">
      <c r="A1595" s="2">
        <v>45199</v>
      </c>
      <c r="C1595" t="s">
        <v>83</v>
      </c>
      <c r="D1595">
        <v>308</v>
      </c>
      <c r="J1595" s="58">
        <v>78500</v>
      </c>
    </row>
    <row r="1596" spans="1:10" hidden="1" x14ac:dyDescent="0.35">
      <c r="A1596" s="2">
        <v>45199</v>
      </c>
      <c r="C1596" t="s">
        <v>87</v>
      </c>
      <c r="D1596">
        <v>265</v>
      </c>
      <c r="J1596" s="58">
        <v>140200</v>
      </c>
    </row>
    <row r="1597" spans="1:10" hidden="1" x14ac:dyDescent="0.35">
      <c r="A1597" s="2">
        <v>45199</v>
      </c>
      <c r="C1597" t="s">
        <v>90</v>
      </c>
      <c r="D1597">
        <v>552</v>
      </c>
      <c r="J1597" s="58">
        <v>25990</v>
      </c>
    </row>
    <row r="1598" spans="1:10" hidden="1" x14ac:dyDescent="0.35">
      <c r="A1598" s="2">
        <v>45199</v>
      </c>
      <c r="C1598" t="s">
        <v>91</v>
      </c>
      <c r="D1598">
        <v>224</v>
      </c>
      <c r="J1598" s="58">
        <v>24990</v>
      </c>
    </row>
    <row r="1599" spans="1:10" hidden="1" x14ac:dyDescent="0.35">
      <c r="A1599" s="2">
        <v>45199</v>
      </c>
      <c r="C1599" t="s">
        <v>92</v>
      </c>
      <c r="D1599">
        <v>282</v>
      </c>
      <c r="J1599" s="58">
        <v>131200</v>
      </c>
    </row>
    <row r="1600" spans="1:10" hidden="1" x14ac:dyDescent="0.35">
      <c r="A1600" s="2">
        <v>45199</v>
      </c>
      <c r="C1600" t="s">
        <v>94</v>
      </c>
      <c r="D1600">
        <v>348</v>
      </c>
      <c r="J1600" s="58">
        <v>44800</v>
      </c>
    </row>
    <row r="1601" spans="1:10" hidden="1" x14ac:dyDescent="0.35">
      <c r="A1601" s="2">
        <v>45199</v>
      </c>
      <c r="C1601" t="s">
        <v>103</v>
      </c>
      <c r="D1601">
        <v>210</v>
      </c>
      <c r="J1601" s="58">
        <v>37500</v>
      </c>
    </row>
    <row r="1602" spans="1:10" hidden="1" x14ac:dyDescent="0.35">
      <c r="A1602" s="2">
        <v>45199</v>
      </c>
      <c r="C1602" t="s">
        <v>109</v>
      </c>
      <c r="D1602">
        <v>350</v>
      </c>
      <c r="J1602" s="58">
        <v>81450</v>
      </c>
    </row>
    <row r="1603" spans="1:10" hidden="1" x14ac:dyDescent="0.35">
      <c r="A1603" s="2">
        <v>45199</v>
      </c>
      <c r="B1603" t="s">
        <v>36</v>
      </c>
      <c r="C1603" t="s">
        <v>20</v>
      </c>
      <c r="E1603">
        <v>49</v>
      </c>
      <c r="F1603">
        <v>6</v>
      </c>
      <c r="G1603">
        <v>67</v>
      </c>
      <c r="H1603">
        <v>6</v>
      </c>
      <c r="I1603">
        <v>38</v>
      </c>
      <c r="J1603" s="52"/>
    </row>
    <row r="1604" spans="1:10" hidden="1" x14ac:dyDescent="0.35">
      <c r="A1604" s="2">
        <v>45199</v>
      </c>
      <c r="B1604" t="s">
        <v>110</v>
      </c>
      <c r="C1604" t="s">
        <v>20</v>
      </c>
      <c r="E1604">
        <v>36</v>
      </c>
      <c r="F1604">
        <v>6</v>
      </c>
      <c r="G1604">
        <v>20</v>
      </c>
      <c r="H1604">
        <v>1</v>
      </c>
      <c r="I1604">
        <v>12</v>
      </c>
      <c r="J1604" s="52"/>
    </row>
    <row r="1605" spans="1:10" hidden="1" x14ac:dyDescent="0.35">
      <c r="A1605" s="2">
        <v>45199</v>
      </c>
      <c r="B1605" t="s">
        <v>70</v>
      </c>
      <c r="C1605" t="s">
        <v>26</v>
      </c>
      <c r="E1605">
        <v>12</v>
      </c>
      <c r="F1605">
        <v>0</v>
      </c>
      <c r="G1605">
        <v>67</v>
      </c>
      <c r="H1605">
        <v>6</v>
      </c>
      <c r="I1605">
        <v>4</v>
      </c>
      <c r="J1605" s="52"/>
    </row>
    <row r="1606" spans="1:10" hidden="1" x14ac:dyDescent="0.35">
      <c r="A1606" s="2">
        <v>45199</v>
      </c>
      <c r="B1606" t="s">
        <v>113</v>
      </c>
      <c r="C1606" t="s">
        <v>26</v>
      </c>
      <c r="E1606">
        <v>25</v>
      </c>
      <c r="F1606">
        <v>1</v>
      </c>
      <c r="G1606">
        <v>3</v>
      </c>
      <c r="H1606">
        <v>2</v>
      </c>
      <c r="I1606">
        <v>1</v>
      </c>
      <c r="J1606" s="52"/>
    </row>
    <row r="1607" spans="1:10" hidden="1" x14ac:dyDescent="0.35">
      <c r="A1607" s="2">
        <v>45199</v>
      </c>
      <c r="B1607" t="s">
        <v>38</v>
      </c>
      <c r="C1607" t="s">
        <v>18</v>
      </c>
      <c r="E1607">
        <v>22</v>
      </c>
      <c r="F1607">
        <v>2</v>
      </c>
      <c r="G1607">
        <v>7</v>
      </c>
      <c r="H1607">
        <v>7</v>
      </c>
      <c r="I1607">
        <v>14</v>
      </c>
      <c r="J1607" s="52"/>
    </row>
    <row r="1608" spans="1:10" hidden="1" x14ac:dyDescent="0.35">
      <c r="A1608" s="2">
        <v>45199</v>
      </c>
      <c r="B1608" t="s">
        <v>86</v>
      </c>
      <c r="C1608" t="s">
        <v>18</v>
      </c>
      <c r="E1608">
        <v>30</v>
      </c>
      <c r="F1608">
        <v>19</v>
      </c>
      <c r="G1608">
        <v>16</v>
      </c>
      <c r="H1608">
        <v>3</v>
      </c>
      <c r="I1608">
        <v>7</v>
      </c>
      <c r="J1608" s="52"/>
    </row>
    <row r="1609" spans="1:10" hidden="1" x14ac:dyDescent="0.35">
      <c r="A1609" s="2">
        <v>45199</v>
      </c>
      <c r="B1609" t="s">
        <v>13</v>
      </c>
      <c r="C1609" t="s">
        <v>25</v>
      </c>
      <c r="E1609">
        <v>42</v>
      </c>
      <c r="F1609">
        <v>2</v>
      </c>
      <c r="G1609">
        <v>22</v>
      </c>
      <c r="H1609">
        <v>1</v>
      </c>
      <c r="I1609">
        <v>8</v>
      </c>
      <c r="J1609" s="52"/>
    </row>
    <row r="1610" spans="1:10" hidden="1" x14ac:dyDescent="0.35">
      <c r="A1610" s="2">
        <v>45199</v>
      </c>
      <c r="B1610" t="s">
        <v>13</v>
      </c>
      <c r="C1610" t="s">
        <v>23</v>
      </c>
      <c r="E1610">
        <v>6</v>
      </c>
      <c r="F1610">
        <v>0</v>
      </c>
      <c r="G1610">
        <v>4</v>
      </c>
      <c r="H1610">
        <v>0</v>
      </c>
      <c r="I1610">
        <v>5</v>
      </c>
      <c r="J1610" s="52"/>
    </row>
    <row r="1611" spans="1:10" hidden="1" x14ac:dyDescent="0.35">
      <c r="A1611" s="2">
        <v>45199</v>
      </c>
      <c r="B1611" t="s">
        <v>104</v>
      </c>
      <c r="C1611" t="s">
        <v>23</v>
      </c>
      <c r="E1611">
        <v>31</v>
      </c>
      <c r="F1611">
        <v>3</v>
      </c>
      <c r="G1611">
        <v>15</v>
      </c>
      <c r="H1611">
        <v>3</v>
      </c>
      <c r="I1611">
        <v>6</v>
      </c>
      <c r="J1611" s="52"/>
    </row>
    <row r="1612" spans="1:10" hidden="1" x14ac:dyDescent="0.35">
      <c r="A1612" s="2">
        <v>45199</v>
      </c>
      <c r="B1612" t="s">
        <v>102</v>
      </c>
      <c r="C1612" t="s">
        <v>24</v>
      </c>
      <c r="E1612">
        <v>22</v>
      </c>
      <c r="F1612">
        <v>2</v>
      </c>
      <c r="G1612">
        <v>19</v>
      </c>
      <c r="H1612">
        <v>3</v>
      </c>
      <c r="I1612">
        <v>15</v>
      </c>
      <c r="J1612" s="52"/>
    </row>
    <row r="1613" spans="1:10" hidden="1" x14ac:dyDescent="0.35">
      <c r="A1613" s="2">
        <v>45199</v>
      </c>
      <c r="B1613" t="s">
        <v>96</v>
      </c>
      <c r="C1613" t="s">
        <v>24</v>
      </c>
      <c r="E1613">
        <v>22</v>
      </c>
      <c r="F1613">
        <v>1</v>
      </c>
      <c r="G1613">
        <v>17</v>
      </c>
      <c r="H1613">
        <v>2</v>
      </c>
      <c r="I1613">
        <v>4</v>
      </c>
      <c r="J1613" s="52"/>
    </row>
    <row r="1614" spans="1:10" hidden="1" x14ac:dyDescent="0.35">
      <c r="A1614" s="2">
        <v>45199</v>
      </c>
      <c r="B1614" t="s">
        <v>96</v>
      </c>
      <c r="C1614" t="s">
        <v>37</v>
      </c>
      <c r="E1614">
        <v>4</v>
      </c>
      <c r="F1614">
        <v>0</v>
      </c>
      <c r="G1614">
        <v>11</v>
      </c>
      <c r="H1614">
        <v>1</v>
      </c>
      <c r="I1614">
        <v>4</v>
      </c>
      <c r="J1614" s="52"/>
    </row>
    <row r="1615" spans="1:10" hidden="1" x14ac:dyDescent="0.35">
      <c r="A1615" s="2">
        <v>45199</v>
      </c>
      <c r="B1615" t="s">
        <v>17</v>
      </c>
      <c r="C1615" t="s">
        <v>37</v>
      </c>
      <c r="E1615">
        <v>26</v>
      </c>
      <c r="F1615">
        <v>1</v>
      </c>
      <c r="G1615">
        <v>39</v>
      </c>
      <c r="H1615">
        <v>1</v>
      </c>
      <c r="I1615">
        <v>17</v>
      </c>
      <c r="J1615" s="52"/>
    </row>
    <row r="1616" spans="1:10" hidden="1" x14ac:dyDescent="0.35">
      <c r="A1616" s="2">
        <v>45199</v>
      </c>
      <c r="B1616" t="s">
        <v>50</v>
      </c>
      <c r="C1616" t="s">
        <v>37</v>
      </c>
      <c r="E1616">
        <v>11</v>
      </c>
      <c r="F1616">
        <v>1</v>
      </c>
      <c r="G1616">
        <v>17</v>
      </c>
      <c r="H1616">
        <v>3</v>
      </c>
      <c r="I1616">
        <v>6</v>
      </c>
      <c r="J1616" s="52"/>
    </row>
    <row r="1617" spans="1:10" hidden="1" x14ac:dyDescent="0.35">
      <c r="A1617" s="2">
        <v>45199</v>
      </c>
      <c r="B1617" t="s">
        <v>102</v>
      </c>
      <c r="C1617" t="s">
        <v>37</v>
      </c>
      <c r="E1617">
        <v>2</v>
      </c>
      <c r="F1617">
        <v>0</v>
      </c>
      <c r="G1617">
        <v>1</v>
      </c>
      <c r="H1617">
        <v>0</v>
      </c>
      <c r="I1617">
        <v>2</v>
      </c>
      <c r="J1617" s="52"/>
    </row>
    <row r="1618" spans="1:10" hidden="1" x14ac:dyDescent="0.35">
      <c r="A1618" s="2">
        <v>45199</v>
      </c>
      <c r="B1618" t="s">
        <v>40</v>
      </c>
      <c r="C1618" t="s">
        <v>19</v>
      </c>
      <c r="E1618">
        <v>12</v>
      </c>
      <c r="F1618">
        <v>1</v>
      </c>
      <c r="G1618">
        <v>35</v>
      </c>
      <c r="H1618">
        <v>6</v>
      </c>
      <c r="I1618">
        <v>13</v>
      </c>
      <c r="J1618" s="52"/>
    </row>
    <row r="1619" spans="1:10" hidden="1" x14ac:dyDescent="0.35">
      <c r="A1619" s="2">
        <v>45199</v>
      </c>
      <c r="B1619" t="s">
        <v>42</v>
      </c>
      <c r="C1619" t="s">
        <v>19</v>
      </c>
      <c r="E1619">
        <v>30</v>
      </c>
      <c r="F1619">
        <v>5</v>
      </c>
      <c r="G1619">
        <v>48</v>
      </c>
      <c r="H1619">
        <v>2</v>
      </c>
      <c r="I1619">
        <v>17</v>
      </c>
      <c r="J1619" s="52"/>
    </row>
    <row r="1620" spans="1:10" hidden="1" x14ac:dyDescent="0.35">
      <c r="A1620" s="2">
        <v>45199</v>
      </c>
      <c r="B1620" t="s">
        <v>112</v>
      </c>
      <c r="C1620" t="s">
        <v>19</v>
      </c>
      <c r="E1620">
        <v>46</v>
      </c>
      <c r="F1620">
        <v>6</v>
      </c>
      <c r="G1620">
        <v>2</v>
      </c>
      <c r="H1620">
        <v>0</v>
      </c>
      <c r="I1620">
        <v>4</v>
      </c>
      <c r="J1620" s="52"/>
    </row>
    <row r="1621" spans="1:10" hidden="1" x14ac:dyDescent="0.35">
      <c r="A1621" s="2">
        <v>45199</v>
      </c>
      <c r="B1621" t="s">
        <v>95</v>
      </c>
      <c r="C1621" t="s">
        <v>22</v>
      </c>
      <c r="E1621">
        <v>28</v>
      </c>
      <c r="F1621">
        <v>5</v>
      </c>
      <c r="G1621">
        <v>24</v>
      </c>
      <c r="H1621">
        <v>10</v>
      </c>
      <c r="I1621">
        <v>15</v>
      </c>
      <c r="J1621" s="52"/>
    </row>
    <row r="1622" spans="1:10" hidden="1" x14ac:dyDescent="0.35">
      <c r="A1622" s="2">
        <v>45199</v>
      </c>
      <c r="B1622" t="s">
        <v>105</v>
      </c>
      <c r="C1622" t="s">
        <v>22</v>
      </c>
      <c r="E1622">
        <v>29</v>
      </c>
      <c r="F1622">
        <v>8</v>
      </c>
      <c r="G1622">
        <v>17</v>
      </c>
      <c r="H1622">
        <v>3</v>
      </c>
      <c r="I1622">
        <v>11</v>
      </c>
      <c r="J1622" s="52"/>
    </row>
    <row r="1623" spans="1:10" hidden="1" x14ac:dyDescent="0.35">
      <c r="A1623" s="2">
        <v>45199</v>
      </c>
      <c r="B1623" t="s">
        <v>43</v>
      </c>
      <c r="C1623" t="s">
        <v>27</v>
      </c>
      <c r="E1623">
        <v>20</v>
      </c>
      <c r="F1623">
        <v>0</v>
      </c>
      <c r="G1623">
        <v>30</v>
      </c>
      <c r="H1623">
        <v>0</v>
      </c>
      <c r="I1623">
        <v>14</v>
      </c>
      <c r="J1623" s="52"/>
    </row>
    <row r="1624" spans="1:10" hidden="1" x14ac:dyDescent="0.35">
      <c r="A1624" s="2">
        <v>45199</v>
      </c>
      <c r="B1624" t="s">
        <v>84</v>
      </c>
      <c r="C1624" t="s">
        <v>27</v>
      </c>
      <c r="E1624">
        <v>37</v>
      </c>
      <c r="F1624">
        <v>0</v>
      </c>
      <c r="G1624">
        <v>18</v>
      </c>
      <c r="H1624">
        <v>0</v>
      </c>
      <c r="I1624">
        <v>14</v>
      </c>
      <c r="J1624" s="52"/>
    </row>
    <row r="1625" spans="1:10" hidden="1" x14ac:dyDescent="0.35">
      <c r="A1625" s="2">
        <v>45199</v>
      </c>
      <c r="B1625" t="s">
        <v>17</v>
      </c>
      <c r="C1625" t="s">
        <v>9</v>
      </c>
      <c r="E1625">
        <v>3</v>
      </c>
      <c r="F1625">
        <v>0</v>
      </c>
      <c r="G1625">
        <v>19</v>
      </c>
      <c r="H1625">
        <v>0</v>
      </c>
      <c r="I1625">
        <v>3</v>
      </c>
      <c r="J1625" s="52"/>
    </row>
    <row r="1626" spans="1:10" hidden="1" x14ac:dyDescent="0.35">
      <c r="A1626" s="2">
        <v>45199</v>
      </c>
      <c r="B1626" t="s">
        <v>101</v>
      </c>
      <c r="C1626" t="s">
        <v>9</v>
      </c>
      <c r="E1626">
        <v>36</v>
      </c>
      <c r="F1626">
        <v>1</v>
      </c>
      <c r="G1626">
        <v>15</v>
      </c>
      <c r="H1626">
        <v>3</v>
      </c>
      <c r="I1626">
        <v>13</v>
      </c>
      <c r="J1626" s="52"/>
    </row>
    <row r="1627" spans="1:10" hidden="1" x14ac:dyDescent="0.35">
      <c r="A1627" s="2">
        <v>45199</v>
      </c>
      <c r="B1627" t="s">
        <v>14</v>
      </c>
      <c r="C1627" t="s">
        <v>21</v>
      </c>
      <c r="E1627">
        <v>8</v>
      </c>
      <c r="F1627">
        <v>0</v>
      </c>
      <c r="G1627">
        <v>9</v>
      </c>
      <c r="H1627">
        <v>5</v>
      </c>
      <c r="I1627">
        <v>8</v>
      </c>
      <c r="J1627" s="52"/>
    </row>
    <row r="1628" spans="1:10" hidden="1" x14ac:dyDescent="0.35">
      <c r="A1628" s="2">
        <v>45199</v>
      </c>
      <c r="B1628" t="s">
        <v>75</v>
      </c>
      <c r="C1628" t="s">
        <v>21</v>
      </c>
      <c r="E1628">
        <v>43</v>
      </c>
      <c r="F1628">
        <v>8</v>
      </c>
      <c r="G1628">
        <v>6</v>
      </c>
      <c r="H1628">
        <v>1</v>
      </c>
      <c r="I1628">
        <v>6</v>
      </c>
      <c r="J1628" s="52"/>
    </row>
    <row r="1629" spans="1:10" hidden="1" x14ac:dyDescent="0.35">
      <c r="A1629" s="2">
        <v>45199</v>
      </c>
      <c r="B1629" t="s">
        <v>72</v>
      </c>
      <c r="C1629" t="s">
        <v>54</v>
      </c>
      <c r="E1629">
        <v>32</v>
      </c>
      <c r="F1629">
        <v>4</v>
      </c>
      <c r="G1629">
        <v>20</v>
      </c>
      <c r="H1629">
        <v>8</v>
      </c>
      <c r="I1629">
        <v>15</v>
      </c>
      <c r="J1629" s="52"/>
    </row>
    <row r="1630" spans="1:10" hidden="1" x14ac:dyDescent="0.35">
      <c r="A1630" s="2">
        <v>45199</v>
      </c>
      <c r="B1630" t="s">
        <v>57</v>
      </c>
      <c r="C1630" t="s">
        <v>55</v>
      </c>
      <c r="E1630">
        <v>22</v>
      </c>
      <c r="F1630">
        <v>14</v>
      </c>
      <c r="G1630">
        <v>17</v>
      </c>
      <c r="H1630">
        <v>7</v>
      </c>
      <c r="I1630">
        <v>11</v>
      </c>
      <c r="J1630" s="52"/>
    </row>
    <row r="1631" spans="1:10" hidden="1" x14ac:dyDescent="0.35">
      <c r="A1631" s="2">
        <v>45199</v>
      </c>
      <c r="B1631" t="s">
        <v>100</v>
      </c>
      <c r="C1631" t="s">
        <v>58</v>
      </c>
      <c r="E1631">
        <v>17</v>
      </c>
      <c r="F1631">
        <v>6</v>
      </c>
      <c r="G1631">
        <v>13</v>
      </c>
      <c r="H1631">
        <v>8</v>
      </c>
      <c r="I1631">
        <v>4</v>
      </c>
      <c r="J1631" s="52"/>
    </row>
    <row r="1632" spans="1:10" hidden="1" x14ac:dyDescent="0.35">
      <c r="A1632" s="2">
        <v>45199</v>
      </c>
      <c r="B1632" t="s">
        <v>107</v>
      </c>
      <c r="C1632" t="s">
        <v>58</v>
      </c>
      <c r="E1632">
        <v>29</v>
      </c>
      <c r="F1632">
        <v>13</v>
      </c>
      <c r="G1632">
        <v>27</v>
      </c>
      <c r="H1632">
        <v>6</v>
      </c>
      <c r="I1632">
        <v>12</v>
      </c>
      <c r="J1632" s="52"/>
    </row>
    <row r="1633" spans="1:10" hidden="1" x14ac:dyDescent="0.35">
      <c r="A1633" s="2">
        <v>45199</v>
      </c>
      <c r="B1633" t="s">
        <v>64</v>
      </c>
      <c r="C1633" t="s">
        <v>62</v>
      </c>
      <c r="E1633">
        <v>26</v>
      </c>
      <c r="F1633">
        <v>9</v>
      </c>
      <c r="G1633">
        <v>36</v>
      </c>
      <c r="H1633">
        <v>10</v>
      </c>
      <c r="I1633">
        <v>4</v>
      </c>
      <c r="J1633" s="52"/>
    </row>
    <row r="1634" spans="1:10" hidden="1" x14ac:dyDescent="0.35">
      <c r="A1634" s="2">
        <v>45199</v>
      </c>
      <c r="B1634" t="s">
        <v>97</v>
      </c>
      <c r="C1634" t="s">
        <v>61</v>
      </c>
      <c r="E1634">
        <v>21</v>
      </c>
      <c r="F1634">
        <v>6</v>
      </c>
      <c r="G1634">
        <v>12</v>
      </c>
      <c r="H1634">
        <v>0</v>
      </c>
      <c r="I1634">
        <v>11</v>
      </c>
      <c r="J1634" s="52"/>
    </row>
    <row r="1635" spans="1:10" hidden="1" x14ac:dyDescent="0.35">
      <c r="A1635" s="2">
        <v>45199</v>
      </c>
      <c r="B1635" t="s">
        <v>97</v>
      </c>
      <c r="C1635" t="s">
        <v>91</v>
      </c>
      <c r="E1635">
        <v>17</v>
      </c>
      <c r="F1635">
        <v>4</v>
      </c>
      <c r="G1635">
        <v>0</v>
      </c>
      <c r="H1635">
        <v>4</v>
      </c>
      <c r="I1635">
        <v>2</v>
      </c>
      <c r="J1635" s="52"/>
    </row>
    <row r="1636" spans="1:10" hidden="1" x14ac:dyDescent="0.35">
      <c r="A1636" s="2">
        <v>45199</v>
      </c>
      <c r="B1636" t="s">
        <v>69</v>
      </c>
      <c r="C1636" t="s">
        <v>63</v>
      </c>
      <c r="E1636">
        <v>27</v>
      </c>
      <c r="F1636">
        <v>14</v>
      </c>
      <c r="G1636">
        <v>35</v>
      </c>
      <c r="H1636">
        <v>9</v>
      </c>
      <c r="I1636">
        <v>25</v>
      </c>
      <c r="J1636" s="52"/>
    </row>
    <row r="1637" spans="1:10" hidden="1" x14ac:dyDescent="0.35">
      <c r="A1637" s="2">
        <v>45199</v>
      </c>
      <c r="B1637" t="s">
        <v>77</v>
      </c>
      <c r="C1637" t="s">
        <v>73</v>
      </c>
      <c r="E1637">
        <v>23</v>
      </c>
      <c r="F1637">
        <v>12</v>
      </c>
      <c r="G1637">
        <v>34</v>
      </c>
      <c r="H1637">
        <v>26</v>
      </c>
      <c r="I1637">
        <v>13</v>
      </c>
      <c r="J1637" s="52"/>
    </row>
    <row r="1638" spans="1:10" hidden="1" x14ac:dyDescent="0.35">
      <c r="A1638" s="2">
        <v>45199</v>
      </c>
      <c r="B1638" t="s">
        <v>110</v>
      </c>
      <c r="C1638" t="s">
        <v>81</v>
      </c>
      <c r="E1638">
        <v>17</v>
      </c>
      <c r="F1638">
        <v>0</v>
      </c>
      <c r="G1638">
        <v>14</v>
      </c>
      <c r="H1638">
        <v>3</v>
      </c>
      <c r="I1638">
        <v>11</v>
      </c>
      <c r="J1638" s="52"/>
    </row>
    <row r="1639" spans="1:10" hidden="1" x14ac:dyDescent="0.35">
      <c r="A1639" s="2">
        <v>45199</v>
      </c>
      <c r="B1639" t="s">
        <v>85</v>
      </c>
      <c r="C1639" t="s">
        <v>83</v>
      </c>
      <c r="E1639">
        <v>37</v>
      </c>
      <c r="F1639">
        <v>5</v>
      </c>
      <c r="G1639">
        <v>28</v>
      </c>
      <c r="H1639">
        <v>9</v>
      </c>
      <c r="I1639">
        <v>6</v>
      </c>
      <c r="J1639" s="52"/>
    </row>
    <row r="1640" spans="1:10" hidden="1" x14ac:dyDescent="0.35">
      <c r="A1640" s="2">
        <v>45199</v>
      </c>
      <c r="B1640" t="s">
        <v>88</v>
      </c>
      <c r="C1640" t="s">
        <v>76</v>
      </c>
      <c r="E1640">
        <v>4</v>
      </c>
      <c r="F1640">
        <v>8</v>
      </c>
      <c r="G1640">
        <v>4</v>
      </c>
      <c r="H1640">
        <v>6</v>
      </c>
      <c r="I1640">
        <v>4</v>
      </c>
      <c r="J1640" s="52"/>
    </row>
    <row r="1641" spans="1:10" hidden="1" x14ac:dyDescent="0.35">
      <c r="A1641" s="2">
        <v>45199</v>
      </c>
      <c r="B1641" t="s">
        <v>89</v>
      </c>
      <c r="C1641" t="s">
        <v>87</v>
      </c>
      <c r="E1641">
        <v>9</v>
      </c>
      <c r="F1641">
        <v>2</v>
      </c>
      <c r="G1641">
        <v>13</v>
      </c>
      <c r="H1641">
        <v>0</v>
      </c>
      <c r="I1641">
        <v>10</v>
      </c>
      <c r="J1641" s="52"/>
    </row>
    <row r="1642" spans="1:10" hidden="1" x14ac:dyDescent="0.35">
      <c r="A1642" s="2">
        <v>45199</v>
      </c>
      <c r="B1642" t="s">
        <v>93</v>
      </c>
      <c r="C1642" t="s">
        <v>90</v>
      </c>
      <c r="E1642">
        <v>7</v>
      </c>
      <c r="F1642">
        <v>11</v>
      </c>
      <c r="G1642">
        <v>4</v>
      </c>
      <c r="H1642">
        <v>5</v>
      </c>
      <c r="I1642">
        <v>2</v>
      </c>
      <c r="J1642" s="52"/>
    </row>
    <row r="1643" spans="1:10" hidden="1" x14ac:dyDescent="0.35">
      <c r="A1643" s="2">
        <v>45199</v>
      </c>
      <c r="B1643" t="s">
        <v>99</v>
      </c>
      <c r="C1643" t="s">
        <v>92</v>
      </c>
      <c r="E1643">
        <v>13</v>
      </c>
      <c r="F1643">
        <v>1</v>
      </c>
      <c r="G1643">
        <v>13</v>
      </c>
      <c r="H1643">
        <v>0</v>
      </c>
      <c r="I1643">
        <v>10</v>
      </c>
      <c r="J1643" s="52"/>
    </row>
    <row r="1644" spans="1:10" hidden="1" x14ac:dyDescent="0.35">
      <c r="A1644" s="2">
        <v>45199</v>
      </c>
      <c r="B1644" t="s">
        <v>102</v>
      </c>
      <c r="C1644" t="s">
        <v>94</v>
      </c>
      <c r="E1644">
        <v>25</v>
      </c>
      <c r="F1644">
        <v>2</v>
      </c>
      <c r="G1644">
        <v>2</v>
      </c>
      <c r="H1644">
        <v>0</v>
      </c>
      <c r="I1644">
        <v>3</v>
      </c>
      <c r="J1644" s="52"/>
    </row>
    <row r="1645" spans="1:10" hidden="1" x14ac:dyDescent="0.35">
      <c r="A1645" s="2">
        <v>45199</v>
      </c>
      <c r="B1645" t="s">
        <v>106</v>
      </c>
      <c r="C1645" t="s">
        <v>103</v>
      </c>
      <c r="E1645">
        <v>23</v>
      </c>
      <c r="F1645">
        <v>8</v>
      </c>
      <c r="G1645">
        <v>5</v>
      </c>
      <c r="H1645">
        <v>0</v>
      </c>
      <c r="I1645">
        <v>3</v>
      </c>
      <c r="J1645" s="52"/>
    </row>
    <row r="1646" spans="1:10" hidden="1" x14ac:dyDescent="0.35">
      <c r="A1646" s="2">
        <v>45199</v>
      </c>
      <c r="B1646" t="s">
        <v>108</v>
      </c>
      <c r="C1646" t="s">
        <v>109</v>
      </c>
      <c r="E1646">
        <v>7</v>
      </c>
      <c r="F1646">
        <v>6</v>
      </c>
      <c r="G1646">
        <v>6</v>
      </c>
      <c r="H1646">
        <v>1</v>
      </c>
      <c r="I1646">
        <v>6</v>
      </c>
      <c r="J1646" s="52"/>
    </row>
    <row r="1647" spans="1:10" hidden="1" x14ac:dyDescent="0.35">
      <c r="A1647" s="2">
        <v>45229</v>
      </c>
      <c r="C1647" t="s">
        <v>24</v>
      </c>
      <c r="D1647">
        <v>548</v>
      </c>
      <c r="J1647" s="58">
        <v>194250</v>
      </c>
    </row>
    <row r="1648" spans="1:10" hidden="1" x14ac:dyDescent="0.35">
      <c r="A1648" s="51">
        <v>45229</v>
      </c>
      <c r="C1648" t="s">
        <v>9</v>
      </c>
      <c r="D1648">
        <v>326</v>
      </c>
      <c r="J1648" s="58">
        <v>181300</v>
      </c>
    </row>
    <row r="1649" spans="1:10" hidden="1" x14ac:dyDescent="0.35">
      <c r="A1649" s="2">
        <v>45229</v>
      </c>
      <c r="C1649" t="s">
        <v>37</v>
      </c>
      <c r="D1649">
        <v>649</v>
      </c>
      <c r="J1649" s="52">
        <v>364500</v>
      </c>
    </row>
    <row r="1650" spans="1:10" hidden="1" x14ac:dyDescent="0.35">
      <c r="A1650" s="51">
        <v>45229</v>
      </c>
      <c r="C1650" t="s">
        <v>23</v>
      </c>
      <c r="D1650">
        <v>473</v>
      </c>
      <c r="J1650" s="58">
        <v>112800</v>
      </c>
    </row>
    <row r="1651" spans="1:10" hidden="1" x14ac:dyDescent="0.35">
      <c r="A1651" s="2">
        <v>45229</v>
      </c>
      <c r="C1651" t="s">
        <v>27</v>
      </c>
      <c r="D1651">
        <v>456</v>
      </c>
      <c r="J1651" s="58">
        <v>483150</v>
      </c>
    </row>
    <row r="1652" spans="1:10" hidden="1" x14ac:dyDescent="0.35">
      <c r="A1652" s="51">
        <v>45229</v>
      </c>
      <c r="C1652" t="s">
        <v>26</v>
      </c>
      <c r="D1652">
        <v>348</v>
      </c>
      <c r="J1652" s="58">
        <v>144350</v>
      </c>
    </row>
    <row r="1653" spans="1:10" hidden="1" x14ac:dyDescent="0.35">
      <c r="A1653" s="2">
        <v>45229</v>
      </c>
      <c r="C1653" t="s">
        <v>20</v>
      </c>
      <c r="D1653">
        <v>464</v>
      </c>
      <c r="J1653" s="58">
        <v>688260</v>
      </c>
    </row>
    <row r="1654" spans="1:10" hidden="1" x14ac:dyDescent="0.35">
      <c r="A1654" s="51">
        <v>45229</v>
      </c>
      <c r="C1654" t="s">
        <v>25</v>
      </c>
      <c r="D1654">
        <v>352</v>
      </c>
      <c r="J1654" s="58">
        <v>197750</v>
      </c>
    </row>
    <row r="1655" spans="1:10" hidden="1" x14ac:dyDescent="0.35">
      <c r="A1655" s="2">
        <v>45229</v>
      </c>
      <c r="C1655" t="s">
        <v>19</v>
      </c>
      <c r="D1655">
        <v>412</v>
      </c>
      <c r="J1655" s="58">
        <v>483050</v>
      </c>
    </row>
    <row r="1656" spans="1:10" hidden="1" x14ac:dyDescent="0.35">
      <c r="A1656" s="51">
        <v>45229</v>
      </c>
      <c r="C1656" t="s">
        <v>21</v>
      </c>
      <c r="D1656">
        <v>406</v>
      </c>
      <c r="J1656" s="58">
        <v>201050</v>
      </c>
    </row>
    <row r="1657" spans="1:10" hidden="1" x14ac:dyDescent="0.35">
      <c r="A1657" s="2">
        <v>45229</v>
      </c>
      <c r="C1657" t="s">
        <v>18</v>
      </c>
      <c r="D1657">
        <v>553</v>
      </c>
      <c r="J1657" s="58">
        <v>499400</v>
      </c>
    </row>
    <row r="1658" spans="1:10" hidden="1" x14ac:dyDescent="0.35">
      <c r="A1658" s="51">
        <v>45229</v>
      </c>
      <c r="C1658" t="s">
        <v>22</v>
      </c>
      <c r="D1658">
        <v>477</v>
      </c>
      <c r="J1658" s="58">
        <v>270400</v>
      </c>
    </row>
    <row r="1659" spans="1:10" hidden="1" x14ac:dyDescent="0.35">
      <c r="A1659" s="2">
        <v>45229</v>
      </c>
      <c r="C1659" t="s">
        <v>54</v>
      </c>
      <c r="D1659">
        <v>532</v>
      </c>
      <c r="J1659" s="58">
        <v>220350</v>
      </c>
    </row>
    <row r="1660" spans="1:10" hidden="1" x14ac:dyDescent="0.35">
      <c r="A1660" s="51">
        <v>45229</v>
      </c>
      <c r="C1660" t="s">
        <v>55</v>
      </c>
      <c r="D1660">
        <v>810</v>
      </c>
      <c r="J1660" s="58">
        <v>146770</v>
      </c>
    </row>
    <row r="1661" spans="1:10" hidden="1" x14ac:dyDescent="0.35">
      <c r="A1661" s="2">
        <v>45229</v>
      </c>
      <c r="C1661" t="s">
        <v>58</v>
      </c>
      <c r="D1661">
        <v>505</v>
      </c>
      <c r="J1661" s="58">
        <v>268650</v>
      </c>
    </row>
    <row r="1662" spans="1:10" hidden="1" x14ac:dyDescent="0.35">
      <c r="A1662" s="51">
        <v>45229</v>
      </c>
      <c r="C1662" t="s">
        <v>62</v>
      </c>
      <c r="D1662">
        <v>481</v>
      </c>
      <c r="J1662" s="58">
        <v>78500</v>
      </c>
    </row>
    <row r="1663" spans="1:10" hidden="1" x14ac:dyDescent="0.35">
      <c r="A1663" s="2">
        <v>45229</v>
      </c>
      <c r="C1663" t="s">
        <v>61</v>
      </c>
      <c r="D1663">
        <v>214</v>
      </c>
      <c r="J1663" s="58">
        <v>206920</v>
      </c>
    </row>
    <row r="1664" spans="1:10" hidden="1" x14ac:dyDescent="0.35">
      <c r="A1664" s="51">
        <v>45229</v>
      </c>
      <c r="C1664" t="s">
        <v>63</v>
      </c>
      <c r="D1664">
        <v>255</v>
      </c>
      <c r="J1664" s="58">
        <v>332100</v>
      </c>
    </row>
    <row r="1665" spans="1:10" hidden="1" x14ac:dyDescent="0.35">
      <c r="A1665" s="2">
        <v>45229</v>
      </c>
      <c r="C1665" t="s">
        <v>73</v>
      </c>
      <c r="D1665">
        <v>465</v>
      </c>
      <c r="J1665" s="58">
        <v>148700</v>
      </c>
    </row>
    <row r="1666" spans="1:10" hidden="1" x14ac:dyDescent="0.35">
      <c r="A1666" s="51">
        <v>45229</v>
      </c>
      <c r="C1666" t="s">
        <v>76</v>
      </c>
      <c r="D1666">
        <v>323</v>
      </c>
      <c r="J1666" s="58">
        <v>12900</v>
      </c>
    </row>
    <row r="1667" spans="1:10" hidden="1" x14ac:dyDescent="0.35">
      <c r="A1667" s="2">
        <v>45229</v>
      </c>
      <c r="C1667" t="s">
        <v>81</v>
      </c>
      <c r="D1667">
        <v>375</v>
      </c>
      <c r="J1667" s="58">
        <v>51900</v>
      </c>
    </row>
    <row r="1668" spans="1:10" hidden="1" x14ac:dyDescent="0.35">
      <c r="A1668" s="51">
        <v>45229</v>
      </c>
      <c r="C1668" t="s">
        <v>83</v>
      </c>
      <c r="D1668">
        <v>320</v>
      </c>
      <c r="J1668" s="58">
        <v>91000</v>
      </c>
    </row>
    <row r="1669" spans="1:10" hidden="1" x14ac:dyDescent="0.35">
      <c r="A1669" s="2">
        <v>45229</v>
      </c>
      <c r="C1669" t="s">
        <v>87</v>
      </c>
      <c r="D1669">
        <v>191</v>
      </c>
      <c r="J1669" s="58">
        <v>39950</v>
      </c>
    </row>
    <row r="1670" spans="1:10" hidden="1" x14ac:dyDescent="0.35">
      <c r="A1670" s="51">
        <v>45229</v>
      </c>
      <c r="C1670" t="s">
        <v>90</v>
      </c>
      <c r="D1670">
        <v>680</v>
      </c>
      <c r="J1670" s="58">
        <v>0</v>
      </c>
    </row>
    <row r="1671" spans="1:10" hidden="1" x14ac:dyDescent="0.35">
      <c r="A1671" s="2">
        <v>45229</v>
      </c>
      <c r="C1671" t="s">
        <v>91</v>
      </c>
      <c r="D1671">
        <v>202</v>
      </c>
      <c r="J1671" s="58">
        <v>38980</v>
      </c>
    </row>
    <row r="1672" spans="1:10" hidden="1" x14ac:dyDescent="0.35">
      <c r="A1672" s="51">
        <v>45229</v>
      </c>
      <c r="C1672" t="s">
        <v>92</v>
      </c>
      <c r="D1672">
        <v>290</v>
      </c>
      <c r="J1672" s="58">
        <v>108100</v>
      </c>
    </row>
    <row r="1673" spans="1:10" hidden="1" x14ac:dyDescent="0.35">
      <c r="A1673" s="2">
        <v>45229</v>
      </c>
      <c r="C1673" t="s">
        <v>94</v>
      </c>
      <c r="D1673">
        <v>351</v>
      </c>
      <c r="J1673" s="58">
        <v>73750</v>
      </c>
    </row>
    <row r="1674" spans="1:10" hidden="1" x14ac:dyDescent="0.35">
      <c r="A1674" s="51">
        <v>45229</v>
      </c>
      <c r="C1674" t="s">
        <v>103</v>
      </c>
      <c r="D1674">
        <v>147</v>
      </c>
      <c r="J1674" s="58">
        <v>25700</v>
      </c>
    </row>
    <row r="1675" spans="1:10" hidden="1" x14ac:dyDescent="0.35">
      <c r="A1675" s="2">
        <v>45229</v>
      </c>
      <c r="C1675" t="s">
        <v>109</v>
      </c>
      <c r="D1675">
        <v>288</v>
      </c>
      <c r="J1675" s="58">
        <v>40450</v>
      </c>
    </row>
    <row r="1676" spans="1:10" hidden="1" x14ac:dyDescent="0.35">
      <c r="A1676" s="2">
        <v>45229</v>
      </c>
      <c r="C1676" t="s">
        <v>111</v>
      </c>
      <c r="D1676">
        <v>181</v>
      </c>
      <c r="J1676" s="58">
        <v>0</v>
      </c>
    </row>
    <row r="1677" spans="1:10" hidden="1" x14ac:dyDescent="0.35">
      <c r="A1677" s="51">
        <v>45229</v>
      </c>
      <c r="B1677" t="s">
        <v>36</v>
      </c>
      <c r="C1677" t="s">
        <v>20</v>
      </c>
      <c r="E1677">
        <v>60</v>
      </c>
      <c r="F1677">
        <v>3</v>
      </c>
      <c r="G1677">
        <v>84</v>
      </c>
      <c r="H1677">
        <v>9</v>
      </c>
      <c r="I1677">
        <v>27</v>
      </c>
      <c r="J1677" s="52"/>
    </row>
    <row r="1678" spans="1:10" hidden="1" x14ac:dyDescent="0.35">
      <c r="A1678" s="2">
        <v>45229</v>
      </c>
      <c r="B1678" t="s">
        <v>110</v>
      </c>
      <c r="C1678" t="s">
        <v>20</v>
      </c>
      <c r="E1678">
        <v>28</v>
      </c>
      <c r="F1678">
        <v>4</v>
      </c>
      <c r="G1678">
        <v>28</v>
      </c>
      <c r="H1678">
        <v>6</v>
      </c>
      <c r="I1678">
        <v>23</v>
      </c>
      <c r="J1678" s="52"/>
    </row>
    <row r="1679" spans="1:10" hidden="1" x14ac:dyDescent="0.35">
      <c r="A1679" s="51">
        <v>45229</v>
      </c>
      <c r="B1679" t="s">
        <v>113</v>
      </c>
      <c r="C1679" t="s">
        <v>26</v>
      </c>
      <c r="E1679">
        <v>34</v>
      </c>
      <c r="F1679">
        <v>2</v>
      </c>
      <c r="G1679">
        <v>21</v>
      </c>
      <c r="H1679">
        <v>0</v>
      </c>
      <c r="I1679">
        <v>11</v>
      </c>
      <c r="J1679" s="52"/>
    </row>
    <row r="1680" spans="1:10" hidden="1" x14ac:dyDescent="0.35">
      <c r="A1680" s="51">
        <v>45229</v>
      </c>
      <c r="B1680" t="s">
        <v>38</v>
      </c>
      <c r="C1680" t="s">
        <v>18</v>
      </c>
      <c r="E1680">
        <v>46</v>
      </c>
      <c r="F1680">
        <v>16</v>
      </c>
      <c r="G1680">
        <v>29</v>
      </c>
      <c r="H1680">
        <v>14</v>
      </c>
      <c r="I1680">
        <v>26</v>
      </c>
      <c r="J1680" s="52"/>
    </row>
    <row r="1681" spans="1:10" hidden="1" x14ac:dyDescent="0.35">
      <c r="A1681" s="2">
        <v>45229</v>
      </c>
      <c r="B1681" t="s">
        <v>86</v>
      </c>
      <c r="C1681" t="s">
        <v>18</v>
      </c>
      <c r="E1681">
        <v>13</v>
      </c>
      <c r="F1681">
        <v>7</v>
      </c>
      <c r="G1681">
        <v>12</v>
      </c>
      <c r="H1681">
        <v>4</v>
      </c>
      <c r="I1681">
        <v>9</v>
      </c>
      <c r="J1681" s="52"/>
    </row>
    <row r="1682" spans="1:10" hidden="1" x14ac:dyDescent="0.35">
      <c r="A1682" s="51">
        <v>45229</v>
      </c>
      <c r="B1682" t="s">
        <v>13</v>
      </c>
      <c r="C1682" t="s">
        <v>25</v>
      </c>
      <c r="E1682">
        <v>40</v>
      </c>
      <c r="F1682">
        <v>1</v>
      </c>
      <c r="G1682">
        <v>41</v>
      </c>
      <c r="H1682">
        <v>3</v>
      </c>
      <c r="I1682">
        <v>15</v>
      </c>
      <c r="J1682" s="52"/>
    </row>
    <row r="1683" spans="1:10" hidden="1" x14ac:dyDescent="0.35">
      <c r="A1683" s="51">
        <v>45229</v>
      </c>
      <c r="B1683" t="s">
        <v>104</v>
      </c>
      <c r="C1683" t="s">
        <v>23</v>
      </c>
      <c r="E1683">
        <v>27</v>
      </c>
      <c r="F1683">
        <v>5</v>
      </c>
      <c r="G1683">
        <v>20</v>
      </c>
      <c r="H1683">
        <v>1</v>
      </c>
      <c r="I1683">
        <v>9</v>
      </c>
      <c r="J1683" s="52"/>
    </row>
    <row r="1684" spans="1:10" hidden="1" x14ac:dyDescent="0.35">
      <c r="A1684" s="2">
        <v>45229</v>
      </c>
      <c r="B1684" t="s">
        <v>102</v>
      </c>
      <c r="C1684" t="s">
        <v>24</v>
      </c>
      <c r="E1684">
        <v>19</v>
      </c>
      <c r="F1684">
        <v>10</v>
      </c>
      <c r="G1684">
        <v>17</v>
      </c>
      <c r="H1684">
        <v>3</v>
      </c>
      <c r="I1684">
        <v>10</v>
      </c>
      <c r="J1684" s="52"/>
    </row>
    <row r="1685" spans="1:10" hidden="1" x14ac:dyDescent="0.35">
      <c r="A1685" s="51">
        <v>45229</v>
      </c>
      <c r="B1685" t="s">
        <v>96</v>
      </c>
      <c r="C1685" t="s">
        <v>24</v>
      </c>
      <c r="E1685">
        <v>7</v>
      </c>
      <c r="F1685">
        <v>1</v>
      </c>
      <c r="G1685">
        <v>11</v>
      </c>
      <c r="H1685">
        <v>1</v>
      </c>
      <c r="I1685">
        <v>5</v>
      </c>
      <c r="J1685" s="52"/>
    </row>
    <row r="1686" spans="1:10" hidden="1" x14ac:dyDescent="0.35">
      <c r="A1686" s="2">
        <v>45229</v>
      </c>
      <c r="B1686" t="s">
        <v>96</v>
      </c>
      <c r="C1686" t="s">
        <v>37</v>
      </c>
      <c r="E1686">
        <v>8</v>
      </c>
      <c r="F1686">
        <v>3</v>
      </c>
      <c r="G1686">
        <v>6</v>
      </c>
      <c r="H1686">
        <v>0</v>
      </c>
      <c r="I1686">
        <v>1</v>
      </c>
      <c r="J1686" s="52"/>
    </row>
    <row r="1687" spans="1:10" hidden="1" x14ac:dyDescent="0.35">
      <c r="A1687" s="51">
        <v>45229</v>
      </c>
      <c r="B1687" t="s">
        <v>17</v>
      </c>
      <c r="C1687" t="s">
        <v>37</v>
      </c>
      <c r="E1687">
        <v>26</v>
      </c>
      <c r="F1687">
        <v>3</v>
      </c>
      <c r="G1687">
        <v>38</v>
      </c>
      <c r="H1687">
        <v>3</v>
      </c>
      <c r="I1687">
        <v>15</v>
      </c>
      <c r="J1687" s="52"/>
    </row>
    <row r="1688" spans="1:10" hidden="1" x14ac:dyDescent="0.35">
      <c r="A1688" s="2">
        <v>45229</v>
      </c>
      <c r="B1688" t="s">
        <v>50</v>
      </c>
      <c r="C1688" t="s">
        <v>37</v>
      </c>
      <c r="E1688">
        <v>6</v>
      </c>
      <c r="F1688">
        <v>1</v>
      </c>
      <c r="G1688">
        <v>16</v>
      </c>
      <c r="H1688">
        <v>1</v>
      </c>
      <c r="I1688">
        <v>7</v>
      </c>
      <c r="J1688" s="52"/>
    </row>
    <row r="1689" spans="1:10" hidden="1" x14ac:dyDescent="0.35">
      <c r="A1689" s="51">
        <v>45229</v>
      </c>
      <c r="B1689" t="s">
        <v>102</v>
      </c>
      <c r="C1689" t="s">
        <v>37</v>
      </c>
      <c r="E1689">
        <v>10</v>
      </c>
      <c r="F1689">
        <v>0</v>
      </c>
      <c r="G1689">
        <v>4</v>
      </c>
      <c r="H1689">
        <v>0</v>
      </c>
      <c r="I1689">
        <v>4</v>
      </c>
      <c r="J1689" s="52"/>
    </row>
    <row r="1690" spans="1:10" hidden="1" x14ac:dyDescent="0.35">
      <c r="A1690" s="2">
        <v>45229</v>
      </c>
      <c r="B1690" t="s">
        <v>40</v>
      </c>
      <c r="C1690" t="s">
        <v>19</v>
      </c>
      <c r="E1690">
        <v>2</v>
      </c>
      <c r="F1690">
        <v>2</v>
      </c>
      <c r="G1690">
        <v>46</v>
      </c>
      <c r="H1690">
        <v>6</v>
      </c>
      <c r="I1690">
        <v>9</v>
      </c>
      <c r="J1690" s="52"/>
    </row>
    <row r="1691" spans="1:10" hidden="1" x14ac:dyDescent="0.35">
      <c r="A1691" s="51">
        <v>45229</v>
      </c>
      <c r="B1691" t="s">
        <v>42</v>
      </c>
      <c r="C1691" t="s">
        <v>19</v>
      </c>
      <c r="E1691">
        <v>14</v>
      </c>
      <c r="F1691">
        <v>2</v>
      </c>
      <c r="G1691">
        <v>52</v>
      </c>
      <c r="H1691">
        <v>1</v>
      </c>
      <c r="I1691">
        <v>14</v>
      </c>
      <c r="J1691" s="52"/>
    </row>
    <row r="1692" spans="1:10" hidden="1" x14ac:dyDescent="0.35">
      <c r="A1692" s="2">
        <v>45229</v>
      </c>
      <c r="B1692" t="s">
        <v>112</v>
      </c>
      <c r="C1692" t="s">
        <v>19</v>
      </c>
      <c r="E1692">
        <v>45</v>
      </c>
      <c r="F1692">
        <v>6</v>
      </c>
      <c r="G1692">
        <v>12</v>
      </c>
      <c r="H1692">
        <v>3</v>
      </c>
      <c r="I1692">
        <v>12</v>
      </c>
      <c r="J1692" s="52"/>
    </row>
    <row r="1693" spans="1:10" hidden="1" x14ac:dyDescent="0.35">
      <c r="A1693" s="51">
        <v>45229</v>
      </c>
      <c r="B1693" t="s">
        <v>95</v>
      </c>
      <c r="C1693" t="s">
        <v>22</v>
      </c>
      <c r="E1693">
        <v>18</v>
      </c>
      <c r="F1693">
        <v>5</v>
      </c>
      <c r="G1693">
        <v>29</v>
      </c>
      <c r="H1693">
        <v>9</v>
      </c>
      <c r="I1693">
        <v>13</v>
      </c>
      <c r="J1693" s="52"/>
    </row>
    <row r="1694" spans="1:10" hidden="1" x14ac:dyDescent="0.35">
      <c r="A1694" s="2">
        <v>45229</v>
      </c>
      <c r="B1694" t="s">
        <v>105</v>
      </c>
      <c r="C1694" t="s">
        <v>22</v>
      </c>
      <c r="E1694">
        <v>17</v>
      </c>
      <c r="F1694">
        <v>14</v>
      </c>
      <c r="G1694">
        <v>19</v>
      </c>
      <c r="H1694">
        <v>4</v>
      </c>
      <c r="I1694">
        <v>7</v>
      </c>
      <c r="J1694" s="52"/>
    </row>
    <row r="1695" spans="1:10" hidden="1" x14ac:dyDescent="0.35">
      <c r="A1695" s="51">
        <v>45229</v>
      </c>
      <c r="B1695" t="s">
        <v>43</v>
      </c>
      <c r="C1695" t="s">
        <v>27</v>
      </c>
      <c r="E1695">
        <v>28</v>
      </c>
      <c r="F1695">
        <v>0</v>
      </c>
      <c r="G1695">
        <v>37</v>
      </c>
      <c r="H1695">
        <v>0</v>
      </c>
      <c r="I1695">
        <v>13</v>
      </c>
      <c r="J1695" s="52"/>
    </row>
    <row r="1696" spans="1:10" hidden="1" x14ac:dyDescent="0.35">
      <c r="A1696" s="2">
        <v>45229</v>
      </c>
      <c r="B1696" t="s">
        <v>84</v>
      </c>
      <c r="C1696" t="s">
        <v>27</v>
      </c>
      <c r="E1696">
        <v>34</v>
      </c>
      <c r="F1696">
        <v>0</v>
      </c>
      <c r="G1696">
        <v>27</v>
      </c>
      <c r="H1696">
        <v>0</v>
      </c>
      <c r="I1696">
        <v>18</v>
      </c>
      <c r="J1696" s="52"/>
    </row>
    <row r="1697" spans="1:10" hidden="1" x14ac:dyDescent="0.35">
      <c r="A1697" s="51">
        <v>45229</v>
      </c>
      <c r="B1697" t="s">
        <v>17</v>
      </c>
      <c r="C1697" t="s">
        <v>9</v>
      </c>
      <c r="E1697">
        <v>1</v>
      </c>
      <c r="F1697">
        <v>0</v>
      </c>
      <c r="G1697">
        <v>9</v>
      </c>
      <c r="H1697">
        <v>0</v>
      </c>
      <c r="I1697">
        <v>1</v>
      </c>
      <c r="J1697" s="52"/>
    </row>
    <row r="1698" spans="1:10" hidden="1" x14ac:dyDescent="0.35">
      <c r="A1698" s="2">
        <v>45229</v>
      </c>
      <c r="B1698" t="s">
        <v>101</v>
      </c>
      <c r="C1698" t="s">
        <v>9</v>
      </c>
      <c r="E1698">
        <v>17</v>
      </c>
      <c r="F1698">
        <v>1</v>
      </c>
      <c r="G1698">
        <v>19</v>
      </c>
      <c r="H1698">
        <v>1</v>
      </c>
      <c r="I1698">
        <v>13</v>
      </c>
      <c r="J1698" s="52"/>
    </row>
    <row r="1699" spans="1:10" hidden="1" x14ac:dyDescent="0.35">
      <c r="A1699" s="2">
        <v>45229</v>
      </c>
      <c r="B1699" t="s">
        <v>75</v>
      </c>
      <c r="C1699" t="s">
        <v>21</v>
      </c>
      <c r="E1699">
        <v>62</v>
      </c>
      <c r="F1699">
        <v>9</v>
      </c>
      <c r="G1699">
        <v>35</v>
      </c>
      <c r="H1699">
        <v>9</v>
      </c>
      <c r="I1699">
        <v>14</v>
      </c>
      <c r="J1699" s="52"/>
    </row>
    <row r="1700" spans="1:10" hidden="1" x14ac:dyDescent="0.35">
      <c r="A1700" s="51">
        <v>45229</v>
      </c>
      <c r="B1700" t="s">
        <v>72</v>
      </c>
      <c r="C1700" t="s">
        <v>54</v>
      </c>
      <c r="E1700">
        <v>35</v>
      </c>
      <c r="F1700">
        <v>5</v>
      </c>
      <c r="G1700">
        <v>31</v>
      </c>
      <c r="H1700">
        <v>12</v>
      </c>
      <c r="I1700">
        <v>15</v>
      </c>
      <c r="J1700" s="52"/>
    </row>
    <row r="1701" spans="1:10" hidden="1" x14ac:dyDescent="0.35">
      <c r="A1701" s="2">
        <v>45229</v>
      </c>
      <c r="B1701" t="s">
        <v>57</v>
      </c>
      <c r="C1701" t="s">
        <v>55</v>
      </c>
      <c r="E1701">
        <v>23</v>
      </c>
      <c r="F1701">
        <v>16</v>
      </c>
      <c r="G1701">
        <v>23</v>
      </c>
      <c r="H1701">
        <v>11</v>
      </c>
      <c r="I1701">
        <v>11</v>
      </c>
      <c r="J1701" s="52"/>
    </row>
    <row r="1702" spans="1:10" hidden="1" x14ac:dyDescent="0.35">
      <c r="A1702" s="51">
        <v>45229</v>
      </c>
      <c r="B1702" t="s">
        <v>100</v>
      </c>
      <c r="C1702" t="s">
        <v>58</v>
      </c>
      <c r="E1702">
        <v>19</v>
      </c>
      <c r="F1702">
        <v>7</v>
      </c>
      <c r="G1702">
        <v>11</v>
      </c>
      <c r="H1702">
        <v>11</v>
      </c>
      <c r="I1702">
        <v>7</v>
      </c>
      <c r="J1702" s="52"/>
    </row>
    <row r="1703" spans="1:10" hidden="1" x14ac:dyDescent="0.35">
      <c r="A1703" s="2">
        <v>45229</v>
      </c>
      <c r="B1703" t="s">
        <v>107</v>
      </c>
      <c r="C1703" t="s">
        <v>58</v>
      </c>
      <c r="E1703">
        <v>20</v>
      </c>
      <c r="F1703">
        <v>10</v>
      </c>
      <c r="G1703">
        <v>17</v>
      </c>
      <c r="H1703">
        <v>1</v>
      </c>
      <c r="I1703">
        <v>13</v>
      </c>
      <c r="J1703" s="52"/>
    </row>
    <row r="1704" spans="1:10" hidden="1" x14ac:dyDescent="0.35">
      <c r="A1704" s="51">
        <v>45229</v>
      </c>
      <c r="B1704" t="s">
        <v>64</v>
      </c>
      <c r="C1704" t="s">
        <v>62</v>
      </c>
      <c r="E1704">
        <v>18</v>
      </c>
      <c r="F1704">
        <v>12</v>
      </c>
      <c r="G1704">
        <v>29</v>
      </c>
      <c r="H1704">
        <v>14</v>
      </c>
      <c r="I1704">
        <v>6</v>
      </c>
      <c r="J1704" s="52"/>
    </row>
    <row r="1705" spans="1:10" hidden="1" x14ac:dyDescent="0.35">
      <c r="A1705" s="2">
        <v>45229</v>
      </c>
      <c r="B1705" t="s">
        <v>97</v>
      </c>
      <c r="C1705" t="s">
        <v>61</v>
      </c>
      <c r="E1705">
        <v>38</v>
      </c>
      <c r="F1705">
        <v>11</v>
      </c>
      <c r="G1705">
        <v>9</v>
      </c>
      <c r="H1705">
        <v>2</v>
      </c>
      <c r="I1705">
        <v>16</v>
      </c>
      <c r="J1705" s="52"/>
    </row>
    <row r="1706" spans="1:10" hidden="1" x14ac:dyDescent="0.35">
      <c r="A1706" s="51">
        <v>45229</v>
      </c>
      <c r="B1706" t="s">
        <v>97</v>
      </c>
      <c r="C1706" t="s">
        <v>91</v>
      </c>
      <c r="E1706">
        <v>17</v>
      </c>
      <c r="F1706">
        <v>5</v>
      </c>
      <c r="G1706">
        <v>2</v>
      </c>
      <c r="H1706">
        <v>0</v>
      </c>
      <c r="I1706">
        <v>3</v>
      </c>
      <c r="J1706" s="52"/>
    </row>
    <row r="1707" spans="1:10" hidden="1" x14ac:dyDescent="0.35">
      <c r="A1707" s="2">
        <v>45229</v>
      </c>
      <c r="B1707" t="s">
        <v>69</v>
      </c>
      <c r="C1707" t="s">
        <v>63</v>
      </c>
      <c r="E1707">
        <v>40</v>
      </c>
      <c r="F1707">
        <v>7</v>
      </c>
      <c r="G1707">
        <v>32</v>
      </c>
      <c r="H1707">
        <v>4</v>
      </c>
      <c r="I1707">
        <v>26</v>
      </c>
      <c r="J1707" s="52"/>
    </row>
    <row r="1708" spans="1:10" hidden="1" x14ac:dyDescent="0.35">
      <c r="A1708" s="51">
        <v>45229</v>
      </c>
      <c r="B1708" t="s">
        <v>77</v>
      </c>
      <c r="C1708" t="s">
        <v>73</v>
      </c>
      <c r="E1708">
        <v>20</v>
      </c>
      <c r="F1708">
        <v>13</v>
      </c>
      <c r="G1708">
        <v>25</v>
      </c>
      <c r="H1708">
        <v>4</v>
      </c>
      <c r="I1708">
        <v>11</v>
      </c>
      <c r="J1708" s="52"/>
    </row>
    <row r="1709" spans="1:10" hidden="1" x14ac:dyDescent="0.35">
      <c r="A1709" s="2">
        <v>45229</v>
      </c>
      <c r="B1709" t="s">
        <v>110</v>
      </c>
      <c r="C1709" t="s">
        <v>81</v>
      </c>
      <c r="E1709">
        <v>15</v>
      </c>
      <c r="F1709">
        <v>2</v>
      </c>
      <c r="G1709">
        <v>23</v>
      </c>
      <c r="H1709">
        <v>3</v>
      </c>
      <c r="I1709">
        <v>4</v>
      </c>
      <c r="J1709" s="52"/>
    </row>
    <row r="1710" spans="1:10" hidden="1" x14ac:dyDescent="0.35">
      <c r="A1710" s="51">
        <v>45229</v>
      </c>
      <c r="B1710" t="s">
        <v>85</v>
      </c>
      <c r="C1710" t="s">
        <v>83</v>
      </c>
      <c r="E1710">
        <v>30</v>
      </c>
      <c r="F1710">
        <v>11</v>
      </c>
      <c r="G1710">
        <v>32</v>
      </c>
      <c r="H1710">
        <v>4</v>
      </c>
      <c r="I1710">
        <v>7</v>
      </c>
      <c r="J1710" s="52"/>
    </row>
    <row r="1711" spans="1:10" hidden="1" x14ac:dyDescent="0.35">
      <c r="A1711" s="2">
        <v>45229</v>
      </c>
      <c r="B1711" t="s">
        <v>88</v>
      </c>
      <c r="C1711" t="s">
        <v>76</v>
      </c>
      <c r="E1711">
        <v>17</v>
      </c>
      <c r="F1711">
        <v>6</v>
      </c>
      <c r="G1711">
        <v>7</v>
      </c>
      <c r="H1711">
        <v>8</v>
      </c>
      <c r="I1711">
        <v>1</v>
      </c>
      <c r="J1711" s="52"/>
    </row>
    <row r="1712" spans="1:10" hidden="1" x14ac:dyDescent="0.35">
      <c r="A1712" s="51">
        <v>45229</v>
      </c>
      <c r="B1712" t="s">
        <v>89</v>
      </c>
      <c r="C1712" t="s">
        <v>87</v>
      </c>
      <c r="E1712">
        <v>11</v>
      </c>
      <c r="F1712">
        <v>4</v>
      </c>
      <c r="G1712">
        <v>7</v>
      </c>
      <c r="H1712">
        <v>0</v>
      </c>
      <c r="I1712">
        <v>3</v>
      </c>
      <c r="J1712" s="52"/>
    </row>
    <row r="1713" spans="1:10" hidden="1" x14ac:dyDescent="0.35">
      <c r="A1713" s="2">
        <v>45229</v>
      </c>
      <c r="B1713" t="s">
        <v>93</v>
      </c>
      <c r="C1713" t="s">
        <v>90</v>
      </c>
      <c r="E1713">
        <v>7</v>
      </c>
      <c r="F1713">
        <v>9</v>
      </c>
      <c r="G1713">
        <v>9</v>
      </c>
      <c r="H1713">
        <v>0</v>
      </c>
      <c r="I1713">
        <v>0</v>
      </c>
      <c r="J1713" s="52"/>
    </row>
    <row r="1714" spans="1:10" hidden="1" x14ac:dyDescent="0.35">
      <c r="A1714" s="51">
        <v>45229</v>
      </c>
      <c r="B1714" t="s">
        <v>99</v>
      </c>
      <c r="C1714" t="s">
        <v>92</v>
      </c>
      <c r="E1714">
        <v>15</v>
      </c>
      <c r="F1714">
        <v>5</v>
      </c>
      <c r="G1714">
        <v>12</v>
      </c>
      <c r="H1714">
        <v>2</v>
      </c>
      <c r="I1714">
        <v>8</v>
      </c>
      <c r="J1714" s="52"/>
    </row>
    <row r="1715" spans="1:10" hidden="1" x14ac:dyDescent="0.35">
      <c r="A1715" s="51">
        <v>45229</v>
      </c>
      <c r="B1715" t="s">
        <v>98</v>
      </c>
      <c r="C1715" t="s">
        <v>94</v>
      </c>
      <c r="E1715">
        <v>2</v>
      </c>
      <c r="F1715">
        <v>0</v>
      </c>
      <c r="G1715">
        <v>0</v>
      </c>
      <c r="H1715">
        <v>0</v>
      </c>
      <c r="I1715">
        <v>2</v>
      </c>
      <c r="J1715" s="52"/>
    </row>
    <row r="1716" spans="1:10" hidden="1" x14ac:dyDescent="0.35">
      <c r="A1716" s="2">
        <v>45229</v>
      </c>
      <c r="B1716" t="s">
        <v>102</v>
      </c>
      <c r="C1716" t="s">
        <v>94</v>
      </c>
      <c r="E1716">
        <v>12</v>
      </c>
      <c r="F1716">
        <v>2</v>
      </c>
      <c r="G1716">
        <v>5</v>
      </c>
      <c r="H1716">
        <v>1</v>
      </c>
      <c r="I1716">
        <v>3</v>
      </c>
      <c r="J1716" s="52"/>
    </row>
    <row r="1717" spans="1:10" hidden="1" x14ac:dyDescent="0.35">
      <c r="A1717" s="51">
        <v>45229</v>
      </c>
      <c r="B1717" t="s">
        <v>106</v>
      </c>
      <c r="C1717" t="s">
        <v>103</v>
      </c>
      <c r="E1717">
        <v>14</v>
      </c>
      <c r="F1717">
        <v>10</v>
      </c>
      <c r="G1717">
        <v>6</v>
      </c>
      <c r="H1717">
        <v>0</v>
      </c>
      <c r="I1717">
        <v>2</v>
      </c>
      <c r="J1717" s="52"/>
    </row>
    <row r="1718" spans="1:10" hidden="1" x14ac:dyDescent="0.35">
      <c r="A1718" s="2">
        <v>45229</v>
      </c>
      <c r="B1718" t="s">
        <v>108</v>
      </c>
      <c r="C1718" t="s">
        <v>109</v>
      </c>
      <c r="E1718">
        <v>4</v>
      </c>
      <c r="F1718">
        <v>3</v>
      </c>
      <c r="G1718">
        <v>2</v>
      </c>
      <c r="H1718">
        <v>0</v>
      </c>
      <c r="I1718">
        <v>3</v>
      </c>
      <c r="J1718" s="52"/>
    </row>
    <row r="1719" spans="1:10" hidden="1" x14ac:dyDescent="0.35">
      <c r="A1719" s="2">
        <v>45229</v>
      </c>
      <c r="B1719" t="s">
        <v>114</v>
      </c>
      <c r="C1719" t="s">
        <v>111</v>
      </c>
      <c r="E1719">
        <v>5</v>
      </c>
      <c r="F1719">
        <v>3</v>
      </c>
      <c r="G1719">
        <v>0</v>
      </c>
      <c r="H1719">
        <v>0</v>
      </c>
      <c r="I1719">
        <v>0</v>
      </c>
      <c r="J1719" s="52"/>
    </row>
    <row r="1720" spans="1:10" hidden="1" x14ac:dyDescent="0.35">
      <c r="A1720" s="2">
        <v>45260</v>
      </c>
      <c r="C1720" t="s">
        <v>24</v>
      </c>
      <c r="D1720">
        <v>486</v>
      </c>
      <c r="J1720" s="58">
        <v>121200</v>
      </c>
    </row>
    <row r="1721" spans="1:10" hidden="1" x14ac:dyDescent="0.35">
      <c r="A1721" s="2">
        <v>45260</v>
      </c>
      <c r="C1721" t="s">
        <v>9</v>
      </c>
      <c r="D1721">
        <v>336</v>
      </c>
      <c r="J1721" s="58">
        <v>149500</v>
      </c>
    </row>
    <row r="1722" spans="1:10" hidden="1" x14ac:dyDescent="0.35">
      <c r="A1722" s="2">
        <v>45260</v>
      </c>
      <c r="C1722" t="s">
        <v>37</v>
      </c>
      <c r="D1722">
        <v>599</v>
      </c>
      <c r="J1722" s="58">
        <v>320000</v>
      </c>
    </row>
    <row r="1723" spans="1:10" hidden="1" x14ac:dyDescent="0.35">
      <c r="A1723" s="2">
        <v>45260</v>
      </c>
      <c r="C1723" t="s">
        <v>23</v>
      </c>
      <c r="D1723">
        <v>391</v>
      </c>
      <c r="J1723" s="58">
        <v>63800</v>
      </c>
    </row>
    <row r="1724" spans="1:10" hidden="1" x14ac:dyDescent="0.35">
      <c r="A1724" s="2">
        <v>45260</v>
      </c>
      <c r="C1724" t="s">
        <v>27</v>
      </c>
      <c r="D1724">
        <v>424</v>
      </c>
      <c r="J1724" s="58">
        <v>370050</v>
      </c>
    </row>
    <row r="1725" spans="1:10" hidden="1" x14ac:dyDescent="0.35">
      <c r="A1725" s="2">
        <v>45260</v>
      </c>
      <c r="C1725" t="s">
        <v>26</v>
      </c>
      <c r="D1725">
        <v>292</v>
      </c>
      <c r="J1725" s="58">
        <v>209500</v>
      </c>
    </row>
    <row r="1726" spans="1:10" hidden="1" x14ac:dyDescent="0.35">
      <c r="A1726" s="2">
        <v>45260</v>
      </c>
      <c r="C1726" t="s">
        <v>20</v>
      </c>
      <c r="D1726">
        <v>430</v>
      </c>
      <c r="J1726" s="58">
        <v>589450</v>
      </c>
    </row>
    <row r="1727" spans="1:10" hidden="1" x14ac:dyDescent="0.35">
      <c r="A1727" s="2">
        <v>45260</v>
      </c>
      <c r="C1727" t="s">
        <v>25</v>
      </c>
      <c r="D1727">
        <v>403</v>
      </c>
      <c r="J1727" s="58">
        <v>117450</v>
      </c>
    </row>
    <row r="1728" spans="1:10" hidden="1" x14ac:dyDescent="0.35">
      <c r="A1728" s="2">
        <v>45260</v>
      </c>
      <c r="C1728" t="s">
        <v>19</v>
      </c>
      <c r="D1728">
        <v>370</v>
      </c>
      <c r="J1728" s="58">
        <v>351850</v>
      </c>
    </row>
    <row r="1729" spans="1:10" hidden="1" x14ac:dyDescent="0.35">
      <c r="A1729" s="2">
        <v>45260</v>
      </c>
      <c r="C1729" t="s">
        <v>21</v>
      </c>
      <c r="D1729">
        <v>400</v>
      </c>
      <c r="J1729" s="58">
        <v>112500</v>
      </c>
    </row>
    <row r="1730" spans="1:10" hidden="1" x14ac:dyDescent="0.35">
      <c r="A1730" s="2">
        <v>45260</v>
      </c>
      <c r="C1730" t="s">
        <v>18</v>
      </c>
      <c r="D1730">
        <v>504</v>
      </c>
      <c r="J1730" s="58">
        <v>444565.04</v>
      </c>
    </row>
    <row r="1731" spans="1:10" hidden="1" x14ac:dyDescent="0.35">
      <c r="A1731" s="2">
        <v>45260</v>
      </c>
      <c r="C1731" t="s">
        <v>22</v>
      </c>
      <c r="D1731">
        <v>461</v>
      </c>
      <c r="J1731" s="58">
        <v>324950</v>
      </c>
    </row>
    <row r="1732" spans="1:10" hidden="1" x14ac:dyDescent="0.35">
      <c r="A1732" s="2">
        <v>45260</v>
      </c>
      <c r="C1732" t="s">
        <v>54</v>
      </c>
      <c r="D1732">
        <v>352</v>
      </c>
      <c r="J1732" s="58">
        <v>78050</v>
      </c>
    </row>
    <row r="1733" spans="1:10" hidden="1" x14ac:dyDescent="0.35">
      <c r="A1733" s="2">
        <v>45260</v>
      </c>
      <c r="C1733" t="s">
        <v>55</v>
      </c>
      <c r="D1733">
        <v>681</v>
      </c>
      <c r="J1733" s="58">
        <v>63490</v>
      </c>
    </row>
    <row r="1734" spans="1:10" hidden="1" x14ac:dyDescent="0.35">
      <c r="A1734" s="2">
        <v>45260</v>
      </c>
      <c r="C1734" t="s">
        <v>58</v>
      </c>
      <c r="D1734">
        <v>620</v>
      </c>
      <c r="J1734" s="58">
        <v>259900</v>
      </c>
    </row>
    <row r="1735" spans="1:10" hidden="1" x14ac:dyDescent="0.35">
      <c r="A1735" s="2">
        <v>45260</v>
      </c>
      <c r="C1735" t="s">
        <v>62</v>
      </c>
      <c r="D1735">
        <v>411</v>
      </c>
      <c r="J1735" s="58">
        <v>41000</v>
      </c>
    </row>
    <row r="1736" spans="1:10" hidden="1" x14ac:dyDescent="0.35">
      <c r="A1736" s="2">
        <v>45260</v>
      </c>
      <c r="C1736" t="s">
        <v>61</v>
      </c>
      <c r="D1736">
        <v>155</v>
      </c>
      <c r="J1736" s="58">
        <v>128920</v>
      </c>
    </row>
    <row r="1737" spans="1:10" hidden="1" x14ac:dyDescent="0.35">
      <c r="A1737" s="2">
        <v>45260</v>
      </c>
      <c r="C1737" t="s">
        <v>63</v>
      </c>
      <c r="D1737">
        <v>202</v>
      </c>
      <c r="J1737" s="58">
        <v>339500</v>
      </c>
    </row>
    <row r="1738" spans="1:10" hidden="1" x14ac:dyDescent="0.35">
      <c r="A1738" s="2">
        <v>45260</v>
      </c>
      <c r="C1738" t="s">
        <v>73</v>
      </c>
      <c r="D1738">
        <v>372</v>
      </c>
      <c r="J1738" s="58">
        <v>150800</v>
      </c>
    </row>
    <row r="1739" spans="1:10" hidden="1" x14ac:dyDescent="0.35">
      <c r="A1739" s="2">
        <v>45260</v>
      </c>
      <c r="C1739" t="s">
        <v>76</v>
      </c>
      <c r="D1739">
        <v>276</v>
      </c>
      <c r="J1739" s="58">
        <v>24000</v>
      </c>
    </row>
    <row r="1740" spans="1:10" hidden="1" x14ac:dyDescent="0.35">
      <c r="A1740" s="2">
        <v>45260</v>
      </c>
      <c r="C1740" t="s">
        <v>81</v>
      </c>
      <c r="D1740">
        <v>352</v>
      </c>
      <c r="J1740" s="58">
        <v>112000</v>
      </c>
    </row>
    <row r="1741" spans="1:10" hidden="1" x14ac:dyDescent="0.35">
      <c r="A1741" s="2">
        <v>45260</v>
      </c>
      <c r="C1741" t="s">
        <v>83</v>
      </c>
      <c r="D1741">
        <v>290</v>
      </c>
      <c r="J1741" s="58">
        <v>133950</v>
      </c>
    </row>
    <row r="1742" spans="1:10" hidden="1" x14ac:dyDescent="0.35">
      <c r="A1742" s="2">
        <v>45260</v>
      </c>
      <c r="C1742" t="s">
        <v>87</v>
      </c>
      <c r="D1742">
        <v>97</v>
      </c>
      <c r="J1742" s="58">
        <v>13500</v>
      </c>
    </row>
    <row r="1743" spans="1:10" hidden="1" x14ac:dyDescent="0.35">
      <c r="A1743" s="2">
        <v>45260</v>
      </c>
      <c r="C1743" t="s">
        <v>90</v>
      </c>
      <c r="D1743">
        <v>465</v>
      </c>
      <c r="J1743" s="58">
        <v>12000</v>
      </c>
    </row>
    <row r="1744" spans="1:10" hidden="1" x14ac:dyDescent="0.35">
      <c r="A1744" s="2">
        <v>45260</v>
      </c>
      <c r="C1744" t="s">
        <v>91</v>
      </c>
      <c r="D1744">
        <v>179</v>
      </c>
      <c r="J1744" s="58">
        <v>72990</v>
      </c>
    </row>
    <row r="1745" spans="1:10" hidden="1" x14ac:dyDescent="0.35">
      <c r="A1745" s="2">
        <v>45260</v>
      </c>
      <c r="C1745" t="s">
        <v>92</v>
      </c>
      <c r="D1745">
        <v>302</v>
      </c>
      <c r="J1745" s="58">
        <v>109400</v>
      </c>
    </row>
    <row r="1746" spans="1:10" hidden="1" x14ac:dyDescent="0.35">
      <c r="A1746" s="2">
        <v>45260</v>
      </c>
      <c r="C1746" t="s">
        <v>94</v>
      </c>
      <c r="D1746">
        <v>263</v>
      </c>
      <c r="J1746" s="58">
        <v>84350</v>
      </c>
    </row>
    <row r="1747" spans="1:10" hidden="1" x14ac:dyDescent="0.35">
      <c r="A1747" s="2">
        <v>45260</v>
      </c>
      <c r="C1747" t="s">
        <v>103</v>
      </c>
      <c r="D1747">
        <v>80</v>
      </c>
      <c r="J1747" s="58">
        <v>121500</v>
      </c>
    </row>
    <row r="1748" spans="1:10" hidden="1" x14ac:dyDescent="0.35">
      <c r="A1748" s="2">
        <v>45260</v>
      </c>
      <c r="C1748" t="s">
        <v>109</v>
      </c>
      <c r="D1748">
        <v>254</v>
      </c>
      <c r="J1748" s="58">
        <v>14450</v>
      </c>
    </row>
    <row r="1749" spans="1:10" hidden="1" x14ac:dyDescent="0.35">
      <c r="A1749" s="2">
        <v>45260</v>
      </c>
      <c r="C1749" t="s">
        <v>111</v>
      </c>
      <c r="D1749">
        <v>294</v>
      </c>
      <c r="J1749" s="58">
        <v>0</v>
      </c>
    </row>
    <row r="1750" spans="1:10" hidden="1" x14ac:dyDescent="0.35">
      <c r="A1750" s="2">
        <v>45260</v>
      </c>
      <c r="B1750" t="s">
        <v>36</v>
      </c>
      <c r="C1750" t="s">
        <v>20</v>
      </c>
      <c r="E1750">
        <v>71</v>
      </c>
      <c r="F1750">
        <v>3</v>
      </c>
      <c r="G1750">
        <v>63</v>
      </c>
      <c r="H1750">
        <v>10</v>
      </c>
      <c r="I1750">
        <v>36</v>
      </c>
      <c r="J1750" s="52"/>
    </row>
    <row r="1751" spans="1:10" hidden="1" x14ac:dyDescent="0.35">
      <c r="A1751" s="2">
        <v>45260</v>
      </c>
      <c r="B1751" t="s">
        <v>110</v>
      </c>
      <c r="C1751" t="s">
        <v>20</v>
      </c>
      <c r="E1751">
        <v>25</v>
      </c>
      <c r="F1751">
        <v>9</v>
      </c>
      <c r="G1751">
        <v>29</v>
      </c>
      <c r="H1751">
        <v>2</v>
      </c>
      <c r="I1751">
        <v>7</v>
      </c>
      <c r="J1751" s="52"/>
    </row>
    <row r="1752" spans="1:10" hidden="1" x14ac:dyDescent="0.35">
      <c r="A1752" s="2">
        <v>45260</v>
      </c>
      <c r="B1752" t="s">
        <v>113</v>
      </c>
      <c r="C1752" t="s">
        <v>26</v>
      </c>
      <c r="E1752">
        <v>29</v>
      </c>
      <c r="F1752">
        <v>0</v>
      </c>
      <c r="G1752">
        <v>33</v>
      </c>
      <c r="H1752">
        <v>4</v>
      </c>
      <c r="I1752">
        <v>16</v>
      </c>
      <c r="J1752" s="52"/>
    </row>
    <row r="1753" spans="1:10" hidden="1" x14ac:dyDescent="0.35">
      <c r="A1753" s="2">
        <v>45260</v>
      </c>
      <c r="B1753" t="s">
        <v>38</v>
      </c>
      <c r="C1753" t="s">
        <v>18</v>
      </c>
      <c r="E1753">
        <v>34</v>
      </c>
      <c r="F1753">
        <v>25</v>
      </c>
      <c r="G1753">
        <v>23</v>
      </c>
      <c r="H1753">
        <v>11</v>
      </c>
      <c r="I1753">
        <v>14</v>
      </c>
      <c r="J1753" s="52"/>
    </row>
    <row r="1754" spans="1:10" hidden="1" x14ac:dyDescent="0.35">
      <c r="A1754" s="2">
        <v>45260</v>
      </c>
      <c r="B1754" t="s">
        <v>86</v>
      </c>
      <c r="C1754" t="s">
        <v>18</v>
      </c>
      <c r="E1754">
        <v>5</v>
      </c>
      <c r="F1754">
        <v>2</v>
      </c>
      <c r="G1754">
        <v>17</v>
      </c>
      <c r="H1754">
        <v>6</v>
      </c>
      <c r="I1754">
        <v>18</v>
      </c>
      <c r="J1754" s="52"/>
    </row>
    <row r="1755" spans="1:10" hidden="1" x14ac:dyDescent="0.35">
      <c r="A1755" s="2">
        <v>45260</v>
      </c>
      <c r="B1755" t="s">
        <v>13</v>
      </c>
      <c r="C1755" t="s">
        <v>25</v>
      </c>
      <c r="E1755">
        <v>35</v>
      </c>
      <c r="F1755">
        <v>4</v>
      </c>
      <c r="G1755">
        <v>30</v>
      </c>
      <c r="H1755">
        <v>2</v>
      </c>
      <c r="I1755">
        <v>9</v>
      </c>
      <c r="J1755" s="52"/>
    </row>
    <row r="1756" spans="1:10" hidden="1" x14ac:dyDescent="0.35">
      <c r="A1756" s="2">
        <v>45260</v>
      </c>
      <c r="B1756" t="s">
        <v>104</v>
      </c>
      <c r="C1756" t="s">
        <v>23</v>
      </c>
      <c r="E1756">
        <v>38</v>
      </c>
      <c r="F1756">
        <v>3</v>
      </c>
      <c r="G1756">
        <v>28</v>
      </c>
      <c r="H1756">
        <v>1</v>
      </c>
      <c r="I1756">
        <v>5</v>
      </c>
      <c r="J1756" s="52"/>
    </row>
    <row r="1757" spans="1:10" hidden="1" x14ac:dyDescent="0.35">
      <c r="A1757" s="2">
        <v>45260</v>
      </c>
      <c r="B1757" t="s">
        <v>102</v>
      </c>
      <c r="C1757" t="s">
        <v>24</v>
      </c>
      <c r="E1757">
        <v>21</v>
      </c>
      <c r="F1757">
        <v>2</v>
      </c>
      <c r="G1757">
        <v>25</v>
      </c>
      <c r="H1757">
        <v>0</v>
      </c>
      <c r="I1757">
        <v>6</v>
      </c>
      <c r="J1757" s="52"/>
    </row>
    <row r="1758" spans="1:10" hidden="1" x14ac:dyDescent="0.35">
      <c r="A1758" s="2">
        <v>45260</v>
      </c>
      <c r="B1758" t="s">
        <v>96</v>
      </c>
      <c r="C1758" t="s">
        <v>24</v>
      </c>
      <c r="E1758">
        <v>15</v>
      </c>
      <c r="F1758">
        <v>1</v>
      </c>
      <c r="G1758">
        <v>19</v>
      </c>
      <c r="H1758">
        <v>2</v>
      </c>
      <c r="I1758">
        <v>3</v>
      </c>
      <c r="J1758" s="52"/>
    </row>
    <row r="1759" spans="1:10" hidden="1" x14ac:dyDescent="0.35">
      <c r="A1759" s="2">
        <v>45260</v>
      </c>
      <c r="B1759" t="s">
        <v>96</v>
      </c>
      <c r="C1759" t="s">
        <v>37</v>
      </c>
      <c r="E1759">
        <v>21</v>
      </c>
      <c r="F1759">
        <v>3</v>
      </c>
      <c r="G1759">
        <v>12</v>
      </c>
      <c r="H1759">
        <v>2</v>
      </c>
      <c r="I1759">
        <v>6</v>
      </c>
      <c r="J1759" s="52"/>
    </row>
    <row r="1760" spans="1:10" hidden="1" x14ac:dyDescent="0.35">
      <c r="A1760" s="2">
        <v>45260</v>
      </c>
      <c r="B1760" t="s">
        <v>17</v>
      </c>
      <c r="C1760" t="s">
        <v>37</v>
      </c>
      <c r="E1760">
        <v>24</v>
      </c>
      <c r="F1760">
        <v>6</v>
      </c>
      <c r="G1760">
        <v>33</v>
      </c>
      <c r="H1760">
        <v>2</v>
      </c>
      <c r="I1760">
        <v>10</v>
      </c>
      <c r="J1760" s="52"/>
    </row>
    <row r="1761" spans="1:10" hidden="1" x14ac:dyDescent="0.35">
      <c r="A1761" s="2">
        <v>45260</v>
      </c>
      <c r="B1761" t="s">
        <v>50</v>
      </c>
      <c r="C1761" t="s">
        <v>37</v>
      </c>
      <c r="E1761">
        <v>14</v>
      </c>
      <c r="F1761">
        <v>5</v>
      </c>
      <c r="G1761">
        <v>14</v>
      </c>
      <c r="H1761">
        <v>2</v>
      </c>
      <c r="I1761">
        <v>3</v>
      </c>
      <c r="J1761" s="52"/>
    </row>
    <row r="1762" spans="1:10" hidden="1" x14ac:dyDescent="0.35">
      <c r="A1762" s="2">
        <v>45260</v>
      </c>
      <c r="B1762" t="s">
        <v>102</v>
      </c>
      <c r="C1762" t="s">
        <v>37</v>
      </c>
      <c r="E1762">
        <v>2</v>
      </c>
      <c r="F1762">
        <v>0</v>
      </c>
      <c r="G1762">
        <v>5</v>
      </c>
      <c r="H1762">
        <v>0</v>
      </c>
      <c r="I1762">
        <v>2</v>
      </c>
      <c r="J1762" s="52"/>
    </row>
    <row r="1763" spans="1:10" hidden="1" x14ac:dyDescent="0.35">
      <c r="A1763" s="2">
        <v>45260</v>
      </c>
      <c r="B1763" t="s">
        <v>101</v>
      </c>
      <c r="C1763" t="s">
        <v>37</v>
      </c>
      <c r="E1763">
        <v>1</v>
      </c>
      <c r="F1763">
        <v>0</v>
      </c>
      <c r="G1763">
        <v>0</v>
      </c>
      <c r="H1763">
        <v>0</v>
      </c>
      <c r="I1763">
        <v>1</v>
      </c>
      <c r="J1763" s="52"/>
    </row>
    <row r="1764" spans="1:10" hidden="1" x14ac:dyDescent="0.35">
      <c r="A1764" s="2">
        <v>45260</v>
      </c>
      <c r="B1764" t="s">
        <v>104</v>
      </c>
      <c r="C1764" t="s">
        <v>37</v>
      </c>
      <c r="E1764">
        <v>1</v>
      </c>
      <c r="F1764">
        <v>0</v>
      </c>
      <c r="G1764">
        <v>0</v>
      </c>
      <c r="H1764">
        <v>0</v>
      </c>
      <c r="I1764">
        <v>1</v>
      </c>
      <c r="J1764" s="52"/>
    </row>
    <row r="1765" spans="1:10" hidden="1" x14ac:dyDescent="0.35">
      <c r="A1765" s="2">
        <v>45260</v>
      </c>
      <c r="B1765" t="s">
        <v>42</v>
      </c>
      <c r="C1765" t="s">
        <v>19</v>
      </c>
      <c r="E1765">
        <v>1</v>
      </c>
      <c r="F1765">
        <v>0</v>
      </c>
      <c r="G1765">
        <v>14</v>
      </c>
      <c r="H1765">
        <v>1</v>
      </c>
      <c r="I1765">
        <v>1</v>
      </c>
      <c r="J1765" s="52"/>
    </row>
    <row r="1766" spans="1:10" hidden="1" x14ac:dyDescent="0.35">
      <c r="A1766" s="2">
        <v>45260</v>
      </c>
      <c r="B1766" t="s">
        <v>112</v>
      </c>
      <c r="C1766" t="s">
        <v>19</v>
      </c>
      <c r="E1766">
        <v>68</v>
      </c>
      <c r="F1766">
        <v>7</v>
      </c>
      <c r="G1766">
        <v>46</v>
      </c>
      <c r="H1766">
        <v>4</v>
      </c>
      <c r="I1766">
        <v>24</v>
      </c>
      <c r="J1766" s="52"/>
    </row>
    <row r="1767" spans="1:10" hidden="1" x14ac:dyDescent="0.35">
      <c r="A1767" s="2">
        <v>45260</v>
      </c>
      <c r="B1767" t="s">
        <v>95</v>
      </c>
      <c r="C1767" t="s">
        <v>22</v>
      </c>
      <c r="E1767">
        <v>18</v>
      </c>
      <c r="F1767">
        <v>7</v>
      </c>
      <c r="G1767">
        <v>31</v>
      </c>
      <c r="H1767">
        <v>14</v>
      </c>
      <c r="I1767">
        <v>10</v>
      </c>
      <c r="J1767" s="52"/>
    </row>
    <row r="1768" spans="1:10" hidden="1" x14ac:dyDescent="0.35">
      <c r="A1768" s="2">
        <v>45260</v>
      </c>
      <c r="B1768" t="s">
        <v>105</v>
      </c>
      <c r="C1768" t="s">
        <v>22</v>
      </c>
      <c r="E1768">
        <v>5</v>
      </c>
      <c r="F1768">
        <v>9</v>
      </c>
      <c r="G1768">
        <v>15</v>
      </c>
      <c r="H1768">
        <v>10</v>
      </c>
      <c r="I1768">
        <v>14</v>
      </c>
      <c r="J1768" s="52"/>
    </row>
    <row r="1769" spans="1:10" hidden="1" x14ac:dyDescent="0.35">
      <c r="A1769" s="2">
        <v>45260</v>
      </c>
      <c r="B1769" t="s">
        <v>43</v>
      </c>
      <c r="C1769" t="s">
        <v>27</v>
      </c>
      <c r="E1769">
        <v>13</v>
      </c>
      <c r="F1769">
        <v>0</v>
      </c>
      <c r="G1769">
        <v>36</v>
      </c>
      <c r="H1769">
        <v>0</v>
      </c>
      <c r="I1769">
        <v>12</v>
      </c>
      <c r="J1769" s="52"/>
    </row>
    <row r="1770" spans="1:10" hidden="1" x14ac:dyDescent="0.35">
      <c r="A1770" s="2">
        <v>45260</v>
      </c>
      <c r="B1770" t="s">
        <v>84</v>
      </c>
      <c r="C1770" t="s">
        <v>27</v>
      </c>
      <c r="E1770">
        <v>38</v>
      </c>
      <c r="F1770">
        <v>0</v>
      </c>
      <c r="G1770">
        <v>20</v>
      </c>
      <c r="H1770">
        <v>0</v>
      </c>
      <c r="I1770">
        <v>12</v>
      </c>
      <c r="J1770" s="52"/>
    </row>
    <row r="1771" spans="1:10" hidden="1" x14ac:dyDescent="0.35">
      <c r="A1771" s="2">
        <v>45260</v>
      </c>
      <c r="B1771" t="s">
        <v>17</v>
      </c>
      <c r="C1771" t="s">
        <v>9</v>
      </c>
      <c r="E1771">
        <v>1</v>
      </c>
      <c r="F1771">
        <v>0</v>
      </c>
      <c r="G1771">
        <v>0</v>
      </c>
      <c r="H1771">
        <v>0</v>
      </c>
      <c r="I1771">
        <v>1</v>
      </c>
      <c r="J1771" s="52"/>
    </row>
    <row r="1772" spans="1:10" hidden="1" x14ac:dyDescent="0.35">
      <c r="A1772" s="2">
        <v>45260</v>
      </c>
      <c r="B1772" t="s">
        <v>101</v>
      </c>
      <c r="C1772" t="s">
        <v>9</v>
      </c>
      <c r="E1772">
        <v>34</v>
      </c>
      <c r="F1772">
        <v>0</v>
      </c>
      <c r="G1772">
        <v>26</v>
      </c>
      <c r="H1772">
        <v>2</v>
      </c>
      <c r="I1772">
        <v>10</v>
      </c>
      <c r="J1772" s="52"/>
    </row>
    <row r="1773" spans="1:10" hidden="1" x14ac:dyDescent="0.35">
      <c r="A1773" s="2">
        <v>45260</v>
      </c>
      <c r="B1773" t="s">
        <v>75</v>
      </c>
      <c r="C1773" t="s">
        <v>21</v>
      </c>
      <c r="E1773">
        <v>64</v>
      </c>
      <c r="F1773">
        <v>14</v>
      </c>
      <c r="G1773">
        <v>25</v>
      </c>
      <c r="H1773">
        <v>6</v>
      </c>
      <c r="I1773">
        <v>8</v>
      </c>
      <c r="J1773" s="52"/>
    </row>
    <row r="1774" spans="1:10" hidden="1" x14ac:dyDescent="0.35">
      <c r="A1774" s="2">
        <v>45260</v>
      </c>
      <c r="B1774" t="s">
        <v>72</v>
      </c>
      <c r="C1774" t="s">
        <v>54</v>
      </c>
      <c r="E1774">
        <v>20</v>
      </c>
      <c r="F1774">
        <v>8</v>
      </c>
      <c r="G1774">
        <v>21</v>
      </c>
      <c r="H1774">
        <v>5</v>
      </c>
      <c r="I1774">
        <v>5</v>
      </c>
      <c r="J1774" s="52"/>
    </row>
    <row r="1775" spans="1:10" hidden="1" x14ac:dyDescent="0.35">
      <c r="A1775" s="2">
        <v>45260</v>
      </c>
      <c r="B1775" t="s">
        <v>57</v>
      </c>
      <c r="C1775" t="s">
        <v>55</v>
      </c>
      <c r="E1775">
        <v>22</v>
      </c>
      <c r="F1775">
        <v>11</v>
      </c>
      <c r="G1775">
        <v>13</v>
      </c>
      <c r="H1775">
        <v>7</v>
      </c>
      <c r="I1775">
        <v>5</v>
      </c>
      <c r="J1775" s="52"/>
    </row>
    <row r="1776" spans="1:10" hidden="1" x14ac:dyDescent="0.35">
      <c r="A1776" s="2">
        <v>45260</v>
      </c>
      <c r="B1776" t="s">
        <v>100</v>
      </c>
      <c r="C1776" t="s">
        <v>58</v>
      </c>
      <c r="E1776">
        <v>21</v>
      </c>
      <c r="F1776">
        <v>8</v>
      </c>
      <c r="G1776">
        <v>13</v>
      </c>
      <c r="H1776">
        <v>6</v>
      </c>
      <c r="I1776">
        <v>7</v>
      </c>
      <c r="J1776" s="52"/>
    </row>
    <row r="1777" spans="1:10" hidden="1" x14ac:dyDescent="0.35">
      <c r="A1777" s="2">
        <v>45260</v>
      </c>
      <c r="B1777" t="s">
        <v>107</v>
      </c>
      <c r="C1777" t="s">
        <v>58</v>
      </c>
      <c r="E1777">
        <v>16</v>
      </c>
      <c r="F1777">
        <v>14</v>
      </c>
      <c r="G1777">
        <v>20</v>
      </c>
      <c r="H1777">
        <v>4</v>
      </c>
      <c r="I1777">
        <v>13</v>
      </c>
      <c r="J1777" s="52"/>
    </row>
    <row r="1778" spans="1:10" hidden="1" x14ac:dyDescent="0.35">
      <c r="A1778" s="2">
        <v>45260</v>
      </c>
      <c r="B1778" t="s">
        <v>64</v>
      </c>
      <c r="C1778" t="s">
        <v>62</v>
      </c>
      <c r="E1778">
        <v>23</v>
      </c>
      <c r="F1778">
        <v>2</v>
      </c>
      <c r="G1778">
        <v>21</v>
      </c>
      <c r="H1778">
        <v>15</v>
      </c>
      <c r="I1778">
        <v>3</v>
      </c>
      <c r="J1778" s="52"/>
    </row>
    <row r="1779" spans="1:10" hidden="1" x14ac:dyDescent="0.35">
      <c r="A1779" s="2">
        <v>45260</v>
      </c>
      <c r="B1779" t="s">
        <v>97</v>
      </c>
      <c r="C1779" t="s">
        <v>61</v>
      </c>
      <c r="E1779">
        <v>22</v>
      </c>
      <c r="F1779">
        <v>7</v>
      </c>
      <c r="G1779">
        <v>9</v>
      </c>
      <c r="H1779">
        <v>2</v>
      </c>
      <c r="I1779">
        <v>10</v>
      </c>
      <c r="J1779" s="52"/>
    </row>
    <row r="1780" spans="1:10" hidden="1" x14ac:dyDescent="0.35">
      <c r="A1780" s="2">
        <v>45260</v>
      </c>
      <c r="B1780" t="s">
        <v>97</v>
      </c>
      <c r="C1780" t="s">
        <v>91</v>
      </c>
      <c r="E1780">
        <v>13</v>
      </c>
      <c r="F1780">
        <v>0</v>
      </c>
      <c r="G1780">
        <v>4</v>
      </c>
      <c r="H1780">
        <v>0</v>
      </c>
      <c r="I1780">
        <v>6</v>
      </c>
      <c r="J1780" s="52"/>
    </row>
    <row r="1781" spans="1:10" hidden="1" x14ac:dyDescent="0.35">
      <c r="A1781" s="2">
        <v>45260</v>
      </c>
      <c r="B1781" t="s">
        <v>69</v>
      </c>
      <c r="C1781" t="s">
        <v>63</v>
      </c>
      <c r="E1781">
        <v>16</v>
      </c>
      <c r="F1781">
        <v>7</v>
      </c>
      <c r="G1781">
        <v>13</v>
      </c>
      <c r="H1781">
        <v>1</v>
      </c>
      <c r="I1781">
        <v>26</v>
      </c>
      <c r="J1781" s="52"/>
    </row>
    <row r="1782" spans="1:10" hidden="1" x14ac:dyDescent="0.35">
      <c r="A1782" s="2">
        <v>45260</v>
      </c>
      <c r="B1782" t="s">
        <v>77</v>
      </c>
      <c r="C1782" t="s">
        <v>73</v>
      </c>
      <c r="E1782">
        <v>9</v>
      </c>
      <c r="F1782">
        <v>18</v>
      </c>
      <c r="G1782">
        <v>27</v>
      </c>
      <c r="H1782">
        <v>17</v>
      </c>
      <c r="I1782">
        <v>12</v>
      </c>
      <c r="J1782" s="52"/>
    </row>
    <row r="1783" spans="1:10" hidden="1" x14ac:dyDescent="0.35">
      <c r="A1783" s="2">
        <v>45260</v>
      </c>
      <c r="B1783" t="s">
        <v>110</v>
      </c>
      <c r="C1783" t="s">
        <v>81</v>
      </c>
      <c r="E1783">
        <v>14</v>
      </c>
      <c r="F1783">
        <v>0</v>
      </c>
      <c r="G1783">
        <v>24</v>
      </c>
      <c r="H1783">
        <v>1</v>
      </c>
      <c r="I1783">
        <v>9</v>
      </c>
      <c r="J1783" s="52"/>
    </row>
    <row r="1784" spans="1:10" hidden="1" x14ac:dyDescent="0.35">
      <c r="A1784" s="2">
        <v>45260</v>
      </c>
      <c r="B1784" t="s">
        <v>85</v>
      </c>
      <c r="C1784" t="s">
        <v>83</v>
      </c>
      <c r="E1784">
        <v>13</v>
      </c>
      <c r="F1784">
        <v>9</v>
      </c>
      <c r="G1784">
        <v>27</v>
      </c>
      <c r="H1784">
        <v>12</v>
      </c>
      <c r="I1784">
        <v>10</v>
      </c>
      <c r="J1784" s="52"/>
    </row>
    <row r="1785" spans="1:10" hidden="1" x14ac:dyDescent="0.35">
      <c r="A1785" s="2">
        <v>45260</v>
      </c>
      <c r="B1785" t="s">
        <v>88</v>
      </c>
      <c r="C1785" t="s">
        <v>76</v>
      </c>
      <c r="E1785">
        <v>6</v>
      </c>
      <c r="F1785">
        <v>14</v>
      </c>
      <c r="G1785">
        <v>7</v>
      </c>
      <c r="H1785">
        <v>5</v>
      </c>
      <c r="I1785">
        <v>2</v>
      </c>
      <c r="J1785" s="52"/>
    </row>
    <row r="1786" spans="1:10" hidden="1" x14ac:dyDescent="0.35">
      <c r="A1786" s="2">
        <v>45260</v>
      </c>
      <c r="B1786" t="s">
        <v>89</v>
      </c>
      <c r="C1786" t="s">
        <v>87</v>
      </c>
      <c r="E1786">
        <v>16</v>
      </c>
      <c r="F1786">
        <v>1</v>
      </c>
      <c r="G1786">
        <v>8</v>
      </c>
      <c r="H1786">
        <v>1</v>
      </c>
      <c r="I1786">
        <v>1</v>
      </c>
      <c r="J1786" s="52"/>
    </row>
    <row r="1787" spans="1:10" hidden="1" x14ac:dyDescent="0.35">
      <c r="A1787" s="2">
        <v>45260</v>
      </c>
      <c r="B1787" t="s">
        <v>93</v>
      </c>
      <c r="C1787" t="s">
        <v>90</v>
      </c>
      <c r="E1787">
        <v>16</v>
      </c>
      <c r="F1787">
        <v>4</v>
      </c>
      <c r="G1787">
        <v>3</v>
      </c>
      <c r="H1787">
        <v>1</v>
      </c>
      <c r="I1787">
        <v>1</v>
      </c>
      <c r="J1787" s="52"/>
    </row>
    <row r="1788" spans="1:10" hidden="1" x14ac:dyDescent="0.35">
      <c r="A1788" s="2">
        <v>45260</v>
      </c>
      <c r="B1788" t="s">
        <v>99</v>
      </c>
      <c r="C1788" t="s">
        <v>92</v>
      </c>
      <c r="E1788">
        <v>15</v>
      </c>
      <c r="F1788">
        <v>3</v>
      </c>
      <c r="G1788">
        <v>14</v>
      </c>
      <c r="H1788">
        <v>2</v>
      </c>
      <c r="I1788">
        <v>8</v>
      </c>
      <c r="J1788" s="52"/>
    </row>
    <row r="1789" spans="1:10" hidden="1" x14ac:dyDescent="0.35">
      <c r="A1789" s="2">
        <v>45260</v>
      </c>
      <c r="B1789" t="s">
        <v>98</v>
      </c>
      <c r="C1789" t="s">
        <v>94</v>
      </c>
      <c r="E1789">
        <v>31</v>
      </c>
      <c r="F1789">
        <v>1</v>
      </c>
      <c r="G1789">
        <v>19</v>
      </c>
      <c r="H1789">
        <v>1</v>
      </c>
      <c r="I1789">
        <v>4</v>
      </c>
      <c r="J1789" s="52"/>
    </row>
    <row r="1790" spans="1:10" hidden="1" x14ac:dyDescent="0.35">
      <c r="A1790" s="2">
        <v>45260</v>
      </c>
      <c r="B1790" t="s">
        <v>102</v>
      </c>
      <c r="C1790" t="s">
        <v>94</v>
      </c>
      <c r="E1790">
        <v>1</v>
      </c>
      <c r="F1790">
        <v>0</v>
      </c>
      <c r="G1790">
        <v>1</v>
      </c>
      <c r="H1790">
        <v>0</v>
      </c>
      <c r="I1790">
        <v>2</v>
      </c>
      <c r="J1790" s="52"/>
    </row>
    <row r="1791" spans="1:10" hidden="1" x14ac:dyDescent="0.35">
      <c r="A1791" s="2">
        <v>45260</v>
      </c>
      <c r="B1791" t="s">
        <v>106</v>
      </c>
      <c r="C1791" t="s">
        <v>103</v>
      </c>
      <c r="E1791">
        <v>8</v>
      </c>
      <c r="F1791">
        <v>0</v>
      </c>
      <c r="G1791">
        <v>6</v>
      </c>
      <c r="H1791">
        <v>0</v>
      </c>
      <c r="I1791">
        <v>10</v>
      </c>
      <c r="J1791" s="52"/>
    </row>
    <row r="1792" spans="1:10" hidden="1" x14ac:dyDescent="0.35">
      <c r="A1792" s="2">
        <v>45260</v>
      </c>
      <c r="B1792" t="s">
        <v>108</v>
      </c>
      <c r="C1792" t="s">
        <v>109</v>
      </c>
      <c r="E1792">
        <v>15</v>
      </c>
      <c r="F1792">
        <v>4</v>
      </c>
      <c r="G1792">
        <v>7</v>
      </c>
      <c r="H1792">
        <v>1</v>
      </c>
      <c r="I1792">
        <v>1</v>
      </c>
      <c r="J1792" s="52"/>
    </row>
    <row r="1793" spans="1:10" hidden="1" x14ac:dyDescent="0.35">
      <c r="A1793" s="2">
        <v>45260</v>
      </c>
      <c r="B1793" t="s">
        <v>114</v>
      </c>
      <c r="C1793" t="s">
        <v>111</v>
      </c>
      <c r="E1793">
        <v>4</v>
      </c>
      <c r="F1793">
        <v>5</v>
      </c>
      <c r="G1793">
        <v>0</v>
      </c>
      <c r="H1793">
        <v>0</v>
      </c>
      <c r="I1793">
        <v>0</v>
      </c>
      <c r="J1793" s="52"/>
    </row>
    <row r="1794" spans="1:10" hidden="1" x14ac:dyDescent="0.35">
      <c r="A1794" s="2">
        <v>45290</v>
      </c>
      <c r="C1794" t="s">
        <v>24</v>
      </c>
      <c r="D1794">
        <v>421</v>
      </c>
      <c r="J1794" s="58">
        <v>199400</v>
      </c>
    </row>
    <row r="1795" spans="1:10" hidden="1" x14ac:dyDescent="0.35">
      <c r="A1795" s="2">
        <v>45290</v>
      </c>
      <c r="C1795" t="s">
        <v>9</v>
      </c>
      <c r="D1795">
        <v>369</v>
      </c>
      <c r="J1795" s="58">
        <v>129900</v>
      </c>
    </row>
    <row r="1796" spans="1:10" hidden="1" x14ac:dyDescent="0.35">
      <c r="A1796" s="2">
        <v>45290</v>
      </c>
      <c r="C1796" t="s">
        <v>37</v>
      </c>
      <c r="D1796">
        <v>407</v>
      </c>
      <c r="J1796" s="58">
        <v>292400</v>
      </c>
    </row>
    <row r="1797" spans="1:10" hidden="1" x14ac:dyDescent="0.35">
      <c r="A1797" s="2">
        <v>45290</v>
      </c>
      <c r="C1797" t="s">
        <v>23</v>
      </c>
      <c r="D1797">
        <v>422</v>
      </c>
      <c r="J1797" s="58">
        <v>133300</v>
      </c>
    </row>
    <row r="1798" spans="1:10" hidden="1" x14ac:dyDescent="0.35">
      <c r="A1798" s="2">
        <v>45290</v>
      </c>
      <c r="C1798" t="s">
        <v>27</v>
      </c>
      <c r="D1798">
        <v>373</v>
      </c>
      <c r="J1798" s="58">
        <v>332700</v>
      </c>
    </row>
    <row r="1799" spans="1:10" hidden="1" x14ac:dyDescent="0.35">
      <c r="A1799" s="2">
        <v>45290</v>
      </c>
      <c r="C1799" t="s">
        <v>26</v>
      </c>
      <c r="D1799">
        <v>277</v>
      </c>
      <c r="J1799" s="58">
        <v>131000</v>
      </c>
    </row>
    <row r="1800" spans="1:10" hidden="1" x14ac:dyDescent="0.35">
      <c r="A1800" s="2">
        <v>45290</v>
      </c>
      <c r="C1800" t="s">
        <v>20</v>
      </c>
      <c r="D1800">
        <v>403</v>
      </c>
      <c r="J1800" s="58">
        <v>571500</v>
      </c>
    </row>
    <row r="1801" spans="1:10" hidden="1" x14ac:dyDescent="0.35">
      <c r="A1801" s="2">
        <v>45290</v>
      </c>
      <c r="C1801" t="s">
        <v>25</v>
      </c>
      <c r="D1801">
        <v>401</v>
      </c>
      <c r="J1801" s="58">
        <v>97350</v>
      </c>
    </row>
    <row r="1802" spans="1:10" hidden="1" x14ac:dyDescent="0.35">
      <c r="A1802" s="2">
        <v>45290</v>
      </c>
      <c r="C1802" t="s">
        <v>19</v>
      </c>
      <c r="D1802">
        <v>334</v>
      </c>
      <c r="J1802" s="58">
        <v>306450</v>
      </c>
    </row>
    <row r="1803" spans="1:10" hidden="1" x14ac:dyDescent="0.35">
      <c r="A1803" s="2">
        <v>45290</v>
      </c>
      <c r="C1803" t="s">
        <v>21</v>
      </c>
      <c r="D1803">
        <v>195</v>
      </c>
      <c r="J1803" s="58">
        <v>109350</v>
      </c>
    </row>
    <row r="1804" spans="1:10" hidden="1" x14ac:dyDescent="0.35">
      <c r="A1804" s="2">
        <v>45290</v>
      </c>
      <c r="C1804" t="s">
        <v>18</v>
      </c>
      <c r="D1804">
        <v>487</v>
      </c>
      <c r="J1804" s="58">
        <v>415750</v>
      </c>
    </row>
    <row r="1805" spans="1:10" hidden="1" x14ac:dyDescent="0.35">
      <c r="A1805" s="2">
        <v>45290</v>
      </c>
      <c r="C1805" t="s">
        <v>22</v>
      </c>
      <c r="D1805">
        <v>419</v>
      </c>
      <c r="J1805" s="58">
        <v>265000</v>
      </c>
    </row>
    <row r="1806" spans="1:10" hidden="1" x14ac:dyDescent="0.35">
      <c r="A1806" s="2">
        <v>45290</v>
      </c>
      <c r="C1806" t="s">
        <v>54</v>
      </c>
      <c r="D1806">
        <v>437</v>
      </c>
      <c r="J1806" s="58">
        <v>134300</v>
      </c>
    </row>
    <row r="1807" spans="1:10" hidden="1" x14ac:dyDescent="0.35">
      <c r="A1807" s="2">
        <v>45290</v>
      </c>
      <c r="C1807" t="s">
        <v>55</v>
      </c>
      <c r="D1807">
        <v>646</v>
      </c>
      <c r="J1807" s="58">
        <v>99990</v>
      </c>
    </row>
    <row r="1808" spans="1:10" hidden="1" x14ac:dyDescent="0.35">
      <c r="A1808" s="2">
        <v>45290</v>
      </c>
      <c r="C1808" t="s">
        <v>58</v>
      </c>
      <c r="D1808">
        <v>314</v>
      </c>
      <c r="J1808" s="58">
        <v>255350</v>
      </c>
    </row>
    <row r="1809" spans="1:10" hidden="1" x14ac:dyDescent="0.35">
      <c r="A1809" s="2">
        <v>45290</v>
      </c>
      <c r="C1809" t="s">
        <v>62</v>
      </c>
      <c r="D1809">
        <v>555</v>
      </c>
      <c r="J1809" s="58">
        <v>87500</v>
      </c>
    </row>
    <row r="1810" spans="1:10" hidden="1" x14ac:dyDescent="0.35">
      <c r="A1810" s="2">
        <v>45290</v>
      </c>
      <c r="C1810" t="s">
        <v>61</v>
      </c>
      <c r="D1810">
        <v>155</v>
      </c>
      <c r="J1810" s="58">
        <v>160480</v>
      </c>
    </row>
    <row r="1811" spans="1:10" hidden="1" x14ac:dyDescent="0.35">
      <c r="A1811" s="2">
        <v>45290</v>
      </c>
      <c r="C1811" t="s">
        <v>63</v>
      </c>
      <c r="D1811">
        <v>231</v>
      </c>
      <c r="J1811" s="58">
        <v>257000</v>
      </c>
    </row>
    <row r="1812" spans="1:10" hidden="1" x14ac:dyDescent="0.35">
      <c r="A1812" s="2">
        <v>45290</v>
      </c>
      <c r="C1812" t="s">
        <v>73</v>
      </c>
      <c r="D1812">
        <v>372</v>
      </c>
      <c r="J1812" s="58">
        <v>131900</v>
      </c>
    </row>
    <row r="1813" spans="1:10" hidden="1" x14ac:dyDescent="0.35">
      <c r="A1813" s="2">
        <v>45290</v>
      </c>
      <c r="C1813" t="s">
        <v>76</v>
      </c>
      <c r="D1813">
        <v>236</v>
      </c>
      <c r="J1813" s="58">
        <v>99400</v>
      </c>
    </row>
    <row r="1814" spans="1:10" hidden="1" x14ac:dyDescent="0.35">
      <c r="A1814" s="2">
        <v>45290</v>
      </c>
      <c r="C1814" t="s">
        <v>81</v>
      </c>
      <c r="D1814">
        <v>365</v>
      </c>
      <c r="J1814" s="58">
        <v>85500</v>
      </c>
    </row>
    <row r="1815" spans="1:10" hidden="1" x14ac:dyDescent="0.35">
      <c r="A1815" s="2">
        <v>45290</v>
      </c>
      <c r="C1815" t="s">
        <v>83</v>
      </c>
      <c r="D1815">
        <v>277</v>
      </c>
      <c r="J1815" s="58">
        <v>144902</v>
      </c>
    </row>
    <row r="1816" spans="1:10" hidden="1" x14ac:dyDescent="0.35">
      <c r="A1816" s="2">
        <v>45290</v>
      </c>
      <c r="C1816" t="s">
        <v>87</v>
      </c>
      <c r="D1816">
        <v>277</v>
      </c>
      <c r="J1816" s="58">
        <v>51000</v>
      </c>
    </row>
    <row r="1817" spans="1:10" hidden="1" x14ac:dyDescent="0.35">
      <c r="A1817" s="2">
        <v>45290</v>
      </c>
      <c r="C1817" t="s">
        <v>90</v>
      </c>
      <c r="D1817">
        <v>396</v>
      </c>
      <c r="J1817" s="58">
        <v>12990</v>
      </c>
    </row>
    <row r="1818" spans="1:10" hidden="1" x14ac:dyDescent="0.35">
      <c r="A1818" s="2">
        <v>45290</v>
      </c>
      <c r="C1818" t="s">
        <v>91</v>
      </c>
      <c r="D1818">
        <v>108</v>
      </c>
      <c r="J1818" s="58">
        <v>48000</v>
      </c>
    </row>
    <row r="1819" spans="1:10" hidden="1" x14ac:dyDescent="0.35">
      <c r="A1819" s="2">
        <v>45290</v>
      </c>
      <c r="C1819" t="s">
        <v>92</v>
      </c>
      <c r="D1819">
        <v>323</v>
      </c>
      <c r="J1819" s="58">
        <v>67000</v>
      </c>
    </row>
    <row r="1820" spans="1:10" hidden="1" x14ac:dyDescent="0.35">
      <c r="A1820" s="2">
        <v>45290</v>
      </c>
      <c r="C1820" t="s">
        <v>94</v>
      </c>
      <c r="D1820">
        <v>237</v>
      </c>
      <c r="J1820" s="58">
        <v>55800</v>
      </c>
    </row>
    <row r="1821" spans="1:10" hidden="1" x14ac:dyDescent="0.35">
      <c r="A1821" s="2">
        <v>45290</v>
      </c>
      <c r="C1821" t="s">
        <v>103</v>
      </c>
      <c r="D1821">
        <v>73</v>
      </c>
      <c r="J1821" s="58">
        <v>12000</v>
      </c>
    </row>
    <row r="1822" spans="1:10" hidden="1" x14ac:dyDescent="0.35">
      <c r="A1822" s="2">
        <v>45290</v>
      </c>
      <c r="C1822" t="s">
        <v>109</v>
      </c>
      <c r="D1822">
        <v>236</v>
      </c>
      <c r="J1822" s="58">
        <v>37500</v>
      </c>
    </row>
    <row r="1823" spans="1:10" hidden="1" x14ac:dyDescent="0.35">
      <c r="A1823" s="2">
        <v>45290</v>
      </c>
      <c r="C1823" t="s">
        <v>111</v>
      </c>
      <c r="D1823">
        <v>218</v>
      </c>
      <c r="J1823" s="58">
        <v>14450</v>
      </c>
    </row>
    <row r="1824" spans="1:10" hidden="1" x14ac:dyDescent="0.35">
      <c r="A1824" s="2">
        <v>45290</v>
      </c>
      <c r="C1824" t="s">
        <v>115</v>
      </c>
      <c r="D1824">
        <v>263</v>
      </c>
      <c r="J1824" s="58">
        <v>0</v>
      </c>
    </row>
    <row r="1825" spans="1:10" hidden="1" x14ac:dyDescent="0.35">
      <c r="A1825" s="2">
        <v>45290</v>
      </c>
      <c r="B1825" t="s">
        <v>36</v>
      </c>
      <c r="C1825" t="s">
        <v>20</v>
      </c>
      <c r="E1825">
        <v>42</v>
      </c>
      <c r="F1825">
        <v>6</v>
      </c>
      <c r="G1825">
        <v>61</v>
      </c>
      <c r="H1825">
        <v>7</v>
      </c>
      <c r="I1825">
        <v>33</v>
      </c>
      <c r="J1825" s="52"/>
    </row>
    <row r="1826" spans="1:10" hidden="1" x14ac:dyDescent="0.35">
      <c r="A1826" s="2">
        <v>45290</v>
      </c>
      <c r="B1826" t="s">
        <v>110</v>
      </c>
      <c r="C1826" t="s">
        <v>20</v>
      </c>
      <c r="E1826">
        <v>8</v>
      </c>
      <c r="F1826">
        <v>3</v>
      </c>
      <c r="G1826">
        <v>10</v>
      </c>
      <c r="H1826">
        <v>1</v>
      </c>
      <c r="I1826">
        <v>7</v>
      </c>
      <c r="J1826" s="52"/>
    </row>
    <row r="1827" spans="1:10" hidden="1" x14ac:dyDescent="0.35">
      <c r="A1827" s="2">
        <v>45290</v>
      </c>
      <c r="B1827" t="s">
        <v>113</v>
      </c>
      <c r="C1827" t="s">
        <v>20</v>
      </c>
      <c r="E1827">
        <v>1</v>
      </c>
      <c r="F1827">
        <v>0</v>
      </c>
      <c r="G1827">
        <v>1</v>
      </c>
      <c r="H1827">
        <v>0</v>
      </c>
      <c r="I1827">
        <v>1</v>
      </c>
      <c r="J1827" s="52"/>
    </row>
    <row r="1828" spans="1:10" hidden="1" x14ac:dyDescent="0.35">
      <c r="A1828" s="2">
        <v>45290</v>
      </c>
      <c r="B1828" t="s">
        <v>113</v>
      </c>
      <c r="C1828" t="s">
        <v>26</v>
      </c>
      <c r="E1828">
        <v>11</v>
      </c>
      <c r="F1828">
        <v>0</v>
      </c>
      <c r="G1828">
        <v>29</v>
      </c>
      <c r="H1828">
        <v>2</v>
      </c>
      <c r="I1828">
        <v>10</v>
      </c>
      <c r="J1828" s="52"/>
    </row>
    <row r="1829" spans="1:10" hidden="1" x14ac:dyDescent="0.35">
      <c r="A1829" s="2">
        <v>45290</v>
      </c>
      <c r="B1829" t="s">
        <v>38</v>
      </c>
      <c r="C1829" t="s">
        <v>18</v>
      </c>
      <c r="E1829">
        <v>9</v>
      </c>
      <c r="F1829">
        <v>1</v>
      </c>
      <c r="G1829">
        <v>13</v>
      </c>
      <c r="H1829">
        <v>3</v>
      </c>
      <c r="I1829">
        <v>23</v>
      </c>
      <c r="J1829" s="52"/>
    </row>
    <row r="1830" spans="1:10" hidden="1" x14ac:dyDescent="0.35">
      <c r="A1830" s="2">
        <v>45290</v>
      </c>
      <c r="B1830" t="s">
        <v>86</v>
      </c>
      <c r="C1830" t="s">
        <v>18</v>
      </c>
      <c r="E1830">
        <v>6</v>
      </c>
      <c r="F1830">
        <v>10</v>
      </c>
      <c r="G1830">
        <v>7</v>
      </c>
      <c r="H1830">
        <v>7</v>
      </c>
      <c r="I1830">
        <v>7</v>
      </c>
      <c r="J1830" s="52"/>
    </row>
    <row r="1831" spans="1:10" hidden="1" x14ac:dyDescent="0.35">
      <c r="A1831" s="2">
        <v>45290</v>
      </c>
      <c r="B1831" t="s">
        <v>13</v>
      </c>
      <c r="C1831" t="s">
        <v>25</v>
      </c>
      <c r="E1831">
        <v>18</v>
      </c>
      <c r="F1831">
        <v>1</v>
      </c>
      <c r="G1831">
        <v>13</v>
      </c>
      <c r="H1831">
        <v>1</v>
      </c>
      <c r="I1831">
        <v>7</v>
      </c>
      <c r="J1831" s="52"/>
    </row>
    <row r="1832" spans="1:10" hidden="1" x14ac:dyDescent="0.35">
      <c r="A1832" s="2">
        <v>45290</v>
      </c>
      <c r="B1832" t="s">
        <v>104</v>
      </c>
      <c r="C1832" t="s">
        <v>23</v>
      </c>
      <c r="E1832">
        <v>15</v>
      </c>
      <c r="F1832">
        <v>2</v>
      </c>
      <c r="G1832">
        <v>12</v>
      </c>
      <c r="H1832">
        <v>1</v>
      </c>
      <c r="I1832">
        <v>11</v>
      </c>
      <c r="J1832" s="52"/>
    </row>
    <row r="1833" spans="1:10" hidden="1" x14ac:dyDescent="0.35">
      <c r="A1833" s="2">
        <v>45290</v>
      </c>
      <c r="B1833" t="s">
        <v>102</v>
      </c>
      <c r="C1833" t="s">
        <v>24</v>
      </c>
      <c r="E1833">
        <v>11</v>
      </c>
      <c r="F1833">
        <v>3</v>
      </c>
      <c r="G1833">
        <v>22</v>
      </c>
      <c r="H1833">
        <v>3</v>
      </c>
      <c r="I1833">
        <v>10</v>
      </c>
      <c r="J1833" s="52"/>
    </row>
    <row r="1834" spans="1:10" hidden="1" x14ac:dyDescent="0.35">
      <c r="A1834" s="2">
        <v>45290</v>
      </c>
      <c r="B1834" t="s">
        <v>96</v>
      </c>
      <c r="C1834" t="s">
        <v>24</v>
      </c>
      <c r="E1834">
        <v>8</v>
      </c>
      <c r="F1834">
        <v>1</v>
      </c>
      <c r="G1834">
        <v>14</v>
      </c>
      <c r="H1834">
        <v>0</v>
      </c>
      <c r="I1834">
        <v>4</v>
      </c>
      <c r="J1834" s="52"/>
    </row>
    <row r="1835" spans="1:10" hidden="1" x14ac:dyDescent="0.35">
      <c r="A1835" s="2">
        <v>45290</v>
      </c>
      <c r="B1835" t="s">
        <v>96</v>
      </c>
      <c r="C1835" t="s">
        <v>37</v>
      </c>
      <c r="E1835">
        <v>4</v>
      </c>
      <c r="F1835">
        <v>6</v>
      </c>
      <c r="G1835">
        <v>14</v>
      </c>
      <c r="H1835">
        <v>1</v>
      </c>
      <c r="I1835">
        <v>6</v>
      </c>
      <c r="J1835" s="52"/>
    </row>
    <row r="1836" spans="1:10" hidden="1" x14ac:dyDescent="0.35">
      <c r="A1836" s="2">
        <v>45290</v>
      </c>
      <c r="B1836" t="s">
        <v>17</v>
      </c>
      <c r="C1836" t="s">
        <v>37</v>
      </c>
      <c r="E1836">
        <v>12</v>
      </c>
      <c r="F1836">
        <v>2</v>
      </c>
      <c r="G1836">
        <v>28</v>
      </c>
      <c r="H1836">
        <v>4</v>
      </c>
      <c r="I1836">
        <v>8</v>
      </c>
      <c r="J1836" s="52"/>
    </row>
    <row r="1837" spans="1:10" hidden="1" x14ac:dyDescent="0.35">
      <c r="A1837" s="2">
        <v>45290</v>
      </c>
      <c r="B1837" t="s">
        <v>50</v>
      </c>
      <c r="C1837" t="s">
        <v>37</v>
      </c>
      <c r="E1837">
        <v>11</v>
      </c>
      <c r="F1837">
        <v>3</v>
      </c>
      <c r="G1837">
        <v>16</v>
      </c>
      <c r="H1837">
        <v>6</v>
      </c>
      <c r="I1837">
        <v>5</v>
      </c>
      <c r="J1837" s="52"/>
    </row>
    <row r="1838" spans="1:10" hidden="1" x14ac:dyDescent="0.35">
      <c r="A1838" s="2">
        <v>45290</v>
      </c>
      <c r="B1838" t="s">
        <v>102</v>
      </c>
      <c r="C1838" t="s">
        <v>37</v>
      </c>
      <c r="E1838">
        <v>2</v>
      </c>
      <c r="F1838">
        <v>0</v>
      </c>
      <c r="G1838">
        <v>1</v>
      </c>
      <c r="H1838">
        <v>0</v>
      </c>
      <c r="I1838">
        <v>2</v>
      </c>
      <c r="J1838" s="52"/>
    </row>
    <row r="1839" spans="1:10" hidden="1" x14ac:dyDescent="0.35">
      <c r="A1839" s="2">
        <v>45290</v>
      </c>
      <c r="B1839" t="s">
        <v>101</v>
      </c>
      <c r="C1839" t="s">
        <v>37</v>
      </c>
      <c r="E1839">
        <v>1</v>
      </c>
      <c r="F1839">
        <v>0</v>
      </c>
      <c r="G1839">
        <v>0</v>
      </c>
      <c r="H1839">
        <v>0</v>
      </c>
      <c r="I1839">
        <v>1</v>
      </c>
      <c r="J1839" s="52"/>
    </row>
    <row r="1840" spans="1:10" hidden="1" x14ac:dyDescent="0.35">
      <c r="A1840" s="2">
        <v>45290</v>
      </c>
      <c r="B1840" t="s">
        <v>112</v>
      </c>
      <c r="C1840" t="s">
        <v>19</v>
      </c>
      <c r="E1840">
        <v>39</v>
      </c>
      <c r="F1840">
        <v>3</v>
      </c>
      <c r="G1840">
        <v>26</v>
      </c>
      <c r="H1840">
        <v>8</v>
      </c>
      <c r="I1840">
        <v>22</v>
      </c>
      <c r="J1840" s="52"/>
    </row>
    <row r="1841" spans="1:10" hidden="1" x14ac:dyDescent="0.35">
      <c r="A1841" s="2">
        <v>45290</v>
      </c>
      <c r="B1841" t="s">
        <v>95</v>
      </c>
      <c r="C1841" t="s">
        <v>22</v>
      </c>
      <c r="E1841">
        <v>13</v>
      </c>
      <c r="F1841">
        <v>3</v>
      </c>
      <c r="G1841">
        <v>23</v>
      </c>
      <c r="H1841">
        <v>9</v>
      </c>
      <c r="I1841">
        <v>10</v>
      </c>
      <c r="J1841" s="52"/>
    </row>
    <row r="1842" spans="1:10" hidden="1" x14ac:dyDescent="0.35">
      <c r="A1842" s="2">
        <v>45290</v>
      </c>
      <c r="B1842" t="s">
        <v>105</v>
      </c>
      <c r="C1842" t="s">
        <v>22</v>
      </c>
      <c r="E1842">
        <v>6</v>
      </c>
      <c r="F1842">
        <v>7</v>
      </c>
      <c r="G1842">
        <v>27</v>
      </c>
      <c r="H1842">
        <v>5</v>
      </c>
      <c r="I1842">
        <v>10</v>
      </c>
      <c r="J1842" s="52"/>
    </row>
    <row r="1843" spans="1:10" hidden="1" x14ac:dyDescent="0.35">
      <c r="A1843" s="2">
        <v>45290</v>
      </c>
      <c r="B1843" t="s">
        <v>43</v>
      </c>
      <c r="C1843" t="s">
        <v>27</v>
      </c>
      <c r="E1843">
        <v>10</v>
      </c>
      <c r="F1843">
        <v>0</v>
      </c>
      <c r="G1843">
        <v>20</v>
      </c>
      <c r="H1843">
        <v>0</v>
      </c>
      <c r="I1843">
        <v>13</v>
      </c>
      <c r="J1843" s="52"/>
    </row>
    <row r="1844" spans="1:10" hidden="1" x14ac:dyDescent="0.35">
      <c r="A1844" s="2">
        <v>45290</v>
      </c>
      <c r="B1844" t="s">
        <v>84</v>
      </c>
      <c r="C1844" t="s">
        <v>27</v>
      </c>
      <c r="E1844">
        <v>8</v>
      </c>
      <c r="F1844">
        <v>0</v>
      </c>
      <c r="G1844">
        <v>11</v>
      </c>
      <c r="H1844">
        <v>0</v>
      </c>
      <c r="I1844">
        <v>9</v>
      </c>
      <c r="J1844" s="52"/>
    </row>
    <row r="1845" spans="1:10" hidden="1" x14ac:dyDescent="0.35">
      <c r="A1845" s="2">
        <v>45290</v>
      </c>
      <c r="B1845" t="s">
        <v>17</v>
      </c>
      <c r="C1845" t="s">
        <v>9</v>
      </c>
      <c r="E1845">
        <v>4</v>
      </c>
      <c r="F1845">
        <v>0</v>
      </c>
      <c r="G1845">
        <v>16</v>
      </c>
      <c r="H1845">
        <v>0</v>
      </c>
      <c r="I1845">
        <v>1</v>
      </c>
      <c r="J1845" s="52"/>
    </row>
    <row r="1846" spans="1:10" hidden="1" x14ac:dyDescent="0.35">
      <c r="A1846" s="2">
        <v>45290</v>
      </c>
      <c r="B1846" t="s">
        <v>101</v>
      </c>
      <c r="C1846" t="s">
        <v>9</v>
      </c>
      <c r="E1846">
        <v>3</v>
      </c>
      <c r="F1846">
        <v>0</v>
      </c>
      <c r="G1846">
        <v>2</v>
      </c>
      <c r="H1846">
        <v>1</v>
      </c>
      <c r="I1846">
        <v>9</v>
      </c>
      <c r="J1846" s="52"/>
    </row>
    <row r="1847" spans="1:10" hidden="1" x14ac:dyDescent="0.35">
      <c r="A1847" s="2">
        <v>45290</v>
      </c>
      <c r="B1847" t="s">
        <v>75</v>
      </c>
      <c r="C1847" t="s">
        <v>21</v>
      </c>
      <c r="E1847">
        <v>17</v>
      </c>
      <c r="F1847">
        <v>6</v>
      </c>
      <c r="G1847">
        <v>12</v>
      </c>
      <c r="H1847">
        <v>0</v>
      </c>
      <c r="I1847">
        <v>8</v>
      </c>
      <c r="J1847" s="52"/>
    </row>
    <row r="1848" spans="1:10" hidden="1" x14ac:dyDescent="0.35">
      <c r="A1848" s="2">
        <v>45290</v>
      </c>
      <c r="B1848" t="s">
        <v>72</v>
      </c>
      <c r="C1848" t="s">
        <v>54</v>
      </c>
      <c r="E1848">
        <v>15</v>
      </c>
      <c r="F1848">
        <v>7</v>
      </c>
      <c r="G1848">
        <v>16</v>
      </c>
      <c r="H1848">
        <v>8</v>
      </c>
      <c r="I1848">
        <v>9</v>
      </c>
      <c r="J1848" s="52"/>
    </row>
    <row r="1849" spans="1:10" hidden="1" x14ac:dyDescent="0.35">
      <c r="A1849" s="2">
        <v>45290</v>
      </c>
      <c r="B1849" t="s">
        <v>57</v>
      </c>
      <c r="C1849" t="s">
        <v>55</v>
      </c>
      <c r="E1849">
        <v>18</v>
      </c>
      <c r="F1849">
        <v>12</v>
      </c>
      <c r="G1849">
        <v>14</v>
      </c>
      <c r="H1849">
        <v>6</v>
      </c>
      <c r="I1849">
        <v>8</v>
      </c>
      <c r="J1849" s="52"/>
    </row>
    <row r="1850" spans="1:10" hidden="1" x14ac:dyDescent="0.35">
      <c r="A1850" s="2">
        <v>45290</v>
      </c>
      <c r="B1850" t="s">
        <v>100</v>
      </c>
      <c r="C1850" t="s">
        <v>58</v>
      </c>
      <c r="E1850">
        <v>13</v>
      </c>
      <c r="F1850">
        <v>5</v>
      </c>
      <c r="G1850">
        <v>13</v>
      </c>
      <c r="H1850">
        <v>5</v>
      </c>
      <c r="I1850">
        <v>6</v>
      </c>
      <c r="J1850" s="52"/>
    </row>
    <row r="1851" spans="1:10" hidden="1" x14ac:dyDescent="0.35">
      <c r="A1851" s="2">
        <v>45290</v>
      </c>
      <c r="B1851" t="s">
        <v>107</v>
      </c>
      <c r="C1851" t="s">
        <v>58</v>
      </c>
      <c r="E1851">
        <v>22</v>
      </c>
      <c r="F1851">
        <v>14</v>
      </c>
      <c r="G1851">
        <v>19</v>
      </c>
      <c r="H1851">
        <v>12</v>
      </c>
      <c r="I1851">
        <v>14</v>
      </c>
      <c r="J1851" s="52"/>
    </row>
    <row r="1852" spans="1:10" hidden="1" x14ac:dyDescent="0.35">
      <c r="A1852" s="2">
        <v>45290</v>
      </c>
      <c r="B1852" t="s">
        <v>64</v>
      </c>
      <c r="C1852" t="s">
        <v>62</v>
      </c>
      <c r="E1852">
        <v>16</v>
      </c>
      <c r="F1852">
        <v>4</v>
      </c>
      <c r="G1852">
        <v>23</v>
      </c>
      <c r="H1852">
        <v>10</v>
      </c>
      <c r="I1852">
        <v>7</v>
      </c>
      <c r="J1852" s="52"/>
    </row>
    <row r="1853" spans="1:10" hidden="1" x14ac:dyDescent="0.35">
      <c r="A1853" s="2">
        <v>45290</v>
      </c>
      <c r="B1853" t="s">
        <v>97</v>
      </c>
      <c r="C1853" t="s">
        <v>61</v>
      </c>
      <c r="E1853">
        <v>27</v>
      </c>
      <c r="F1853">
        <v>5</v>
      </c>
      <c r="G1853">
        <v>16</v>
      </c>
      <c r="H1853">
        <v>2</v>
      </c>
      <c r="I1853">
        <v>13</v>
      </c>
      <c r="J1853" s="52"/>
    </row>
    <row r="1854" spans="1:10" hidden="1" x14ac:dyDescent="0.35">
      <c r="A1854" s="2">
        <v>45290</v>
      </c>
      <c r="B1854" t="s">
        <v>97</v>
      </c>
      <c r="C1854" t="s">
        <v>91</v>
      </c>
      <c r="E1854">
        <v>7</v>
      </c>
      <c r="F1854">
        <v>1</v>
      </c>
      <c r="G1854">
        <v>2</v>
      </c>
      <c r="H1854">
        <v>1</v>
      </c>
      <c r="I1854">
        <v>4</v>
      </c>
      <c r="J1854" s="52"/>
    </row>
    <row r="1855" spans="1:10" hidden="1" x14ac:dyDescent="0.35">
      <c r="A1855" s="2">
        <v>45290</v>
      </c>
      <c r="B1855" t="s">
        <v>69</v>
      </c>
      <c r="C1855" t="s">
        <v>63</v>
      </c>
      <c r="E1855">
        <v>31</v>
      </c>
      <c r="F1855">
        <v>4</v>
      </c>
      <c r="G1855">
        <v>34</v>
      </c>
      <c r="H1855">
        <v>2</v>
      </c>
      <c r="I1855">
        <v>20</v>
      </c>
      <c r="J1855" s="52"/>
    </row>
    <row r="1856" spans="1:10" hidden="1" x14ac:dyDescent="0.35">
      <c r="A1856" s="2">
        <v>45290</v>
      </c>
      <c r="B1856" t="s">
        <v>77</v>
      </c>
      <c r="C1856" t="s">
        <v>73</v>
      </c>
      <c r="E1856">
        <v>12</v>
      </c>
      <c r="F1856">
        <v>5</v>
      </c>
      <c r="G1856">
        <v>28</v>
      </c>
      <c r="H1856">
        <v>20</v>
      </c>
      <c r="I1856">
        <v>10</v>
      </c>
      <c r="J1856" s="52"/>
    </row>
    <row r="1857" spans="1:10" hidden="1" x14ac:dyDescent="0.35">
      <c r="A1857" s="2">
        <v>45290</v>
      </c>
      <c r="B1857" t="s">
        <v>110</v>
      </c>
      <c r="C1857" t="s">
        <v>81</v>
      </c>
      <c r="E1857">
        <v>16</v>
      </c>
      <c r="F1857">
        <v>1</v>
      </c>
      <c r="G1857">
        <v>15</v>
      </c>
      <c r="H1857">
        <v>4</v>
      </c>
      <c r="I1857">
        <v>7</v>
      </c>
      <c r="J1857" s="52"/>
    </row>
    <row r="1858" spans="1:10" hidden="1" x14ac:dyDescent="0.35">
      <c r="A1858" s="2">
        <v>45290</v>
      </c>
      <c r="B1858" t="s">
        <v>85</v>
      </c>
      <c r="C1858" t="s">
        <v>83</v>
      </c>
      <c r="E1858">
        <v>11</v>
      </c>
      <c r="F1858">
        <v>6</v>
      </c>
      <c r="G1858">
        <v>19</v>
      </c>
      <c r="H1858">
        <v>5</v>
      </c>
      <c r="I1858">
        <v>11</v>
      </c>
      <c r="J1858" s="52"/>
    </row>
    <row r="1859" spans="1:10" hidden="1" x14ac:dyDescent="0.35">
      <c r="A1859" s="2">
        <v>45290</v>
      </c>
      <c r="B1859" t="s">
        <v>88</v>
      </c>
      <c r="C1859" t="s">
        <v>76</v>
      </c>
      <c r="E1859">
        <v>11</v>
      </c>
      <c r="F1859">
        <v>3</v>
      </c>
      <c r="G1859">
        <v>4</v>
      </c>
      <c r="H1859">
        <v>3</v>
      </c>
      <c r="I1859">
        <v>8</v>
      </c>
      <c r="J1859" s="52"/>
    </row>
    <row r="1860" spans="1:10" hidden="1" x14ac:dyDescent="0.35">
      <c r="A1860" s="2">
        <v>45290</v>
      </c>
      <c r="B1860" t="s">
        <v>89</v>
      </c>
      <c r="C1860" t="s">
        <v>87</v>
      </c>
      <c r="E1860">
        <v>8</v>
      </c>
      <c r="F1860">
        <v>1</v>
      </c>
      <c r="G1860">
        <v>9</v>
      </c>
      <c r="H1860">
        <v>1</v>
      </c>
      <c r="I1860">
        <v>4</v>
      </c>
      <c r="J1860" s="52"/>
    </row>
    <row r="1861" spans="1:10" hidden="1" x14ac:dyDescent="0.35">
      <c r="A1861" s="2">
        <v>45290</v>
      </c>
      <c r="B1861" t="s">
        <v>93</v>
      </c>
      <c r="C1861" t="s">
        <v>90</v>
      </c>
      <c r="E1861">
        <v>5</v>
      </c>
      <c r="F1861">
        <v>5</v>
      </c>
      <c r="G1861">
        <v>4</v>
      </c>
      <c r="H1861">
        <v>0</v>
      </c>
      <c r="I1861">
        <v>1</v>
      </c>
      <c r="J1861" s="52"/>
    </row>
    <row r="1862" spans="1:10" hidden="1" x14ac:dyDescent="0.35">
      <c r="A1862" s="2">
        <v>45290</v>
      </c>
      <c r="B1862" t="s">
        <v>99</v>
      </c>
      <c r="C1862" t="s">
        <v>92</v>
      </c>
      <c r="E1862">
        <v>8</v>
      </c>
      <c r="F1862">
        <v>1</v>
      </c>
      <c r="G1862">
        <v>12</v>
      </c>
      <c r="H1862">
        <v>2</v>
      </c>
      <c r="I1862">
        <v>5</v>
      </c>
      <c r="J1862" s="52"/>
    </row>
    <row r="1863" spans="1:10" hidden="1" x14ac:dyDescent="0.35">
      <c r="A1863" s="2">
        <v>45290</v>
      </c>
      <c r="B1863" t="s">
        <v>98</v>
      </c>
      <c r="C1863" t="s">
        <v>94</v>
      </c>
      <c r="E1863">
        <v>23</v>
      </c>
      <c r="F1863">
        <v>1</v>
      </c>
      <c r="G1863">
        <v>15</v>
      </c>
      <c r="H1863">
        <v>1</v>
      </c>
      <c r="I1863">
        <v>4</v>
      </c>
      <c r="J1863" s="52"/>
    </row>
    <row r="1864" spans="1:10" hidden="1" x14ac:dyDescent="0.35">
      <c r="A1864" s="2">
        <v>45290</v>
      </c>
      <c r="B1864" t="s">
        <v>106</v>
      </c>
      <c r="C1864" t="s">
        <v>103</v>
      </c>
      <c r="E1864">
        <v>10</v>
      </c>
      <c r="F1864">
        <v>1</v>
      </c>
      <c r="G1864">
        <v>11</v>
      </c>
      <c r="H1864">
        <v>0</v>
      </c>
      <c r="I1864">
        <v>1</v>
      </c>
      <c r="J1864" s="52"/>
    </row>
    <row r="1865" spans="1:10" hidden="1" x14ac:dyDescent="0.35">
      <c r="A1865" s="2">
        <v>45290</v>
      </c>
      <c r="B1865" t="s">
        <v>108</v>
      </c>
      <c r="C1865" t="s">
        <v>109</v>
      </c>
      <c r="E1865">
        <v>2</v>
      </c>
      <c r="F1865">
        <v>2</v>
      </c>
      <c r="G1865">
        <v>0</v>
      </c>
      <c r="H1865">
        <v>0</v>
      </c>
      <c r="I1865">
        <v>3</v>
      </c>
      <c r="J1865" s="52"/>
    </row>
    <row r="1866" spans="1:10" hidden="1" x14ac:dyDescent="0.35">
      <c r="A1866" s="2">
        <v>45290</v>
      </c>
      <c r="B1866" t="s">
        <v>114</v>
      </c>
      <c r="C1866" t="s">
        <v>111</v>
      </c>
      <c r="E1866">
        <v>14</v>
      </c>
      <c r="F1866">
        <v>3</v>
      </c>
      <c r="G1866">
        <v>1</v>
      </c>
      <c r="H1866">
        <v>0</v>
      </c>
      <c r="I1866">
        <v>1</v>
      </c>
      <c r="J1866" s="52"/>
    </row>
    <row r="1867" spans="1:10" hidden="1" x14ac:dyDescent="0.35">
      <c r="A1867" s="2">
        <v>45290</v>
      </c>
      <c r="B1867" t="s">
        <v>113</v>
      </c>
      <c r="C1867" t="s">
        <v>115</v>
      </c>
      <c r="E1867">
        <v>4</v>
      </c>
      <c r="F1867">
        <v>0</v>
      </c>
      <c r="G1867">
        <v>0</v>
      </c>
      <c r="H1867">
        <v>0</v>
      </c>
      <c r="I1867">
        <v>0</v>
      </c>
      <c r="J1867" s="52"/>
    </row>
    <row r="1868" spans="1:10" hidden="1" x14ac:dyDescent="0.35">
      <c r="A1868" s="2">
        <v>45321</v>
      </c>
      <c r="C1868" t="s">
        <v>24</v>
      </c>
      <c r="D1868">
        <v>733</v>
      </c>
      <c r="J1868" s="58">
        <v>150800</v>
      </c>
    </row>
    <row r="1869" spans="1:10" hidden="1" x14ac:dyDescent="0.35">
      <c r="A1869" s="2">
        <v>45321</v>
      </c>
      <c r="C1869" t="s">
        <v>9</v>
      </c>
      <c r="D1869">
        <v>456</v>
      </c>
      <c r="J1869" s="58">
        <v>192400</v>
      </c>
    </row>
    <row r="1870" spans="1:10" hidden="1" x14ac:dyDescent="0.35">
      <c r="A1870" s="2">
        <v>45321</v>
      </c>
      <c r="C1870" t="s">
        <v>37</v>
      </c>
      <c r="D1870">
        <v>764</v>
      </c>
      <c r="J1870" s="58">
        <v>364350</v>
      </c>
    </row>
    <row r="1871" spans="1:10" hidden="1" x14ac:dyDescent="0.35">
      <c r="A1871" s="2">
        <v>45321</v>
      </c>
      <c r="C1871" t="s">
        <v>23</v>
      </c>
      <c r="D1871">
        <v>607</v>
      </c>
      <c r="J1871" s="58">
        <v>64000</v>
      </c>
    </row>
    <row r="1872" spans="1:10" hidden="1" x14ac:dyDescent="0.35">
      <c r="A1872" s="2">
        <v>45321</v>
      </c>
      <c r="C1872" t="s">
        <v>27</v>
      </c>
      <c r="D1872">
        <v>455</v>
      </c>
      <c r="J1872" s="58">
        <v>487000</v>
      </c>
    </row>
    <row r="1873" spans="1:10" hidden="1" x14ac:dyDescent="0.35">
      <c r="A1873" s="2">
        <v>45321</v>
      </c>
      <c r="C1873" t="s">
        <v>26</v>
      </c>
      <c r="D1873">
        <v>381</v>
      </c>
      <c r="J1873" s="58">
        <v>199950</v>
      </c>
    </row>
    <row r="1874" spans="1:10" hidden="1" x14ac:dyDescent="0.35">
      <c r="A1874" s="2">
        <v>45321</v>
      </c>
      <c r="C1874" t="s">
        <v>20</v>
      </c>
      <c r="D1874">
        <v>484</v>
      </c>
      <c r="J1874" s="58">
        <v>584350</v>
      </c>
    </row>
    <row r="1875" spans="1:10" hidden="1" x14ac:dyDescent="0.35">
      <c r="A1875" s="2">
        <v>45321</v>
      </c>
      <c r="C1875" t="s">
        <v>25</v>
      </c>
      <c r="D1875">
        <v>354</v>
      </c>
      <c r="J1875" s="58">
        <v>150750</v>
      </c>
    </row>
    <row r="1876" spans="1:10" hidden="1" x14ac:dyDescent="0.35">
      <c r="A1876" s="2">
        <v>45321</v>
      </c>
      <c r="C1876" t="s">
        <v>19</v>
      </c>
      <c r="D1876">
        <v>604</v>
      </c>
      <c r="J1876" s="58">
        <v>286500</v>
      </c>
    </row>
    <row r="1877" spans="1:10" hidden="1" x14ac:dyDescent="0.35">
      <c r="A1877" s="2">
        <v>45321</v>
      </c>
      <c r="C1877" t="s">
        <v>21</v>
      </c>
      <c r="D1877">
        <v>575</v>
      </c>
      <c r="J1877" s="58">
        <v>85100</v>
      </c>
    </row>
    <row r="1878" spans="1:10" hidden="1" x14ac:dyDescent="0.35">
      <c r="A1878" s="2">
        <v>45321</v>
      </c>
      <c r="C1878" t="s">
        <v>18</v>
      </c>
      <c r="D1878">
        <v>812</v>
      </c>
      <c r="J1878" s="58">
        <v>440100</v>
      </c>
    </row>
    <row r="1879" spans="1:10" hidden="1" x14ac:dyDescent="0.35">
      <c r="A1879" s="2">
        <v>45321</v>
      </c>
      <c r="C1879" t="s">
        <v>22</v>
      </c>
      <c r="D1879">
        <v>785</v>
      </c>
      <c r="J1879" s="58">
        <v>300800</v>
      </c>
    </row>
    <row r="1880" spans="1:10" hidden="1" x14ac:dyDescent="0.35">
      <c r="A1880" s="2">
        <v>45321</v>
      </c>
      <c r="C1880" t="s">
        <v>54</v>
      </c>
      <c r="D1880">
        <v>303</v>
      </c>
      <c r="J1880" s="58">
        <v>149850</v>
      </c>
    </row>
    <row r="1881" spans="1:10" hidden="1" x14ac:dyDescent="0.35">
      <c r="A1881" s="2">
        <v>45321</v>
      </c>
      <c r="C1881" t="s">
        <v>55</v>
      </c>
      <c r="D1881">
        <v>811</v>
      </c>
      <c r="J1881" s="58">
        <v>203430</v>
      </c>
    </row>
    <row r="1882" spans="1:10" hidden="1" x14ac:dyDescent="0.35">
      <c r="A1882" s="2">
        <v>45321</v>
      </c>
      <c r="C1882" t="s">
        <v>58</v>
      </c>
      <c r="D1882">
        <v>676</v>
      </c>
      <c r="J1882" s="58">
        <v>204900</v>
      </c>
    </row>
    <row r="1883" spans="1:10" hidden="1" x14ac:dyDescent="0.35">
      <c r="A1883" s="2">
        <v>45321</v>
      </c>
      <c r="C1883" t="s">
        <v>62</v>
      </c>
      <c r="D1883">
        <v>705</v>
      </c>
      <c r="J1883" s="58">
        <v>152000</v>
      </c>
    </row>
    <row r="1884" spans="1:10" hidden="1" x14ac:dyDescent="0.35">
      <c r="A1884" s="2">
        <v>45321</v>
      </c>
      <c r="C1884" t="s">
        <v>61</v>
      </c>
      <c r="D1884">
        <v>303</v>
      </c>
      <c r="J1884" s="58">
        <v>182890</v>
      </c>
    </row>
    <row r="1885" spans="1:10" hidden="1" x14ac:dyDescent="0.35">
      <c r="A1885" s="2">
        <v>45321</v>
      </c>
      <c r="C1885" t="s">
        <v>63</v>
      </c>
      <c r="D1885">
        <v>373</v>
      </c>
      <c r="J1885" s="58">
        <v>332700</v>
      </c>
    </row>
    <row r="1886" spans="1:10" hidden="1" x14ac:dyDescent="0.35">
      <c r="A1886" s="2">
        <v>45321</v>
      </c>
      <c r="C1886" t="s">
        <v>73</v>
      </c>
      <c r="D1886">
        <v>604</v>
      </c>
      <c r="J1886" s="58">
        <v>149250</v>
      </c>
    </row>
    <row r="1887" spans="1:10" hidden="1" x14ac:dyDescent="0.35">
      <c r="A1887" s="2">
        <v>45321</v>
      </c>
      <c r="C1887" t="s">
        <v>76</v>
      </c>
      <c r="D1887">
        <v>373</v>
      </c>
      <c r="J1887" s="58">
        <v>130900</v>
      </c>
    </row>
    <row r="1888" spans="1:10" hidden="1" x14ac:dyDescent="0.35">
      <c r="A1888" s="2">
        <v>45321</v>
      </c>
      <c r="C1888" t="s">
        <v>81</v>
      </c>
      <c r="D1888">
        <v>440</v>
      </c>
      <c r="J1888" s="58">
        <v>171900</v>
      </c>
    </row>
    <row r="1889" spans="1:10" hidden="1" x14ac:dyDescent="0.35">
      <c r="A1889" s="2">
        <v>45321</v>
      </c>
      <c r="C1889" t="s">
        <v>83</v>
      </c>
      <c r="D1889">
        <v>392</v>
      </c>
      <c r="J1889" s="58">
        <v>67500</v>
      </c>
    </row>
    <row r="1890" spans="1:10" hidden="1" x14ac:dyDescent="0.35">
      <c r="A1890" s="2">
        <v>45321</v>
      </c>
      <c r="C1890" t="s">
        <v>87</v>
      </c>
      <c r="D1890">
        <v>190</v>
      </c>
      <c r="J1890" s="58">
        <v>129250</v>
      </c>
    </row>
    <row r="1891" spans="1:10" hidden="1" x14ac:dyDescent="0.35">
      <c r="A1891" s="2">
        <v>45321</v>
      </c>
      <c r="C1891" t="s">
        <v>90</v>
      </c>
      <c r="D1891">
        <v>609</v>
      </c>
      <c r="J1891" s="58">
        <v>40490</v>
      </c>
    </row>
    <row r="1892" spans="1:10" hidden="1" x14ac:dyDescent="0.35">
      <c r="A1892" s="2">
        <v>45321</v>
      </c>
      <c r="C1892" t="s">
        <v>91</v>
      </c>
      <c r="D1892">
        <v>191</v>
      </c>
      <c r="J1892" s="58">
        <v>12000</v>
      </c>
    </row>
    <row r="1893" spans="1:10" hidden="1" x14ac:dyDescent="0.35">
      <c r="A1893" s="2">
        <v>45321</v>
      </c>
      <c r="C1893" t="s">
        <v>92</v>
      </c>
      <c r="D1893">
        <v>406</v>
      </c>
      <c r="J1893" s="58">
        <v>41300</v>
      </c>
    </row>
    <row r="1894" spans="1:10" hidden="1" x14ac:dyDescent="0.35">
      <c r="A1894" s="2">
        <v>45321</v>
      </c>
      <c r="C1894" t="s">
        <v>94</v>
      </c>
      <c r="D1894">
        <v>409</v>
      </c>
      <c r="J1894" s="58">
        <v>112350</v>
      </c>
    </row>
    <row r="1895" spans="1:10" hidden="1" x14ac:dyDescent="0.35">
      <c r="A1895" s="2">
        <v>45321</v>
      </c>
      <c r="C1895" t="s">
        <v>103</v>
      </c>
      <c r="D1895">
        <v>95</v>
      </c>
      <c r="J1895" s="58">
        <v>63100</v>
      </c>
    </row>
    <row r="1896" spans="1:10" hidden="1" x14ac:dyDescent="0.35">
      <c r="A1896" s="2">
        <v>45321</v>
      </c>
      <c r="C1896" t="s">
        <v>109</v>
      </c>
      <c r="D1896">
        <v>382</v>
      </c>
      <c r="J1896" s="58">
        <v>29000</v>
      </c>
    </row>
    <row r="1897" spans="1:10" hidden="1" x14ac:dyDescent="0.35">
      <c r="A1897" s="2">
        <v>45321</v>
      </c>
      <c r="C1897" t="s">
        <v>111</v>
      </c>
      <c r="D1897">
        <v>346</v>
      </c>
      <c r="J1897" s="58">
        <v>14000</v>
      </c>
    </row>
    <row r="1898" spans="1:10" hidden="1" x14ac:dyDescent="0.35">
      <c r="A1898" s="2">
        <v>45321</v>
      </c>
      <c r="C1898" t="s">
        <v>115</v>
      </c>
      <c r="D1898">
        <v>422</v>
      </c>
      <c r="J1898" s="58">
        <v>40450</v>
      </c>
    </row>
    <row r="1899" spans="1:10" hidden="1" x14ac:dyDescent="0.35">
      <c r="A1899" s="2">
        <v>45321</v>
      </c>
      <c r="B1899" t="s">
        <v>36</v>
      </c>
      <c r="C1899" t="s">
        <v>20</v>
      </c>
      <c r="E1899">
        <v>41</v>
      </c>
      <c r="F1899">
        <v>7</v>
      </c>
      <c r="G1899">
        <v>85</v>
      </c>
      <c r="H1899">
        <v>3</v>
      </c>
      <c r="I1899">
        <v>32</v>
      </c>
      <c r="J1899" s="52"/>
    </row>
    <row r="1900" spans="1:10" hidden="1" x14ac:dyDescent="0.35">
      <c r="A1900" s="2">
        <v>45321</v>
      </c>
      <c r="B1900" t="s">
        <v>110</v>
      </c>
      <c r="C1900" t="s">
        <v>20</v>
      </c>
      <c r="E1900">
        <v>21</v>
      </c>
      <c r="F1900">
        <v>1</v>
      </c>
      <c r="G1900">
        <v>34</v>
      </c>
      <c r="H1900">
        <v>2</v>
      </c>
      <c r="I1900">
        <v>8</v>
      </c>
      <c r="J1900" s="52"/>
    </row>
    <row r="1901" spans="1:10" hidden="1" x14ac:dyDescent="0.35">
      <c r="A1901" s="2">
        <v>45321</v>
      </c>
      <c r="B1901" t="s">
        <v>113</v>
      </c>
      <c r="C1901" t="s">
        <v>26</v>
      </c>
      <c r="E1901">
        <v>39</v>
      </c>
      <c r="F1901">
        <v>2</v>
      </c>
      <c r="G1901">
        <v>37</v>
      </c>
      <c r="H1901">
        <v>3</v>
      </c>
      <c r="I1901">
        <v>15</v>
      </c>
      <c r="J1901" s="52"/>
    </row>
    <row r="1902" spans="1:10" hidden="1" x14ac:dyDescent="0.35">
      <c r="A1902" s="2">
        <v>45322</v>
      </c>
      <c r="B1902" t="s">
        <v>113</v>
      </c>
      <c r="C1902" t="s">
        <v>115</v>
      </c>
      <c r="E1902">
        <v>9</v>
      </c>
      <c r="F1902">
        <v>1</v>
      </c>
      <c r="G1902">
        <v>1</v>
      </c>
      <c r="H1902">
        <v>9</v>
      </c>
      <c r="I1902">
        <v>3</v>
      </c>
      <c r="J1902" s="52"/>
    </row>
    <row r="1903" spans="1:10" hidden="1" x14ac:dyDescent="0.35">
      <c r="A1903" s="2">
        <v>45321</v>
      </c>
      <c r="B1903" t="s">
        <v>38</v>
      </c>
      <c r="C1903" t="s">
        <v>18</v>
      </c>
      <c r="E1903">
        <v>23</v>
      </c>
      <c r="F1903">
        <v>12</v>
      </c>
      <c r="G1903">
        <v>20</v>
      </c>
      <c r="H1903">
        <v>10</v>
      </c>
      <c r="I1903">
        <v>22</v>
      </c>
      <c r="J1903" s="52"/>
    </row>
    <row r="1904" spans="1:10" hidden="1" x14ac:dyDescent="0.35">
      <c r="A1904" s="2">
        <v>45321</v>
      </c>
      <c r="B1904" t="s">
        <v>116</v>
      </c>
      <c r="C1904" t="s">
        <v>18</v>
      </c>
      <c r="E1904">
        <v>34</v>
      </c>
      <c r="F1904">
        <v>22</v>
      </c>
      <c r="G1904">
        <v>1</v>
      </c>
      <c r="H1904">
        <v>0</v>
      </c>
      <c r="I1904">
        <v>2</v>
      </c>
      <c r="J1904" s="52"/>
    </row>
    <row r="1905" spans="1:10" hidden="1" x14ac:dyDescent="0.35">
      <c r="A1905" s="2">
        <v>45321</v>
      </c>
      <c r="B1905" t="s">
        <v>86</v>
      </c>
      <c r="C1905" t="s">
        <v>18</v>
      </c>
      <c r="E1905">
        <v>1</v>
      </c>
      <c r="F1905">
        <v>0</v>
      </c>
      <c r="G1905">
        <v>18</v>
      </c>
      <c r="H1905">
        <v>11</v>
      </c>
      <c r="I1905">
        <v>8</v>
      </c>
      <c r="J1905" s="52"/>
    </row>
    <row r="1906" spans="1:10" hidden="1" x14ac:dyDescent="0.35">
      <c r="A1906" s="2">
        <v>45321</v>
      </c>
      <c r="B1906" t="s">
        <v>13</v>
      </c>
      <c r="C1906" t="s">
        <v>25</v>
      </c>
      <c r="E1906">
        <v>52</v>
      </c>
      <c r="F1906">
        <v>3</v>
      </c>
      <c r="G1906">
        <v>27</v>
      </c>
      <c r="H1906">
        <v>2</v>
      </c>
      <c r="I1906">
        <v>11</v>
      </c>
      <c r="J1906" s="52"/>
    </row>
    <row r="1907" spans="1:10" hidden="1" x14ac:dyDescent="0.35">
      <c r="A1907" s="2">
        <v>45321</v>
      </c>
      <c r="B1907" t="s">
        <v>104</v>
      </c>
      <c r="C1907" t="s">
        <v>23</v>
      </c>
      <c r="E1907">
        <v>25</v>
      </c>
      <c r="F1907">
        <v>2</v>
      </c>
      <c r="G1907">
        <v>19</v>
      </c>
      <c r="H1907">
        <v>3</v>
      </c>
      <c r="I1907">
        <v>5</v>
      </c>
      <c r="J1907" s="52"/>
    </row>
    <row r="1908" spans="1:10" hidden="1" x14ac:dyDescent="0.35">
      <c r="A1908" s="2">
        <v>45321</v>
      </c>
      <c r="B1908" t="s">
        <v>102</v>
      </c>
      <c r="C1908" t="s">
        <v>24</v>
      </c>
      <c r="E1908">
        <v>26</v>
      </c>
      <c r="F1908">
        <v>1</v>
      </c>
      <c r="G1908">
        <v>28</v>
      </c>
      <c r="H1908">
        <v>3</v>
      </c>
      <c r="I1908">
        <v>7</v>
      </c>
      <c r="J1908" s="52"/>
    </row>
    <row r="1909" spans="1:10" hidden="1" x14ac:dyDescent="0.35">
      <c r="A1909" s="2">
        <v>45321</v>
      </c>
      <c r="B1909" t="s">
        <v>96</v>
      </c>
      <c r="C1909" t="s">
        <v>24</v>
      </c>
      <c r="E1909">
        <v>27</v>
      </c>
      <c r="F1909">
        <v>1</v>
      </c>
      <c r="G1909">
        <v>18</v>
      </c>
      <c r="H1909">
        <v>1</v>
      </c>
      <c r="I1909">
        <v>4</v>
      </c>
      <c r="J1909" s="52"/>
    </row>
    <row r="1910" spans="1:10" hidden="1" x14ac:dyDescent="0.35">
      <c r="A1910" s="2">
        <v>45321</v>
      </c>
      <c r="B1910" t="s">
        <v>96</v>
      </c>
      <c r="C1910" t="s">
        <v>37</v>
      </c>
      <c r="E1910">
        <v>7</v>
      </c>
      <c r="F1910">
        <v>1</v>
      </c>
      <c r="G1910">
        <v>5</v>
      </c>
      <c r="H1910">
        <v>1</v>
      </c>
      <c r="I1910">
        <v>7</v>
      </c>
      <c r="J1910" s="52"/>
    </row>
    <row r="1911" spans="1:10" hidden="1" x14ac:dyDescent="0.35">
      <c r="A1911" s="2">
        <v>45321</v>
      </c>
      <c r="B1911" t="s">
        <v>17</v>
      </c>
      <c r="C1911" t="s">
        <v>37</v>
      </c>
      <c r="E1911">
        <v>36</v>
      </c>
      <c r="F1911">
        <v>6</v>
      </c>
      <c r="G1911">
        <v>28</v>
      </c>
      <c r="H1911">
        <v>7</v>
      </c>
      <c r="I1911">
        <v>13</v>
      </c>
      <c r="J1911" s="52"/>
    </row>
    <row r="1912" spans="1:10" hidden="1" x14ac:dyDescent="0.35">
      <c r="A1912" s="2">
        <v>45321</v>
      </c>
      <c r="B1912" t="s">
        <v>50</v>
      </c>
      <c r="C1912" t="s">
        <v>37</v>
      </c>
      <c r="E1912">
        <v>14</v>
      </c>
      <c r="F1912">
        <v>2</v>
      </c>
      <c r="G1912">
        <v>16</v>
      </c>
      <c r="H1912">
        <v>2</v>
      </c>
      <c r="I1912">
        <v>5</v>
      </c>
      <c r="J1912" s="52"/>
    </row>
    <row r="1913" spans="1:10" hidden="1" x14ac:dyDescent="0.35">
      <c r="A1913" s="2">
        <v>45321</v>
      </c>
      <c r="B1913" t="s">
        <v>102</v>
      </c>
      <c r="C1913" t="s">
        <v>37</v>
      </c>
      <c r="E1913">
        <v>1</v>
      </c>
      <c r="F1913">
        <v>0</v>
      </c>
      <c r="G1913">
        <v>4</v>
      </c>
      <c r="H1913">
        <v>0</v>
      </c>
      <c r="I1913">
        <v>1</v>
      </c>
      <c r="J1913" s="52"/>
    </row>
    <row r="1914" spans="1:10" hidden="1" x14ac:dyDescent="0.35">
      <c r="A1914" s="2">
        <v>45321</v>
      </c>
      <c r="B1914" t="s">
        <v>112</v>
      </c>
      <c r="C1914" t="s">
        <v>19</v>
      </c>
      <c r="E1914">
        <v>72</v>
      </c>
      <c r="F1914">
        <v>11</v>
      </c>
      <c r="G1914">
        <v>60</v>
      </c>
      <c r="H1914">
        <v>3</v>
      </c>
      <c r="I1914">
        <v>20</v>
      </c>
      <c r="J1914" s="52"/>
    </row>
    <row r="1915" spans="1:10" hidden="1" x14ac:dyDescent="0.35">
      <c r="A1915" s="2">
        <v>45321</v>
      </c>
      <c r="B1915" t="s">
        <v>95</v>
      </c>
      <c r="C1915" t="s">
        <v>22</v>
      </c>
      <c r="E1915">
        <v>24</v>
      </c>
      <c r="F1915">
        <v>6</v>
      </c>
      <c r="G1915">
        <v>34</v>
      </c>
      <c r="H1915">
        <v>11</v>
      </c>
      <c r="I1915">
        <v>14</v>
      </c>
      <c r="J1915" s="52"/>
    </row>
    <row r="1916" spans="1:10" hidden="1" x14ac:dyDescent="0.35">
      <c r="A1916" s="2">
        <v>45321</v>
      </c>
      <c r="B1916" t="s">
        <v>105</v>
      </c>
      <c r="C1916" t="s">
        <v>22</v>
      </c>
      <c r="E1916">
        <v>28</v>
      </c>
      <c r="F1916">
        <v>13</v>
      </c>
      <c r="G1916">
        <v>19</v>
      </c>
      <c r="H1916">
        <v>10</v>
      </c>
      <c r="I1916">
        <v>8</v>
      </c>
      <c r="J1916" s="52"/>
    </row>
    <row r="1917" spans="1:10" hidden="1" x14ac:dyDescent="0.35">
      <c r="A1917" s="2">
        <v>45321</v>
      </c>
      <c r="B1917" t="s">
        <v>43</v>
      </c>
      <c r="C1917" t="s">
        <v>27</v>
      </c>
      <c r="E1917">
        <v>37</v>
      </c>
      <c r="F1917">
        <v>0</v>
      </c>
      <c r="G1917">
        <v>42</v>
      </c>
      <c r="H1917">
        <v>0</v>
      </c>
      <c r="I1917">
        <v>19</v>
      </c>
      <c r="J1917" s="52"/>
    </row>
    <row r="1918" spans="1:10" hidden="1" x14ac:dyDescent="0.35">
      <c r="A1918" s="2">
        <v>45321</v>
      </c>
      <c r="B1918" t="s">
        <v>84</v>
      </c>
      <c r="C1918" t="s">
        <v>27</v>
      </c>
      <c r="E1918">
        <v>28</v>
      </c>
      <c r="F1918">
        <v>0</v>
      </c>
      <c r="G1918">
        <v>16</v>
      </c>
      <c r="H1918">
        <v>0</v>
      </c>
      <c r="I1918">
        <v>12</v>
      </c>
      <c r="J1918" s="52"/>
    </row>
    <row r="1919" spans="1:10" hidden="1" x14ac:dyDescent="0.35">
      <c r="A1919" s="2">
        <v>45321</v>
      </c>
      <c r="B1919" t="s">
        <v>17</v>
      </c>
      <c r="C1919" t="s">
        <v>9</v>
      </c>
      <c r="E1919">
        <v>3</v>
      </c>
      <c r="F1919">
        <v>0</v>
      </c>
      <c r="G1919">
        <v>1</v>
      </c>
      <c r="H1919">
        <v>0</v>
      </c>
      <c r="I1919">
        <v>3</v>
      </c>
      <c r="J1919" s="52"/>
    </row>
    <row r="1920" spans="1:10" hidden="1" x14ac:dyDescent="0.35">
      <c r="A1920" s="2">
        <v>45321</v>
      </c>
      <c r="B1920" t="s">
        <v>101</v>
      </c>
      <c r="C1920" t="s">
        <v>9</v>
      </c>
      <c r="E1920">
        <v>28</v>
      </c>
      <c r="F1920">
        <v>2</v>
      </c>
      <c r="G1920">
        <v>20</v>
      </c>
      <c r="H1920">
        <v>0</v>
      </c>
      <c r="I1920">
        <v>12</v>
      </c>
      <c r="J1920" s="52"/>
    </row>
    <row r="1921" spans="1:10" hidden="1" x14ac:dyDescent="0.35">
      <c r="A1921" s="2">
        <v>45321</v>
      </c>
      <c r="B1921" t="s">
        <v>75</v>
      </c>
      <c r="C1921" t="s">
        <v>21</v>
      </c>
      <c r="E1921">
        <v>47</v>
      </c>
      <c r="F1921">
        <v>8</v>
      </c>
      <c r="G1921">
        <v>24</v>
      </c>
      <c r="H1921">
        <v>8</v>
      </c>
      <c r="I1921">
        <v>6</v>
      </c>
      <c r="J1921" s="52"/>
    </row>
    <row r="1922" spans="1:10" hidden="1" x14ac:dyDescent="0.35">
      <c r="A1922" s="2">
        <v>45321</v>
      </c>
      <c r="B1922" t="s">
        <v>72</v>
      </c>
      <c r="C1922" t="s">
        <v>54</v>
      </c>
      <c r="E1922">
        <v>15</v>
      </c>
      <c r="F1922">
        <v>6</v>
      </c>
      <c r="G1922">
        <v>30</v>
      </c>
      <c r="H1922">
        <v>5</v>
      </c>
      <c r="I1922">
        <v>10</v>
      </c>
      <c r="J1922" s="52"/>
    </row>
    <row r="1923" spans="1:10" hidden="1" x14ac:dyDescent="0.35">
      <c r="A1923" s="2">
        <v>45321</v>
      </c>
      <c r="B1923" t="s">
        <v>57</v>
      </c>
      <c r="C1923" t="s">
        <v>55</v>
      </c>
      <c r="E1923">
        <v>26</v>
      </c>
      <c r="F1923">
        <v>13</v>
      </c>
      <c r="G1923">
        <v>22</v>
      </c>
      <c r="H1923">
        <v>6</v>
      </c>
      <c r="I1923">
        <v>16</v>
      </c>
      <c r="J1923" s="52"/>
    </row>
    <row r="1924" spans="1:10" hidden="1" x14ac:dyDescent="0.35">
      <c r="A1924" s="2">
        <v>45321</v>
      </c>
      <c r="B1924" t="s">
        <v>100</v>
      </c>
      <c r="C1924" t="s">
        <v>58</v>
      </c>
      <c r="E1924">
        <v>18</v>
      </c>
      <c r="F1924">
        <v>10</v>
      </c>
      <c r="G1924">
        <v>13</v>
      </c>
      <c r="H1924">
        <v>7</v>
      </c>
      <c r="I1924">
        <v>7</v>
      </c>
      <c r="J1924" s="52"/>
    </row>
    <row r="1925" spans="1:10" hidden="1" x14ac:dyDescent="0.35">
      <c r="A1925" s="2">
        <v>45321</v>
      </c>
      <c r="B1925" t="s">
        <v>107</v>
      </c>
      <c r="C1925" t="s">
        <v>58</v>
      </c>
      <c r="E1925">
        <v>36</v>
      </c>
      <c r="F1925">
        <v>8</v>
      </c>
      <c r="G1925">
        <v>18</v>
      </c>
      <c r="H1925">
        <v>9</v>
      </c>
      <c r="I1925">
        <v>8</v>
      </c>
      <c r="J1925" s="52"/>
    </row>
    <row r="1926" spans="1:10" hidden="1" x14ac:dyDescent="0.35">
      <c r="A1926" s="2">
        <v>45321</v>
      </c>
      <c r="B1926" t="s">
        <v>64</v>
      </c>
      <c r="C1926" t="s">
        <v>62</v>
      </c>
      <c r="E1926">
        <v>20</v>
      </c>
      <c r="F1926">
        <v>11</v>
      </c>
      <c r="G1926">
        <v>24</v>
      </c>
      <c r="H1926">
        <v>11</v>
      </c>
      <c r="I1926">
        <v>12</v>
      </c>
      <c r="J1926" s="52"/>
    </row>
    <row r="1927" spans="1:10" hidden="1" x14ac:dyDescent="0.35">
      <c r="A1927" s="2">
        <v>45321</v>
      </c>
      <c r="B1927" t="s">
        <v>97</v>
      </c>
      <c r="C1927" t="s">
        <v>61</v>
      </c>
      <c r="E1927">
        <v>45</v>
      </c>
      <c r="F1927">
        <v>10</v>
      </c>
      <c r="G1927">
        <v>25</v>
      </c>
      <c r="H1927">
        <v>1</v>
      </c>
      <c r="I1927">
        <v>14</v>
      </c>
      <c r="J1927" s="52"/>
    </row>
    <row r="1928" spans="1:10" hidden="1" x14ac:dyDescent="0.35">
      <c r="A1928" s="2">
        <v>45321</v>
      </c>
      <c r="B1928" t="s">
        <v>97</v>
      </c>
      <c r="C1928" t="s">
        <v>91</v>
      </c>
      <c r="E1928">
        <v>11</v>
      </c>
      <c r="F1928">
        <v>0</v>
      </c>
      <c r="G1928">
        <v>1</v>
      </c>
      <c r="H1928">
        <v>2</v>
      </c>
      <c r="I1928">
        <v>1</v>
      </c>
      <c r="J1928" s="52"/>
    </row>
    <row r="1929" spans="1:10" hidden="1" x14ac:dyDescent="0.35">
      <c r="A1929" s="2">
        <v>45321</v>
      </c>
      <c r="B1929" t="s">
        <v>69</v>
      </c>
      <c r="C1929" t="s">
        <v>63</v>
      </c>
      <c r="E1929">
        <v>42</v>
      </c>
      <c r="F1929">
        <v>10</v>
      </c>
      <c r="G1929">
        <v>30</v>
      </c>
      <c r="H1929">
        <v>3</v>
      </c>
      <c r="I1929">
        <v>25</v>
      </c>
      <c r="J1929" s="52"/>
    </row>
    <row r="1930" spans="1:10" hidden="1" x14ac:dyDescent="0.35">
      <c r="A1930" s="2">
        <v>45321</v>
      </c>
      <c r="B1930" t="s">
        <v>77</v>
      </c>
      <c r="C1930" t="s">
        <v>73</v>
      </c>
      <c r="E1930">
        <v>22</v>
      </c>
      <c r="F1930">
        <v>12</v>
      </c>
      <c r="G1930">
        <v>37</v>
      </c>
      <c r="H1930">
        <v>22</v>
      </c>
      <c r="I1930">
        <v>11</v>
      </c>
      <c r="J1930" s="52"/>
    </row>
    <row r="1931" spans="1:10" hidden="1" x14ac:dyDescent="0.35">
      <c r="A1931" s="2">
        <v>45321</v>
      </c>
      <c r="B1931" t="s">
        <v>110</v>
      </c>
      <c r="C1931" t="s">
        <v>81</v>
      </c>
      <c r="E1931">
        <v>14</v>
      </c>
      <c r="F1931">
        <v>1</v>
      </c>
      <c r="G1931">
        <v>21</v>
      </c>
      <c r="H1931">
        <v>0</v>
      </c>
      <c r="I1931">
        <v>13</v>
      </c>
      <c r="J1931" s="52"/>
    </row>
    <row r="1932" spans="1:10" hidden="1" x14ac:dyDescent="0.35">
      <c r="A1932" s="2">
        <v>45321</v>
      </c>
      <c r="B1932" t="s">
        <v>85</v>
      </c>
      <c r="C1932" t="s">
        <v>83</v>
      </c>
      <c r="E1932">
        <v>24</v>
      </c>
      <c r="F1932">
        <v>11</v>
      </c>
      <c r="G1932">
        <v>20</v>
      </c>
      <c r="H1932">
        <v>7</v>
      </c>
      <c r="I1932">
        <v>5</v>
      </c>
      <c r="J1932" s="52"/>
    </row>
    <row r="1933" spans="1:10" hidden="1" x14ac:dyDescent="0.35">
      <c r="A1933" s="2">
        <v>45321</v>
      </c>
      <c r="B1933" t="s">
        <v>88</v>
      </c>
      <c r="C1933" t="s">
        <v>76</v>
      </c>
      <c r="E1933">
        <v>15</v>
      </c>
      <c r="F1933">
        <v>9</v>
      </c>
      <c r="G1933">
        <v>6</v>
      </c>
      <c r="H1933">
        <v>10</v>
      </c>
      <c r="I1933">
        <v>10</v>
      </c>
      <c r="J1933" s="52"/>
    </row>
    <row r="1934" spans="1:10" hidden="1" x14ac:dyDescent="0.35">
      <c r="A1934" s="2">
        <v>45321</v>
      </c>
      <c r="B1934" t="s">
        <v>89</v>
      </c>
      <c r="C1934" t="s">
        <v>87</v>
      </c>
      <c r="E1934">
        <v>11</v>
      </c>
      <c r="F1934">
        <v>3</v>
      </c>
      <c r="G1934">
        <v>15</v>
      </c>
      <c r="H1934">
        <v>1</v>
      </c>
      <c r="I1934">
        <v>10</v>
      </c>
      <c r="J1934" s="52"/>
    </row>
    <row r="1935" spans="1:10" hidden="1" x14ac:dyDescent="0.35">
      <c r="A1935" s="2">
        <v>45321</v>
      </c>
      <c r="B1935" t="s">
        <v>93</v>
      </c>
      <c r="C1935" t="s">
        <v>90</v>
      </c>
      <c r="E1935">
        <v>9</v>
      </c>
      <c r="F1935">
        <v>2</v>
      </c>
      <c r="G1935">
        <v>2</v>
      </c>
      <c r="H1935">
        <v>1</v>
      </c>
      <c r="I1935">
        <v>3</v>
      </c>
      <c r="J1935" s="52"/>
    </row>
    <row r="1936" spans="1:10" hidden="1" x14ac:dyDescent="0.35">
      <c r="A1936" s="2">
        <v>45321</v>
      </c>
      <c r="B1936" t="s">
        <v>99</v>
      </c>
      <c r="C1936" t="s">
        <v>92</v>
      </c>
      <c r="E1936">
        <v>31</v>
      </c>
      <c r="F1936">
        <v>8</v>
      </c>
      <c r="G1936">
        <v>23</v>
      </c>
      <c r="H1936">
        <v>5</v>
      </c>
      <c r="I1936">
        <v>3</v>
      </c>
      <c r="J1936" s="52"/>
    </row>
    <row r="1937" spans="1:10" hidden="1" x14ac:dyDescent="0.35">
      <c r="A1937" s="2">
        <v>45321</v>
      </c>
      <c r="B1937" t="s">
        <v>98</v>
      </c>
      <c r="C1937" t="s">
        <v>94</v>
      </c>
      <c r="E1937">
        <v>39</v>
      </c>
      <c r="F1937">
        <v>2</v>
      </c>
      <c r="G1937">
        <v>12</v>
      </c>
      <c r="H1937">
        <v>1</v>
      </c>
      <c r="I1937">
        <v>8</v>
      </c>
      <c r="J1937" s="52"/>
    </row>
    <row r="1938" spans="1:10" hidden="1" x14ac:dyDescent="0.35">
      <c r="A1938" s="2">
        <v>45321</v>
      </c>
      <c r="B1938" t="s">
        <v>106</v>
      </c>
      <c r="C1938" t="s">
        <v>103</v>
      </c>
      <c r="E1938">
        <v>11</v>
      </c>
      <c r="F1938">
        <v>4</v>
      </c>
      <c r="G1938">
        <v>14</v>
      </c>
      <c r="H1938">
        <v>0</v>
      </c>
      <c r="I1938">
        <v>5</v>
      </c>
      <c r="J1938" s="52"/>
    </row>
    <row r="1939" spans="1:10" hidden="1" x14ac:dyDescent="0.35">
      <c r="A1939" s="2">
        <v>45321</v>
      </c>
      <c r="B1939" t="s">
        <v>108</v>
      </c>
      <c r="C1939" t="s">
        <v>109</v>
      </c>
      <c r="E1939">
        <v>32</v>
      </c>
      <c r="F1939">
        <v>2</v>
      </c>
      <c r="G1939">
        <v>5</v>
      </c>
      <c r="H1939">
        <v>0</v>
      </c>
      <c r="I1939">
        <v>2</v>
      </c>
      <c r="J1939" s="52"/>
    </row>
    <row r="1940" spans="1:10" hidden="1" x14ac:dyDescent="0.35">
      <c r="A1940" s="2">
        <v>45321</v>
      </c>
      <c r="B1940" t="s">
        <v>114</v>
      </c>
      <c r="C1940" t="s">
        <v>111</v>
      </c>
      <c r="E1940">
        <v>17</v>
      </c>
      <c r="F1940">
        <v>13</v>
      </c>
      <c r="G1940">
        <v>0</v>
      </c>
      <c r="H1940">
        <v>0</v>
      </c>
      <c r="I1940">
        <v>1</v>
      </c>
      <c r="J1940" s="52"/>
    </row>
    <row r="1941" spans="1:10" hidden="1" x14ac:dyDescent="0.35">
      <c r="A1941" s="2">
        <v>45350</v>
      </c>
      <c r="C1941" t="s">
        <v>24</v>
      </c>
      <c r="D1941">
        <v>815</v>
      </c>
      <c r="J1941" s="58">
        <v>87200</v>
      </c>
    </row>
    <row r="1942" spans="1:10" hidden="1" x14ac:dyDescent="0.35">
      <c r="A1942" s="2">
        <v>45350</v>
      </c>
      <c r="C1942" t="s">
        <v>9</v>
      </c>
      <c r="D1942">
        <v>302</v>
      </c>
      <c r="J1942" s="58">
        <v>159550</v>
      </c>
    </row>
    <row r="1943" spans="1:10" hidden="1" x14ac:dyDescent="0.35">
      <c r="A1943" s="2">
        <v>45350</v>
      </c>
      <c r="C1943" t="s">
        <v>37</v>
      </c>
      <c r="D1943">
        <v>627</v>
      </c>
      <c r="J1943" s="58">
        <v>317900</v>
      </c>
    </row>
    <row r="1944" spans="1:10" hidden="1" x14ac:dyDescent="0.35">
      <c r="A1944" s="2">
        <v>45350</v>
      </c>
      <c r="C1944" t="s">
        <v>23</v>
      </c>
      <c r="D1944">
        <v>432</v>
      </c>
      <c r="J1944" s="58">
        <v>52500</v>
      </c>
    </row>
    <row r="1945" spans="1:10" hidden="1" x14ac:dyDescent="0.35">
      <c r="A1945" s="2">
        <v>45350</v>
      </c>
      <c r="C1945" t="s">
        <v>27</v>
      </c>
      <c r="D1945">
        <v>312</v>
      </c>
      <c r="J1945" s="58">
        <v>394100</v>
      </c>
    </row>
    <row r="1946" spans="1:10" hidden="1" x14ac:dyDescent="0.35">
      <c r="A1946" s="2">
        <v>45350</v>
      </c>
      <c r="C1946" t="s">
        <v>26</v>
      </c>
      <c r="D1946">
        <v>319</v>
      </c>
      <c r="J1946" s="58">
        <v>248800</v>
      </c>
    </row>
    <row r="1947" spans="1:10" hidden="1" x14ac:dyDescent="0.35">
      <c r="A1947" s="2">
        <v>45350</v>
      </c>
      <c r="C1947" t="s">
        <v>20</v>
      </c>
      <c r="D1947">
        <v>546</v>
      </c>
      <c r="J1947" s="58">
        <v>575450</v>
      </c>
    </row>
    <row r="1948" spans="1:10" hidden="1" x14ac:dyDescent="0.35">
      <c r="A1948" s="2">
        <v>45350</v>
      </c>
      <c r="C1948" t="s">
        <v>25</v>
      </c>
      <c r="D1948">
        <v>401</v>
      </c>
      <c r="J1948" s="58">
        <v>107350</v>
      </c>
    </row>
    <row r="1949" spans="1:10" hidden="1" x14ac:dyDescent="0.35">
      <c r="A1949" s="2">
        <v>45350</v>
      </c>
      <c r="C1949" t="s">
        <v>19</v>
      </c>
      <c r="D1949">
        <v>566</v>
      </c>
      <c r="J1949" s="58">
        <v>357327</v>
      </c>
    </row>
    <row r="1950" spans="1:10" hidden="1" x14ac:dyDescent="0.35">
      <c r="A1950" s="2">
        <v>45350</v>
      </c>
      <c r="C1950" t="s">
        <v>21</v>
      </c>
      <c r="D1950">
        <v>609</v>
      </c>
      <c r="J1950" s="58">
        <v>172450</v>
      </c>
    </row>
    <row r="1951" spans="1:10" hidden="1" x14ac:dyDescent="0.35">
      <c r="A1951" s="2">
        <v>45350</v>
      </c>
      <c r="C1951" t="s">
        <v>18</v>
      </c>
      <c r="D1951">
        <v>969</v>
      </c>
      <c r="J1951" s="58">
        <v>385100</v>
      </c>
    </row>
    <row r="1952" spans="1:10" hidden="1" x14ac:dyDescent="0.35">
      <c r="A1952" s="2">
        <v>45350</v>
      </c>
      <c r="C1952" t="s">
        <v>22</v>
      </c>
      <c r="D1952">
        <v>742</v>
      </c>
      <c r="J1952" s="58">
        <v>181300</v>
      </c>
    </row>
    <row r="1953" spans="1:10" hidden="1" x14ac:dyDescent="0.35">
      <c r="A1953" s="2">
        <v>45350</v>
      </c>
      <c r="C1953" t="s">
        <v>54</v>
      </c>
      <c r="D1953">
        <v>370</v>
      </c>
      <c r="J1953" s="58">
        <v>120950</v>
      </c>
    </row>
    <row r="1954" spans="1:10" hidden="1" x14ac:dyDescent="0.35">
      <c r="A1954" s="2">
        <v>45350</v>
      </c>
      <c r="C1954" t="s">
        <v>55</v>
      </c>
      <c r="D1954">
        <v>554</v>
      </c>
      <c r="J1954" s="58">
        <v>129640</v>
      </c>
    </row>
    <row r="1955" spans="1:10" hidden="1" x14ac:dyDescent="0.35">
      <c r="A1955" s="2">
        <v>45350</v>
      </c>
      <c r="C1955" t="s">
        <v>58</v>
      </c>
      <c r="D1955">
        <v>707</v>
      </c>
      <c r="J1955" s="58">
        <v>209890</v>
      </c>
    </row>
    <row r="1956" spans="1:10" hidden="1" x14ac:dyDescent="0.35">
      <c r="A1956" s="2">
        <v>45350</v>
      </c>
      <c r="C1956" t="s">
        <v>62</v>
      </c>
      <c r="D1956">
        <v>668</v>
      </c>
      <c r="J1956" s="58">
        <v>81450</v>
      </c>
    </row>
    <row r="1957" spans="1:10" hidden="1" x14ac:dyDescent="0.35">
      <c r="A1957" s="2">
        <v>45350</v>
      </c>
      <c r="C1957" t="s">
        <v>61</v>
      </c>
      <c r="D1957">
        <v>214</v>
      </c>
      <c r="J1957" s="58">
        <v>39480</v>
      </c>
    </row>
    <row r="1958" spans="1:10" hidden="1" x14ac:dyDescent="0.35">
      <c r="A1958" s="2">
        <v>45350</v>
      </c>
      <c r="C1958" t="s">
        <v>63</v>
      </c>
      <c r="D1958">
        <v>252</v>
      </c>
      <c r="J1958" s="58">
        <v>326000</v>
      </c>
    </row>
    <row r="1959" spans="1:10" hidden="1" x14ac:dyDescent="0.35">
      <c r="A1959" s="2">
        <v>45350</v>
      </c>
      <c r="C1959" t="s">
        <v>73</v>
      </c>
      <c r="D1959">
        <v>376</v>
      </c>
      <c r="J1959" s="58">
        <v>29900</v>
      </c>
    </row>
    <row r="1960" spans="1:10" hidden="1" x14ac:dyDescent="0.35">
      <c r="A1960" s="2">
        <v>45350</v>
      </c>
      <c r="C1960" t="s">
        <v>76</v>
      </c>
      <c r="D1960">
        <v>261</v>
      </c>
      <c r="J1960" s="58">
        <v>63000</v>
      </c>
    </row>
    <row r="1961" spans="1:10" hidden="1" x14ac:dyDescent="0.35">
      <c r="A1961" s="2">
        <v>45350</v>
      </c>
      <c r="C1961" t="s">
        <v>81</v>
      </c>
      <c r="D1961">
        <v>455</v>
      </c>
      <c r="J1961" s="58">
        <v>132500</v>
      </c>
    </row>
    <row r="1962" spans="1:10" hidden="1" x14ac:dyDescent="0.35">
      <c r="A1962" s="2">
        <v>45350</v>
      </c>
      <c r="C1962" t="s">
        <v>83</v>
      </c>
      <c r="D1962">
        <v>362</v>
      </c>
      <c r="J1962" s="58">
        <v>109500</v>
      </c>
    </row>
    <row r="1963" spans="1:10" hidden="1" x14ac:dyDescent="0.35">
      <c r="A1963" s="2">
        <v>45350</v>
      </c>
      <c r="C1963" t="s">
        <v>87</v>
      </c>
      <c r="D1963">
        <v>102</v>
      </c>
      <c r="J1963" s="58">
        <v>27000</v>
      </c>
    </row>
    <row r="1964" spans="1:10" hidden="1" x14ac:dyDescent="0.35">
      <c r="A1964" s="2">
        <v>45350</v>
      </c>
      <c r="C1964" t="s">
        <v>90</v>
      </c>
      <c r="D1964">
        <v>617</v>
      </c>
      <c r="J1964" s="58">
        <v>24990</v>
      </c>
    </row>
    <row r="1965" spans="1:10" hidden="1" x14ac:dyDescent="0.35">
      <c r="A1965" s="2">
        <v>45350</v>
      </c>
      <c r="C1965" t="s">
        <v>91</v>
      </c>
      <c r="D1965">
        <v>188</v>
      </c>
      <c r="J1965" s="58">
        <v>50970</v>
      </c>
    </row>
    <row r="1966" spans="1:10" hidden="1" x14ac:dyDescent="0.35">
      <c r="A1966" s="2">
        <v>45350</v>
      </c>
      <c r="C1966" t="s">
        <v>92</v>
      </c>
      <c r="D1966">
        <v>293</v>
      </c>
      <c r="J1966" s="58">
        <v>41500</v>
      </c>
    </row>
    <row r="1967" spans="1:10" hidden="1" x14ac:dyDescent="0.35">
      <c r="A1967" s="2">
        <v>45350</v>
      </c>
      <c r="C1967" t="s">
        <v>94</v>
      </c>
      <c r="D1967">
        <v>319</v>
      </c>
      <c r="J1967" s="58">
        <v>144100</v>
      </c>
    </row>
    <row r="1968" spans="1:10" hidden="1" x14ac:dyDescent="0.35">
      <c r="A1968" s="2">
        <v>45350</v>
      </c>
      <c r="C1968" t="s">
        <v>103</v>
      </c>
      <c r="D1968">
        <v>116</v>
      </c>
      <c r="J1968" s="58">
        <v>38000</v>
      </c>
    </row>
    <row r="1969" spans="1:10" hidden="1" x14ac:dyDescent="0.35">
      <c r="A1969" s="2">
        <v>45350</v>
      </c>
      <c r="C1969" t="s">
        <v>109</v>
      </c>
      <c r="D1969">
        <v>308</v>
      </c>
      <c r="J1969" s="58">
        <v>67950</v>
      </c>
    </row>
    <row r="1970" spans="1:10" hidden="1" x14ac:dyDescent="0.35">
      <c r="A1970" s="2">
        <v>45350</v>
      </c>
      <c r="C1970" t="s">
        <v>111</v>
      </c>
      <c r="D1970">
        <v>312</v>
      </c>
      <c r="J1970" s="58">
        <v>58800</v>
      </c>
    </row>
    <row r="1971" spans="1:10" hidden="1" x14ac:dyDescent="0.35">
      <c r="A1971" s="2">
        <v>45350</v>
      </c>
      <c r="C1971" t="s">
        <v>115</v>
      </c>
      <c r="D1971">
        <v>313</v>
      </c>
      <c r="J1971" s="58">
        <v>15000</v>
      </c>
    </row>
    <row r="1972" spans="1:10" hidden="1" x14ac:dyDescent="0.35">
      <c r="A1972" s="2">
        <v>45350</v>
      </c>
      <c r="B1972" t="s">
        <v>36</v>
      </c>
      <c r="C1972" t="s">
        <v>20</v>
      </c>
      <c r="E1972">
        <v>42</v>
      </c>
      <c r="F1972">
        <v>7</v>
      </c>
      <c r="G1972">
        <v>57</v>
      </c>
      <c r="H1972">
        <v>10</v>
      </c>
      <c r="I1972">
        <v>31</v>
      </c>
      <c r="J1972" s="52"/>
    </row>
    <row r="1973" spans="1:10" hidden="1" x14ac:dyDescent="0.35">
      <c r="A1973" s="2">
        <v>45350</v>
      </c>
      <c r="B1973" t="s">
        <v>110</v>
      </c>
      <c r="C1973" t="s">
        <v>20</v>
      </c>
      <c r="E1973">
        <v>11</v>
      </c>
      <c r="F1973">
        <v>4</v>
      </c>
      <c r="G1973">
        <v>15</v>
      </c>
      <c r="H1973">
        <v>6</v>
      </c>
      <c r="I1973">
        <v>8</v>
      </c>
      <c r="J1973" s="52"/>
    </row>
    <row r="1974" spans="1:10" hidden="1" x14ac:dyDescent="0.35">
      <c r="A1974" s="2">
        <v>45350</v>
      </c>
      <c r="B1974" t="s">
        <v>113</v>
      </c>
      <c r="C1974" t="s">
        <v>26</v>
      </c>
      <c r="E1974">
        <v>31</v>
      </c>
      <c r="F1974">
        <v>0</v>
      </c>
      <c r="G1974">
        <v>48</v>
      </c>
      <c r="H1974">
        <v>8</v>
      </c>
      <c r="I1974">
        <v>19</v>
      </c>
      <c r="J1974" s="52"/>
    </row>
    <row r="1975" spans="1:10" hidden="1" x14ac:dyDescent="0.35">
      <c r="A1975" s="2">
        <v>45350</v>
      </c>
      <c r="B1975" t="s">
        <v>113</v>
      </c>
      <c r="C1975" t="s">
        <v>115</v>
      </c>
      <c r="E1975">
        <v>8</v>
      </c>
      <c r="F1975">
        <v>0</v>
      </c>
      <c r="G1975">
        <v>3</v>
      </c>
      <c r="H1975">
        <v>0</v>
      </c>
      <c r="I1975">
        <v>1</v>
      </c>
      <c r="J1975" s="52"/>
    </row>
    <row r="1976" spans="1:10" hidden="1" x14ac:dyDescent="0.35">
      <c r="A1976" s="2">
        <v>45350</v>
      </c>
      <c r="B1976" t="s">
        <v>38</v>
      </c>
      <c r="C1976" t="s">
        <v>18</v>
      </c>
      <c r="E1976">
        <v>11</v>
      </c>
      <c r="F1976">
        <v>9</v>
      </c>
      <c r="G1976">
        <v>24</v>
      </c>
      <c r="H1976">
        <v>14</v>
      </c>
      <c r="I1976">
        <v>13</v>
      </c>
      <c r="J1976" s="52"/>
    </row>
    <row r="1977" spans="1:10" hidden="1" x14ac:dyDescent="0.35">
      <c r="A1977" s="2">
        <v>45350</v>
      </c>
      <c r="B1977" t="s">
        <v>116</v>
      </c>
      <c r="C1977" t="s">
        <v>18</v>
      </c>
      <c r="E1977">
        <v>29</v>
      </c>
      <c r="F1977">
        <v>36</v>
      </c>
      <c r="G1977">
        <v>16</v>
      </c>
      <c r="H1977">
        <v>5</v>
      </c>
      <c r="I1977">
        <v>14</v>
      </c>
      <c r="J1977" s="52"/>
    </row>
    <row r="1978" spans="1:10" hidden="1" x14ac:dyDescent="0.35">
      <c r="A1978" s="2">
        <v>45350</v>
      </c>
      <c r="B1978" t="s">
        <v>13</v>
      </c>
      <c r="C1978" t="s">
        <v>25</v>
      </c>
      <c r="E1978">
        <v>48</v>
      </c>
      <c r="F1978">
        <v>1</v>
      </c>
      <c r="G1978">
        <v>30</v>
      </c>
      <c r="H1978">
        <v>1</v>
      </c>
      <c r="I1978">
        <v>8</v>
      </c>
      <c r="J1978" s="52"/>
    </row>
    <row r="1979" spans="1:10" hidden="1" x14ac:dyDescent="0.35">
      <c r="A1979" s="2">
        <v>45350</v>
      </c>
      <c r="B1979" t="s">
        <v>104</v>
      </c>
      <c r="C1979" t="s">
        <v>23</v>
      </c>
      <c r="E1979">
        <v>29</v>
      </c>
      <c r="F1979">
        <v>1</v>
      </c>
      <c r="G1979">
        <v>32</v>
      </c>
      <c r="H1979">
        <v>1</v>
      </c>
      <c r="I1979">
        <v>4</v>
      </c>
      <c r="J1979" s="52"/>
    </row>
    <row r="1980" spans="1:10" hidden="1" x14ac:dyDescent="0.35">
      <c r="A1980" s="2">
        <v>45350</v>
      </c>
      <c r="B1980" t="s">
        <v>102</v>
      </c>
      <c r="C1980" t="s">
        <v>24</v>
      </c>
      <c r="E1980">
        <v>3</v>
      </c>
      <c r="F1980">
        <v>0</v>
      </c>
      <c r="G1980">
        <v>10</v>
      </c>
      <c r="H1980">
        <v>4</v>
      </c>
      <c r="I1980">
        <v>3</v>
      </c>
      <c r="J1980" s="52"/>
    </row>
    <row r="1981" spans="1:10" hidden="1" x14ac:dyDescent="0.35">
      <c r="A1981" s="2">
        <v>45350</v>
      </c>
      <c r="B1981" t="s">
        <v>96</v>
      </c>
      <c r="C1981" t="s">
        <v>24</v>
      </c>
      <c r="E1981">
        <v>23</v>
      </c>
      <c r="F1981">
        <v>8</v>
      </c>
      <c r="G1981">
        <v>12</v>
      </c>
      <c r="H1981">
        <v>2</v>
      </c>
      <c r="I1981">
        <v>3</v>
      </c>
      <c r="J1981" s="52"/>
    </row>
    <row r="1982" spans="1:10" hidden="1" x14ac:dyDescent="0.35">
      <c r="A1982" s="2">
        <v>45350</v>
      </c>
      <c r="B1982" t="s">
        <v>96</v>
      </c>
      <c r="C1982" t="s">
        <v>37</v>
      </c>
      <c r="E1982">
        <v>2</v>
      </c>
      <c r="F1982">
        <v>0</v>
      </c>
      <c r="G1982">
        <v>0</v>
      </c>
      <c r="H1982">
        <v>1</v>
      </c>
      <c r="I1982">
        <v>2</v>
      </c>
      <c r="J1982" s="52"/>
    </row>
    <row r="1983" spans="1:10" hidden="1" x14ac:dyDescent="0.35">
      <c r="A1983" s="2">
        <v>45350</v>
      </c>
      <c r="B1983" t="s">
        <v>17</v>
      </c>
      <c r="C1983" t="s">
        <v>37</v>
      </c>
      <c r="E1983">
        <v>19</v>
      </c>
      <c r="F1983">
        <v>6</v>
      </c>
      <c r="G1983">
        <v>24</v>
      </c>
      <c r="H1983">
        <v>6</v>
      </c>
      <c r="I1983">
        <v>12</v>
      </c>
      <c r="J1983" s="52"/>
    </row>
    <row r="1984" spans="1:10" hidden="1" x14ac:dyDescent="0.35">
      <c r="A1984" s="2">
        <v>45350</v>
      </c>
      <c r="B1984" t="s">
        <v>50</v>
      </c>
      <c r="C1984" t="s">
        <v>37</v>
      </c>
      <c r="E1984">
        <v>10</v>
      </c>
      <c r="F1984">
        <v>1</v>
      </c>
      <c r="G1984">
        <v>19</v>
      </c>
      <c r="H1984">
        <v>1</v>
      </c>
      <c r="I1984">
        <v>6</v>
      </c>
      <c r="J1984" s="52"/>
    </row>
    <row r="1985" spans="1:10" hidden="1" x14ac:dyDescent="0.35">
      <c r="A1985" s="2">
        <v>45350</v>
      </c>
      <c r="B1985" t="s">
        <v>102</v>
      </c>
      <c r="C1985" t="s">
        <v>37</v>
      </c>
      <c r="E1985">
        <v>25</v>
      </c>
      <c r="F1985">
        <v>6</v>
      </c>
      <c r="G1985">
        <v>9</v>
      </c>
      <c r="H1985">
        <v>3</v>
      </c>
      <c r="I1985">
        <v>3</v>
      </c>
      <c r="J1985" s="52"/>
    </row>
    <row r="1986" spans="1:10" hidden="1" x14ac:dyDescent="0.35">
      <c r="A1986" s="2">
        <v>45350</v>
      </c>
      <c r="B1986" t="s">
        <v>112</v>
      </c>
      <c r="C1986" t="s">
        <v>19</v>
      </c>
      <c r="E1986">
        <v>49</v>
      </c>
      <c r="F1986">
        <v>10</v>
      </c>
      <c r="G1986">
        <v>42</v>
      </c>
      <c r="H1986">
        <v>4</v>
      </c>
      <c r="I1986">
        <v>21</v>
      </c>
      <c r="J1986" s="52"/>
    </row>
    <row r="1987" spans="1:10" hidden="1" x14ac:dyDescent="0.35">
      <c r="A1987" s="2">
        <v>45350</v>
      </c>
      <c r="B1987" t="s">
        <v>40</v>
      </c>
      <c r="C1987" t="s">
        <v>19</v>
      </c>
      <c r="E1987">
        <v>27</v>
      </c>
      <c r="F1987">
        <v>2</v>
      </c>
      <c r="G1987">
        <v>44</v>
      </c>
      <c r="H1987">
        <v>7</v>
      </c>
      <c r="I1987">
        <v>5</v>
      </c>
      <c r="J1987" s="52"/>
    </row>
    <row r="1988" spans="1:10" hidden="1" x14ac:dyDescent="0.35">
      <c r="A1988" s="2">
        <v>45350</v>
      </c>
      <c r="B1988" t="s">
        <v>95</v>
      </c>
      <c r="C1988" t="s">
        <v>22</v>
      </c>
      <c r="E1988">
        <v>23</v>
      </c>
      <c r="F1988">
        <v>12</v>
      </c>
      <c r="G1988">
        <v>25</v>
      </c>
      <c r="H1988">
        <v>15</v>
      </c>
      <c r="I1988">
        <v>8</v>
      </c>
      <c r="J1988" s="52"/>
    </row>
    <row r="1989" spans="1:10" hidden="1" x14ac:dyDescent="0.35">
      <c r="A1989" s="2">
        <v>45350</v>
      </c>
      <c r="B1989" t="s">
        <v>105</v>
      </c>
      <c r="C1989" t="s">
        <v>22</v>
      </c>
      <c r="E1989">
        <v>13</v>
      </c>
      <c r="F1989">
        <v>6</v>
      </c>
      <c r="G1989">
        <v>11</v>
      </c>
      <c r="H1989">
        <v>11</v>
      </c>
      <c r="I1989">
        <v>5</v>
      </c>
      <c r="J1989" s="52"/>
    </row>
    <row r="1990" spans="1:10" hidden="1" x14ac:dyDescent="0.35">
      <c r="A1990" s="2">
        <v>45350</v>
      </c>
      <c r="B1990" t="s">
        <v>43</v>
      </c>
      <c r="C1990" t="s">
        <v>27</v>
      </c>
      <c r="E1990">
        <v>16</v>
      </c>
      <c r="F1990">
        <v>0</v>
      </c>
      <c r="G1990">
        <v>36</v>
      </c>
      <c r="H1990">
        <v>0</v>
      </c>
      <c r="I1990">
        <v>16</v>
      </c>
      <c r="J1990" s="52"/>
    </row>
    <row r="1991" spans="1:10" hidden="1" x14ac:dyDescent="0.35">
      <c r="A1991" s="2">
        <v>45350</v>
      </c>
      <c r="B1991" t="s">
        <v>84</v>
      </c>
      <c r="C1991" t="s">
        <v>27</v>
      </c>
      <c r="E1991">
        <v>33</v>
      </c>
      <c r="F1991">
        <v>0</v>
      </c>
      <c r="G1991">
        <v>17</v>
      </c>
      <c r="H1991">
        <v>0</v>
      </c>
      <c r="I1991">
        <v>9</v>
      </c>
      <c r="J1991" s="52"/>
    </row>
    <row r="1992" spans="1:10" hidden="1" x14ac:dyDescent="0.35">
      <c r="A1992" s="2">
        <v>45350</v>
      </c>
      <c r="B1992" t="s">
        <v>17</v>
      </c>
      <c r="C1992" t="s">
        <v>9</v>
      </c>
      <c r="E1992">
        <v>1</v>
      </c>
      <c r="F1992">
        <v>0</v>
      </c>
      <c r="G1992">
        <v>13</v>
      </c>
      <c r="H1992">
        <v>2</v>
      </c>
      <c r="I1992">
        <v>1</v>
      </c>
      <c r="J1992" s="52"/>
    </row>
    <row r="1993" spans="1:10" hidden="1" x14ac:dyDescent="0.35">
      <c r="A1993" s="2">
        <v>45350</v>
      </c>
      <c r="B1993" t="s">
        <v>101</v>
      </c>
      <c r="C1993" t="s">
        <v>9</v>
      </c>
      <c r="E1993">
        <v>30</v>
      </c>
      <c r="F1993">
        <v>1</v>
      </c>
      <c r="G1993">
        <v>15</v>
      </c>
      <c r="H1993">
        <v>0</v>
      </c>
      <c r="I1993">
        <v>11</v>
      </c>
      <c r="J1993" s="52"/>
    </row>
    <row r="1994" spans="1:10" hidden="1" x14ac:dyDescent="0.35">
      <c r="A1994" s="2">
        <v>45350</v>
      </c>
      <c r="B1994" t="s">
        <v>75</v>
      </c>
      <c r="C1994" t="s">
        <v>21</v>
      </c>
      <c r="E1994">
        <v>33</v>
      </c>
      <c r="F1994">
        <v>5</v>
      </c>
      <c r="G1994">
        <v>37</v>
      </c>
      <c r="H1994">
        <v>5</v>
      </c>
      <c r="I1994">
        <v>12</v>
      </c>
      <c r="J1994" s="52"/>
    </row>
    <row r="1995" spans="1:10" hidden="1" x14ac:dyDescent="0.35">
      <c r="A1995" s="2">
        <v>45350</v>
      </c>
      <c r="B1995" t="s">
        <v>72</v>
      </c>
      <c r="C1995" t="s">
        <v>54</v>
      </c>
      <c r="E1995">
        <v>4</v>
      </c>
      <c r="F1995">
        <v>1</v>
      </c>
      <c r="G1995">
        <v>29</v>
      </c>
      <c r="H1995">
        <v>16</v>
      </c>
      <c r="I1995">
        <v>4</v>
      </c>
      <c r="J1995" s="52"/>
    </row>
    <row r="1996" spans="1:10" hidden="1" x14ac:dyDescent="0.35">
      <c r="A1996" s="2">
        <v>45350</v>
      </c>
      <c r="B1996" t="s">
        <v>117</v>
      </c>
      <c r="C1996" t="s">
        <v>54</v>
      </c>
      <c r="E1996">
        <v>36</v>
      </c>
      <c r="F1996">
        <v>16</v>
      </c>
      <c r="G1996">
        <v>2</v>
      </c>
      <c r="H1996">
        <v>0</v>
      </c>
      <c r="I1996">
        <v>4</v>
      </c>
      <c r="J1996" s="52"/>
    </row>
    <row r="1997" spans="1:10" hidden="1" x14ac:dyDescent="0.35">
      <c r="A1997" s="2">
        <v>45350</v>
      </c>
      <c r="B1997" t="s">
        <v>57</v>
      </c>
      <c r="C1997" t="s">
        <v>55</v>
      </c>
      <c r="E1997">
        <v>24</v>
      </c>
      <c r="F1997">
        <v>3</v>
      </c>
      <c r="G1997">
        <v>14</v>
      </c>
      <c r="H1997">
        <v>15</v>
      </c>
      <c r="I1997">
        <v>10</v>
      </c>
      <c r="J1997" s="52"/>
    </row>
    <row r="1998" spans="1:10" hidden="1" x14ac:dyDescent="0.35">
      <c r="A1998" s="2">
        <v>45350</v>
      </c>
      <c r="B1998" t="s">
        <v>100</v>
      </c>
      <c r="C1998" t="s">
        <v>58</v>
      </c>
      <c r="E1998">
        <v>22</v>
      </c>
      <c r="F1998">
        <v>12</v>
      </c>
      <c r="G1998">
        <v>9</v>
      </c>
      <c r="H1998">
        <v>7</v>
      </c>
      <c r="I1998">
        <v>7</v>
      </c>
      <c r="J1998" s="52"/>
    </row>
    <row r="1999" spans="1:10" hidden="1" x14ac:dyDescent="0.35">
      <c r="A1999" s="2">
        <v>45350</v>
      </c>
      <c r="B1999" t="s">
        <v>107</v>
      </c>
      <c r="C1999" t="s">
        <v>58</v>
      </c>
      <c r="E1999">
        <v>20</v>
      </c>
      <c r="F1999">
        <v>7</v>
      </c>
      <c r="G1999">
        <v>11</v>
      </c>
      <c r="H1999">
        <v>2</v>
      </c>
      <c r="I1999">
        <v>8</v>
      </c>
      <c r="J1999" s="52"/>
    </row>
    <row r="2000" spans="1:10" hidden="1" x14ac:dyDescent="0.35">
      <c r="A2000" s="2">
        <v>45350</v>
      </c>
      <c r="B2000" t="s">
        <v>64</v>
      </c>
      <c r="C2000" t="s">
        <v>62</v>
      </c>
      <c r="E2000">
        <v>14</v>
      </c>
      <c r="F2000">
        <v>6</v>
      </c>
      <c r="G2000">
        <v>24</v>
      </c>
      <c r="H2000">
        <v>11</v>
      </c>
      <c r="I2000">
        <v>6</v>
      </c>
      <c r="J2000" s="52"/>
    </row>
    <row r="2001" spans="1:10" hidden="1" x14ac:dyDescent="0.35">
      <c r="A2001" s="2">
        <v>45350</v>
      </c>
      <c r="B2001" t="s">
        <v>97</v>
      </c>
      <c r="C2001" t="s">
        <v>61</v>
      </c>
      <c r="E2001">
        <v>32</v>
      </c>
      <c r="F2001">
        <v>8</v>
      </c>
      <c r="G2001">
        <v>9</v>
      </c>
      <c r="H2001">
        <v>7</v>
      </c>
      <c r="I2001">
        <v>3</v>
      </c>
      <c r="J2001" s="52"/>
    </row>
    <row r="2002" spans="1:10" hidden="1" x14ac:dyDescent="0.35">
      <c r="A2002" s="2">
        <v>45350</v>
      </c>
      <c r="B2002" t="s">
        <v>97</v>
      </c>
      <c r="C2002" t="s">
        <v>91</v>
      </c>
      <c r="E2002">
        <v>3</v>
      </c>
      <c r="F2002">
        <v>0</v>
      </c>
      <c r="G2002">
        <v>0</v>
      </c>
      <c r="H2002">
        <v>0</v>
      </c>
      <c r="I2002">
        <v>3</v>
      </c>
      <c r="J2002" s="52"/>
    </row>
    <row r="2003" spans="1:10" hidden="1" x14ac:dyDescent="0.35">
      <c r="A2003" s="2">
        <v>45350</v>
      </c>
      <c r="B2003" t="s">
        <v>118</v>
      </c>
      <c r="C2003" t="s">
        <v>91</v>
      </c>
      <c r="E2003">
        <v>10</v>
      </c>
      <c r="F2003">
        <v>0</v>
      </c>
      <c r="G2003">
        <v>3</v>
      </c>
      <c r="H2003">
        <v>1</v>
      </c>
      <c r="I2003">
        <v>1</v>
      </c>
      <c r="J2003" s="52"/>
    </row>
    <row r="2004" spans="1:10" hidden="1" x14ac:dyDescent="0.35">
      <c r="A2004" s="2">
        <v>45350</v>
      </c>
      <c r="B2004" t="s">
        <v>69</v>
      </c>
      <c r="C2004" t="s">
        <v>63</v>
      </c>
      <c r="E2004">
        <v>22</v>
      </c>
      <c r="F2004">
        <v>6</v>
      </c>
      <c r="G2004">
        <v>14</v>
      </c>
      <c r="H2004">
        <v>3</v>
      </c>
      <c r="I2004">
        <v>24</v>
      </c>
      <c r="J2004" s="52"/>
    </row>
    <row r="2005" spans="1:10" hidden="1" x14ac:dyDescent="0.35">
      <c r="A2005" s="2">
        <v>45350</v>
      </c>
      <c r="B2005" t="s">
        <v>77</v>
      </c>
      <c r="C2005" t="s">
        <v>73</v>
      </c>
      <c r="E2005">
        <v>10</v>
      </c>
      <c r="F2005">
        <v>4</v>
      </c>
      <c r="G2005">
        <v>15</v>
      </c>
      <c r="H2005">
        <v>21</v>
      </c>
      <c r="I2005">
        <v>2</v>
      </c>
      <c r="J2005" s="52"/>
    </row>
    <row r="2006" spans="1:10" hidden="1" x14ac:dyDescent="0.35">
      <c r="A2006" s="2">
        <v>45350</v>
      </c>
      <c r="B2006" t="s">
        <v>110</v>
      </c>
      <c r="C2006" t="s">
        <v>81</v>
      </c>
      <c r="E2006">
        <v>18</v>
      </c>
      <c r="F2006">
        <v>2</v>
      </c>
      <c r="G2006">
        <v>27</v>
      </c>
      <c r="H2006">
        <v>0</v>
      </c>
      <c r="I2006">
        <v>10</v>
      </c>
      <c r="J2006" s="52"/>
    </row>
    <row r="2007" spans="1:10" hidden="1" x14ac:dyDescent="0.35">
      <c r="A2007" s="2">
        <v>45350</v>
      </c>
      <c r="B2007" t="s">
        <v>85</v>
      </c>
      <c r="C2007" t="s">
        <v>83</v>
      </c>
      <c r="E2007">
        <v>18</v>
      </c>
      <c r="F2007">
        <v>7</v>
      </c>
      <c r="G2007">
        <v>31</v>
      </c>
      <c r="H2007">
        <v>6</v>
      </c>
      <c r="I2007">
        <v>8</v>
      </c>
      <c r="J2007" s="52"/>
    </row>
    <row r="2008" spans="1:10" hidden="1" x14ac:dyDescent="0.35">
      <c r="A2008" s="2">
        <v>45350</v>
      </c>
      <c r="B2008" t="s">
        <v>88</v>
      </c>
      <c r="C2008" t="s">
        <v>76</v>
      </c>
      <c r="E2008">
        <v>12</v>
      </c>
      <c r="F2008">
        <v>12</v>
      </c>
      <c r="G2008">
        <v>10</v>
      </c>
      <c r="H2008">
        <v>3</v>
      </c>
      <c r="I2008">
        <v>5</v>
      </c>
      <c r="J2008" s="52"/>
    </row>
    <row r="2009" spans="1:10" hidden="1" x14ac:dyDescent="0.35">
      <c r="A2009" s="2">
        <v>45350</v>
      </c>
      <c r="B2009" t="s">
        <v>89</v>
      </c>
      <c r="C2009" t="s">
        <v>87</v>
      </c>
      <c r="E2009">
        <v>5</v>
      </c>
      <c r="F2009">
        <v>1</v>
      </c>
      <c r="G2009">
        <v>6</v>
      </c>
      <c r="H2009">
        <v>0</v>
      </c>
      <c r="I2009">
        <v>2</v>
      </c>
      <c r="J2009" s="52"/>
    </row>
    <row r="2010" spans="1:10" hidden="1" x14ac:dyDescent="0.35">
      <c r="A2010" s="2">
        <v>45350</v>
      </c>
      <c r="B2010" t="s">
        <v>93</v>
      </c>
      <c r="C2010" t="s">
        <v>90</v>
      </c>
      <c r="E2010">
        <v>17</v>
      </c>
      <c r="F2010">
        <v>9</v>
      </c>
      <c r="G2010">
        <v>5</v>
      </c>
      <c r="H2010">
        <v>0</v>
      </c>
      <c r="I2010">
        <v>2</v>
      </c>
      <c r="J2010" s="52"/>
    </row>
    <row r="2011" spans="1:10" hidden="1" x14ac:dyDescent="0.35">
      <c r="A2011" s="2">
        <v>45350</v>
      </c>
      <c r="B2011" t="s">
        <v>99</v>
      </c>
      <c r="C2011" t="s">
        <v>92</v>
      </c>
      <c r="E2011">
        <v>19</v>
      </c>
      <c r="F2011">
        <v>1</v>
      </c>
      <c r="G2011">
        <v>10</v>
      </c>
      <c r="H2011">
        <v>1</v>
      </c>
      <c r="I2011">
        <v>3</v>
      </c>
      <c r="J2011" s="52"/>
    </row>
    <row r="2012" spans="1:10" hidden="1" x14ac:dyDescent="0.35">
      <c r="A2012" s="2">
        <v>45350</v>
      </c>
      <c r="B2012" t="s">
        <v>98</v>
      </c>
      <c r="C2012" t="s">
        <v>94</v>
      </c>
      <c r="E2012">
        <v>30</v>
      </c>
      <c r="F2012">
        <v>2</v>
      </c>
      <c r="G2012">
        <v>16</v>
      </c>
      <c r="H2012">
        <v>0</v>
      </c>
      <c r="I2012">
        <v>10</v>
      </c>
      <c r="J2012" s="52"/>
    </row>
    <row r="2013" spans="1:10" hidden="1" x14ac:dyDescent="0.35">
      <c r="A2013" s="2">
        <v>45350</v>
      </c>
      <c r="B2013" t="s">
        <v>106</v>
      </c>
      <c r="C2013" t="s">
        <v>103</v>
      </c>
      <c r="E2013">
        <v>7</v>
      </c>
      <c r="F2013">
        <v>1</v>
      </c>
      <c r="G2013">
        <v>7</v>
      </c>
      <c r="H2013">
        <v>1</v>
      </c>
      <c r="I2013">
        <v>3</v>
      </c>
      <c r="J2013" s="52"/>
    </row>
    <row r="2014" spans="1:10" hidden="1" x14ac:dyDescent="0.35">
      <c r="A2014" s="2">
        <v>45350</v>
      </c>
      <c r="B2014" t="s">
        <v>108</v>
      </c>
      <c r="C2014" t="s">
        <v>109</v>
      </c>
      <c r="E2014">
        <v>17</v>
      </c>
      <c r="F2014">
        <v>1</v>
      </c>
      <c r="G2014">
        <v>8</v>
      </c>
      <c r="H2014">
        <v>1</v>
      </c>
      <c r="I2014">
        <v>5</v>
      </c>
      <c r="J2014" s="52"/>
    </row>
    <row r="2015" spans="1:10" hidden="1" x14ac:dyDescent="0.35">
      <c r="A2015" s="2">
        <v>45350</v>
      </c>
      <c r="B2015" t="s">
        <v>114</v>
      </c>
      <c r="C2015" t="s">
        <v>111</v>
      </c>
      <c r="E2015">
        <v>11</v>
      </c>
      <c r="F2015">
        <v>1</v>
      </c>
      <c r="G2015">
        <v>3</v>
      </c>
      <c r="H2015">
        <v>0</v>
      </c>
      <c r="I2015">
        <v>4</v>
      </c>
      <c r="J2015" s="52"/>
    </row>
    <row r="2016" spans="1:10" hidden="1" x14ac:dyDescent="0.35">
      <c r="A2016" s="2">
        <v>45382</v>
      </c>
      <c r="C2016" t="s">
        <v>24</v>
      </c>
      <c r="D2016">
        <v>688</v>
      </c>
      <c r="J2016" s="58">
        <v>213800</v>
      </c>
    </row>
    <row r="2017" spans="1:10" hidden="1" x14ac:dyDescent="0.35">
      <c r="A2017" s="2">
        <v>45382</v>
      </c>
      <c r="C2017" t="s">
        <v>9</v>
      </c>
      <c r="D2017">
        <v>283</v>
      </c>
      <c r="J2017" s="58">
        <v>136450</v>
      </c>
    </row>
    <row r="2018" spans="1:10" hidden="1" x14ac:dyDescent="0.35">
      <c r="A2018" s="2">
        <v>45382</v>
      </c>
      <c r="C2018" t="s">
        <v>37</v>
      </c>
      <c r="D2018">
        <v>669</v>
      </c>
      <c r="J2018" s="58">
        <v>347900</v>
      </c>
    </row>
    <row r="2019" spans="1:10" hidden="1" x14ac:dyDescent="0.35">
      <c r="A2019" s="2">
        <v>45382</v>
      </c>
      <c r="C2019" t="s">
        <v>23</v>
      </c>
      <c r="D2019">
        <v>403</v>
      </c>
      <c r="J2019" s="58">
        <v>141950</v>
      </c>
    </row>
    <row r="2020" spans="1:10" hidden="1" x14ac:dyDescent="0.35">
      <c r="A2020" s="2">
        <v>45382</v>
      </c>
      <c r="C2020" t="s">
        <v>27</v>
      </c>
      <c r="D2020">
        <v>490</v>
      </c>
      <c r="J2020" s="58">
        <v>341400</v>
      </c>
    </row>
    <row r="2021" spans="1:10" hidden="1" x14ac:dyDescent="0.35">
      <c r="A2021" s="2">
        <v>45382</v>
      </c>
      <c r="C2021" t="s">
        <v>26</v>
      </c>
      <c r="D2021">
        <v>351</v>
      </c>
      <c r="J2021" s="58">
        <v>158500</v>
      </c>
    </row>
    <row r="2022" spans="1:10" hidden="1" x14ac:dyDescent="0.35">
      <c r="A2022" s="2">
        <v>45382</v>
      </c>
      <c r="C2022" t="s">
        <v>20</v>
      </c>
      <c r="D2022">
        <v>492</v>
      </c>
      <c r="J2022" s="58">
        <v>505200</v>
      </c>
    </row>
    <row r="2023" spans="1:10" hidden="1" x14ac:dyDescent="0.35">
      <c r="A2023" s="2">
        <v>45382</v>
      </c>
      <c r="C2023" t="s">
        <v>25</v>
      </c>
      <c r="D2023">
        <v>289</v>
      </c>
      <c r="J2023" s="58">
        <v>111600</v>
      </c>
    </row>
    <row r="2024" spans="1:10" hidden="1" x14ac:dyDescent="0.35">
      <c r="A2024" s="2">
        <v>45382</v>
      </c>
      <c r="C2024" t="s">
        <v>19</v>
      </c>
      <c r="D2024">
        <v>559</v>
      </c>
      <c r="J2024" s="58">
        <v>371350</v>
      </c>
    </row>
    <row r="2025" spans="1:10" hidden="1" x14ac:dyDescent="0.35">
      <c r="A2025" s="2">
        <v>45382</v>
      </c>
      <c r="C2025" t="s">
        <v>21</v>
      </c>
      <c r="D2025">
        <v>466</v>
      </c>
      <c r="J2025" s="58">
        <v>162900</v>
      </c>
    </row>
    <row r="2026" spans="1:10" hidden="1" x14ac:dyDescent="0.35">
      <c r="A2026" s="2">
        <v>45382</v>
      </c>
      <c r="C2026" t="s">
        <v>18</v>
      </c>
      <c r="D2026">
        <v>839</v>
      </c>
      <c r="J2026" s="58">
        <v>363950</v>
      </c>
    </row>
    <row r="2027" spans="1:10" hidden="1" x14ac:dyDescent="0.35">
      <c r="A2027" s="2">
        <v>45382</v>
      </c>
      <c r="C2027" t="s">
        <v>22</v>
      </c>
      <c r="D2027">
        <v>566</v>
      </c>
      <c r="J2027" s="58">
        <v>322950</v>
      </c>
    </row>
    <row r="2028" spans="1:10" hidden="1" x14ac:dyDescent="0.35">
      <c r="A2028" s="2">
        <v>45382</v>
      </c>
      <c r="C2028" t="s">
        <v>54</v>
      </c>
      <c r="D2028">
        <v>671</v>
      </c>
      <c r="J2028" s="58">
        <v>122000</v>
      </c>
    </row>
    <row r="2029" spans="1:10" hidden="1" x14ac:dyDescent="0.35">
      <c r="A2029" s="2">
        <v>45382</v>
      </c>
      <c r="C2029" t="s">
        <v>55</v>
      </c>
      <c r="D2029">
        <v>520</v>
      </c>
      <c r="J2029" s="58">
        <v>100880</v>
      </c>
    </row>
    <row r="2030" spans="1:10" hidden="1" x14ac:dyDescent="0.35">
      <c r="A2030" s="2">
        <v>45382</v>
      </c>
      <c r="C2030" t="s">
        <v>58</v>
      </c>
      <c r="D2030">
        <v>550</v>
      </c>
      <c r="J2030" s="58">
        <v>234350</v>
      </c>
    </row>
    <row r="2031" spans="1:10" hidden="1" x14ac:dyDescent="0.35">
      <c r="A2031" s="2">
        <v>45382</v>
      </c>
      <c r="C2031" t="s">
        <v>62</v>
      </c>
      <c r="D2031">
        <v>538</v>
      </c>
      <c r="J2031" s="58">
        <v>38200</v>
      </c>
    </row>
    <row r="2032" spans="1:10" hidden="1" x14ac:dyDescent="0.35">
      <c r="A2032" s="2">
        <v>45382</v>
      </c>
      <c r="C2032" t="s">
        <v>61</v>
      </c>
      <c r="D2032">
        <v>170</v>
      </c>
      <c r="J2032" s="58">
        <v>164000</v>
      </c>
    </row>
    <row r="2033" spans="1:10" hidden="1" x14ac:dyDescent="0.35">
      <c r="A2033" s="2">
        <v>45382</v>
      </c>
      <c r="C2033" t="s">
        <v>63</v>
      </c>
      <c r="D2033">
        <v>196</v>
      </c>
      <c r="J2033" s="58">
        <v>320800</v>
      </c>
    </row>
    <row r="2034" spans="1:10" hidden="1" x14ac:dyDescent="0.35">
      <c r="A2034" s="2">
        <v>45382</v>
      </c>
      <c r="C2034" t="s">
        <v>73</v>
      </c>
      <c r="D2034">
        <v>501</v>
      </c>
      <c r="J2034" s="58">
        <v>55800</v>
      </c>
    </row>
    <row r="2035" spans="1:10" hidden="1" x14ac:dyDescent="0.35">
      <c r="A2035" s="2">
        <v>45382</v>
      </c>
      <c r="C2035" t="s">
        <v>76</v>
      </c>
      <c r="D2035">
        <v>335</v>
      </c>
      <c r="J2035" s="58">
        <v>39500</v>
      </c>
    </row>
    <row r="2036" spans="1:10" hidden="1" x14ac:dyDescent="0.35">
      <c r="A2036" s="2">
        <v>45382</v>
      </c>
      <c r="C2036" t="s">
        <v>81</v>
      </c>
      <c r="D2036">
        <v>369</v>
      </c>
      <c r="J2036" s="58">
        <v>132500</v>
      </c>
    </row>
    <row r="2037" spans="1:10" hidden="1" x14ac:dyDescent="0.35">
      <c r="A2037" s="2">
        <v>45382</v>
      </c>
      <c r="C2037" t="s">
        <v>83</v>
      </c>
      <c r="D2037">
        <v>316</v>
      </c>
      <c r="J2037" s="58">
        <v>137400</v>
      </c>
    </row>
    <row r="2038" spans="1:10" hidden="1" x14ac:dyDescent="0.35">
      <c r="A2038" s="2">
        <v>45382</v>
      </c>
      <c r="C2038" t="s">
        <v>87</v>
      </c>
      <c r="D2038">
        <v>162</v>
      </c>
      <c r="J2038" s="58">
        <v>95300</v>
      </c>
    </row>
    <row r="2039" spans="1:10" hidden="1" x14ac:dyDescent="0.35">
      <c r="A2039" s="2">
        <v>45382</v>
      </c>
      <c r="C2039" t="s">
        <v>90</v>
      </c>
      <c r="D2039">
        <v>458</v>
      </c>
      <c r="J2039" s="58">
        <v>38000</v>
      </c>
    </row>
    <row r="2040" spans="1:10" hidden="1" x14ac:dyDescent="0.35">
      <c r="A2040" s="2">
        <v>45382</v>
      </c>
      <c r="C2040" t="s">
        <v>91</v>
      </c>
      <c r="D2040">
        <v>191</v>
      </c>
      <c r="J2040" s="58">
        <v>26490</v>
      </c>
    </row>
    <row r="2041" spans="1:10" hidden="1" x14ac:dyDescent="0.35">
      <c r="A2041" s="2">
        <v>45382</v>
      </c>
      <c r="C2041" t="s">
        <v>92</v>
      </c>
      <c r="D2041">
        <v>354</v>
      </c>
      <c r="J2041" s="58">
        <v>84000</v>
      </c>
    </row>
    <row r="2042" spans="1:10" hidden="1" x14ac:dyDescent="0.35">
      <c r="A2042" s="2">
        <v>45382</v>
      </c>
      <c r="C2042" t="s">
        <v>94</v>
      </c>
      <c r="D2042">
        <v>263</v>
      </c>
      <c r="J2042" s="58">
        <v>147500</v>
      </c>
    </row>
    <row r="2043" spans="1:10" hidden="1" x14ac:dyDescent="0.35">
      <c r="A2043" s="2">
        <v>45382</v>
      </c>
      <c r="C2043" t="s">
        <v>103</v>
      </c>
      <c r="D2043">
        <v>255</v>
      </c>
      <c r="J2043" s="58">
        <v>13000</v>
      </c>
    </row>
    <row r="2044" spans="1:10" hidden="1" x14ac:dyDescent="0.35">
      <c r="A2044" s="2">
        <v>45382</v>
      </c>
      <c r="C2044" t="s">
        <v>109</v>
      </c>
      <c r="D2044">
        <v>256</v>
      </c>
      <c r="J2044" s="58">
        <v>29500</v>
      </c>
    </row>
    <row r="2045" spans="1:10" hidden="1" x14ac:dyDescent="0.35">
      <c r="A2045" s="2">
        <v>45382</v>
      </c>
      <c r="C2045" t="s">
        <v>111</v>
      </c>
      <c r="D2045">
        <v>282</v>
      </c>
      <c r="J2045" s="58">
        <v>41000</v>
      </c>
    </row>
    <row r="2046" spans="1:10" hidden="1" x14ac:dyDescent="0.35">
      <c r="A2046" s="2">
        <v>45382</v>
      </c>
      <c r="C2046" t="s">
        <v>115</v>
      </c>
      <c r="D2046">
        <v>254</v>
      </c>
      <c r="J2046" s="58">
        <v>26000</v>
      </c>
    </row>
    <row r="2047" spans="1:10" hidden="1" x14ac:dyDescent="0.35">
      <c r="A2047" s="2">
        <v>45382</v>
      </c>
      <c r="B2047" t="s">
        <v>36</v>
      </c>
      <c r="C2047" t="s">
        <v>20</v>
      </c>
      <c r="E2047">
        <v>38</v>
      </c>
      <c r="F2047">
        <v>12</v>
      </c>
      <c r="G2047">
        <v>74</v>
      </c>
      <c r="H2047">
        <v>10</v>
      </c>
      <c r="I2047">
        <v>26</v>
      </c>
      <c r="J2047" s="52"/>
    </row>
    <row r="2048" spans="1:10" hidden="1" x14ac:dyDescent="0.35">
      <c r="A2048" s="2">
        <v>45382</v>
      </c>
      <c r="B2048" t="s">
        <v>110</v>
      </c>
      <c r="C2048" t="s">
        <v>20</v>
      </c>
      <c r="E2048">
        <v>15</v>
      </c>
      <c r="F2048">
        <v>2</v>
      </c>
      <c r="G2048">
        <v>32</v>
      </c>
      <c r="H2048">
        <v>4</v>
      </c>
      <c r="I2048">
        <v>9</v>
      </c>
      <c r="J2048" s="52"/>
    </row>
    <row r="2049" spans="1:10" hidden="1" x14ac:dyDescent="0.35">
      <c r="A2049" s="2">
        <v>45382</v>
      </c>
      <c r="B2049" t="s">
        <v>113</v>
      </c>
      <c r="C2049" t="s">
        <v>26</v>
      </c>
      <c r="E2049">
        <v>15</v>
      </c>
      <c r="F2049">
        <v>0</v>
      </c>
      <c r="G2049">
        <v>37</v>
      </c>
      <c r="H2049">
        <v>5</v>
      </c>
      <c r="I2049">
        <v>12</v>
      </c>
      <c r="J2049" s="52"/>
    </row>
    <row r="2050" spans="1:10" hidden="1" x14ac:dyDescent="0.35">
      <c r="A2050" s="2">
        <v>45382</v>
      </c>
      <c r="B2050" t="s">
        <v>113</v>
      </c>
      <c r="C2050" t="s">
        <v>115</v>
      </c>
      <c r="E2050">
        <v>8</v>
      </c>
      <c r="F2050">
        <v>1</v>
      </c>
      <c r="G2050">
        <v>4</v>
      </c>
      <c r="H2050">
        <v>0</v>
      </c>
      <c r="I2050">
        <v>2</v>
      </c>
      <c r="J2050" s="52"/>
    </row>
    <row r="2051" spans="1:10" hidden="1" x14ac:dyDescent="0.35">
      <c r="A2051" s="2">
        <v>45382</v>
      </c>
      <c r="B2051" t="s">
        <v>38</v>
      </c>
      <c r="C2051" t="s">
        <v>18</v>
      </c>
      <c r="E2051">
        <v>25</v>
      </c>
      <c r="F2051">
        <v>15</v>
      </c>
      <c r="G2051">
        <v>40</v>
      </c>
      <c r="H2051">
        <v>14</v>
      </c>
      <c r="I2051">
        <v>17</v>
      </c>
      <c r="J2051" s="52"/>
    </row>
    <row r="2052" spans="1:10" hidden="1" x14ac:dyDescent="0.35">
      <c r="A2052" s="2">
        <v>45382</v>
      </c>
      <c r="B2052" t="s">
        <v>116</v>
      </c>
      <c r="C2052" t="s">
        <v>18</v>
      </c>
      <c r="E2052">
        <v>20</v>
      </c>
      <c r="F2052">
        <v>23</v>
      </c>
      <c r="G2052">
        <v>13</v>
      </c>
      <c r="H2052">
        <v>11</v>
      </c>
      <c r="I2052">
        <v>9</v>
      </c>
      <c r="J2052" s="52"/>
    </row>
    <row r="2053" spans="1:10" hidden="1" x14ac:dyDescent="0.35">
      <c r="A2053" s="2">
        <v>45382</v>
      </c>
      <c r="B2053" t="s">
        <v>13</v>
      </c>
      <c r="C2053" t="s">
        <v>25</v>
      </c>
      <c r="E2053">
        <v>28</v>
      </c>
      <c r="F2053">
        <v>3</v>
      </c>
      <c r="G2053">
        <v>14</v>
      </c>
      <c r="H2053">
        <v>3</v>
      </c>
      <c r="I2053">
        <v>8</v>
      </c>
      <c r="J2053" s="52"/>
    </row>
    <row r="2054" spans="1:10" hidden="1" x14ac:dyDescent="0.35">
      <c r="A2054" s="2">
        <v>45382</v>
      </c>
      <c r="B2054" t="s">
        <v>104</v>
      </c>
      <c r="C2054" t="s">
        <v>23</v>
      </c>
      <c r="E2054">
        <v>14</v>
      </c>
      <c r="F2054">
        <v>2</v>
      </c>
      <c r="G2054">
        <v>16</v>
      </c>
      <c r="H2054">
        <v>0</v>
      </c>
      <c r="I2054">
        <v>11</v>
      </c>
      <c r="J2054" s="52"/>
    </row>
    <row r="2055" spans="1:10" hidden="1" x14ac:dyDescent="0.35">
      <c r="A2055" s="2">
        <v>45382</v>
      </c>
      <c r="B2055" t="s">
        <v>102</v>
      </c>
      <c r="C2055" t="s">
        <v>24</v>
      </c>
      <c r="E2055">
        <v>0</v>
      </c>
      <c r="F2055">
        <v>1</v>
      </c>
      <c r="G2055">
        <v>7</v>
      </c>
      <c r="H2055">
        <v>1</v>
      </c>
      <c r="I2055">
        <v>1</v>
      </c>
      <c r="J2055" s="52"/>
    </row>
    <row r="2056" spans="1:10" hidden="1" x14ac:dyDescent="0.35">
      <c r="A2056" s="2">
        <v>45382</v>
      </c>
      <c r="B2056" t="s">
        <v>96</v>
      </c>
      <c r="C2056" t="s">
        <v>24</v>
      </c>
      <c r="E2056">
        <v>25</v>
      </c>
      <c r="F2056">
        <v>0</v>
      </c>
      <c r="G2056">
        <v>7</v>
      </c>
      <c r="H2056">
        <v>0</v>
      </c>
      <c r="I2056">
        <v>14</v>
      </c>
      <c r="J2056" s="52"/>
    </row>
    <row r="2057" spans="1:10" hidden="1" x14ac:dyDescent="0.35">
      <c r="A2057" s="2">
        <v>45382</v>
      </c>
      <c r="B2057" t="s">
        <v>96</v>
      </c>
      <c r="C2057" t="s">
        <v>37</v>
      </c>
      <c r="E2057">
        <v>3</v>
      </c>
      <c r="F2057">
        <v>0</v>
      </c>
      <c r="G2057">
        <v>2</v>
      </c>
      <c r="H2057">
        <v>1</v>
      </c>
      <c r="I2057">
        <v>3</v>
      </c>
      <c r="J2057" s="52"/>
    </row>
    <row r="2058" spans="1:10" hidden="1" x14ac:dyDescent="0.35">
      <c r="A2058" s="2">
        <v>45382</v>
      </c>
      <c r="B2058" t="s">
        <v>17</v>
      </c>
      <c r="C2058" t="s">
        <v>37</v>
      </c>
      <c r="E2058">
        <v>10</v>
      </c>
      <c r="F2058">
        <v>1</v>
      </c>
      <c r="G2058">
        <v>25</v>
      </c>
      <c r="H2058">
        <v>4</v>
      </c>
      <c r="I2058">
        <v>9</v>
      </c>
      <c r="J2058" s="52"/>
    </row>
    <row r="2059" spans="1:10" hidden="1" x14ac:dyDescent="0.35">
      <c r="A2059" s="2">
        <v>45382</v>
      </c>
      <c r="B2059" t="s">
        <v>50</v>
      </c>
      <c r="C2059" t="s">
        <v>37</v>
      </c>
      <c r="E2059">
        <v>10</v>
      </c>
      <c r="F2059">
        <v>5</v>
      </c>
      <c r="G2059">
        <v>14</v>
      </c>
      <c r="H2059">
        <v>3</v>
      </c>
      <c r="I2059">
        <v>1</v>
      </c>
      <c r="J2059" s="52"/>
    </row>
    <row r="2060" spans="1:10" hidden="1" x14ac:dyDescent="0.35">
      <c r="A2060" s="2">
        <v>45382</v>
      </c>
      <c r="B2060" t="s">
        <v>102</v>
      </c>
      <c r="C2060" t="s">
        <v>37</v>
      </c>
      <c r="E2060">
        <v>19</v>
      </c>
      <c r="F2060">
        <v>12</v>
      </c>
      <c r="G2060">
        <v>20</v>
      </c>
      <c r="H2060">
        <v>4</v>
      </c>
      <c r="I2060">
        <v>12</v>
      </c>
      <c r="J2060" s="52"/>
    </row>
    <row r="2061" spans="1:10" hidden="1" x14ac:dyDescent="0.35">
      <c r="A2061" s="2">
        <v>45382</v>
      </c>
      <c r="B2061" t="s">
        <v>112</v>
      </c>
      <c r="C2061" t="s">
        <v>19</v>
      </c>
      <c r="E2061">
        <v>27</v>
      </c>
      <c r="F2061">
        <v>6</v>
      </c>
      <c r="G2061">
        <v>60</v>
      </c>
      <c r="H2061">
        <v>7</v>
      </c>
      <c r="I2061">
        <v>16</v>
      </c>
      <c r="J2061" s="52"/>
    </row>
    <row r="2062" spans="1:10" hidden="1" x14ac:dyDescent="0.35">
      <c r="A2062" s="2">
        <v>45382</v>
      </c>
      <c r="B2062" t="s">
        <v>40</v>
      </c>
      <c r="C2062" t="s">
        <v>19</v>
      </c>
      <c r="E2062">
        <v>18</v>
      </c>
      <c r="F2062">
        <v>6</v>
      </c>
      <c r="G2062">
        <v>58</v>
      </c>
      <c r="H2062">
        <v>0</v>
      </c>
      <c r="I2062">
        <v>10</v>
      </c>
      <c r="J2062" s="52"/>
    </row>
    <row r="2063" spans="1:10" hidden="1" x14ac:dyDescent="0.35">
      <c r="A2063" s="2">
        <v>45382</v>
      </c>
      <c r="B2063" t="s">
        <v>95</v>
      </c>
      <c r="C2063" t="s">
        <v>22</v>
      </c>
      <c r="E2063">
        <v>17</v>
      </c>
      <c r="F2063">
        <v>10</v>
      </c>
      <c r="G2063">
        <v>18</v>
      </c>
      <c r="H2063">
        <v>6</v>
      </c>
      <c r="I2063">
        <v>9</v>
      </c>
      <c r="J2063" s="52"/>
    </row>
    <row r="2064" spans="1:10" hidden="1" x14ac:dyDescent="0.35">
      <c r="A2064" s="2">
        <v>45382</v>
      </c>
      <c r="B2064" t="s">
        <v>105</v>
      </c>
      <c r="C2064" t="s">
        <v>22</v>
      </c>
      <c r="E2064">
        <v>18</v>
      </c>
      <c r="F2064">
        <v>13</v>
      </c>
      <c r="G2064">
        <v>12</v>
      </c>
      <c r="H2064">
        <v>12</v>
      </c>
      <c r="I2064">
        <v>15</v>
      </c>
      <c r="J2064" s="52"/>
    </row>
    <row r="2065" spans="1:10" hidden="1" x14ac:dyDescent="0.35">
      <c r="A2065" s="2">
        <v>45382</v>
      </c>
      <c r="B2065" t="s">
        <v>43</v>
      </c>
      <c r="C2065" t="s">
        <v>27</v>
      </c>
      <c r="E2065">
        <v>5</v>
      </c>
      <c r="F2065">
        <v>0</v>
      </c>
      <c r="G2065">
        <v>22</v>
      </c>
      <c r="H2065">
        <v>0</v>
      </c>
      <c r="I2065">
        <v>10</v>
      </c>
      <c r="J2065" s="52"/>
    </row>
    <row r="2066" spans="1:10" hidden="1" x14ac:dyDescent="0.35">
      <c r="A2066" s="2">
        <v>45382</v>
      </c>
      <c r="B2066" t="s">
        <v>84</v>
      </c>
      <c r="C2066" t="s">
        <v>27</v>
      </c>
      <c r="E2066">
        <v>38</v>
      </c>
      <c r="F2066">
        <v>0</v>
      </c>
      <c r="G2066">
        <v>19</v>
      </c>
      <c r="H2066">
        <v>0</v>
      </c>
      <c r="I2066">
        <v>12</v>
      </c>
      <c r="J2066" s="52"/>
    </row>
    <row r="2067" spans="1:10" hidden="1" x14ac:dyDescent="0.35">
      <c r="A2067" s="2">
        <v>45382</v>
      </c>
      <c r="B2067" t="s">
        <v>17</v>
      </c>
      <c r="C2067" t="s">
        <v>9</v>
      </c>
      <c r="E2067">
        <v>1</v>
      </c>
      <c r="F2067">
        <v>0</v>
      </c>
      <c r="G2067">
        <v>1</v>
      </c>
      <c r="H2067">
        <v>0</v>
      </c>
      <c r="I2067">
        <v>1</v>
      </c>
      <c r="J2067" s="52"/>
    </row>
    <row r="2068" spans="1:10" hidden="1" x14ac:dyDescent="0.35">
      <c r="A2068" s="2">
        <v>45382</v>
      </c>
      <c r="B2068" t="s">
        <v>101</v>
      </c>
      <c r="C2068" t="s">
        <v>9</v>
      </c>
      <c r="E2068">
        <v>26</v>
      </c>
      <c r="F2068">
        <v>0</v>
      </c>
      <c r="G2068">
        <v>27</v>
      </c>
      <c r="H2068">
        <v>0</v>
      </c>
      <c r="I2068">
        <v>9</v>
      </c>
      <c r="J2068" s="52"/>
    </row>
    <row r="2069" spans="1:10" hidden="1" x14ac:dyDescent="0.35">
      <c r="A2069" s="2">
        <v>45382</v>
      </c>
      <c r="B2069" t="s">
        <v>75</v>
      </c>
      <c r="C2069" t="s">
        <v>21</v>
      </c>
      <c r="E2069">
        <v>29</v>
      </c>
      <c r="F2069">
        <v>8</v>
      </c>
      <c r="G2069">
        <v>35</v>
      </c>
      <c r="H2069">
        <v>3</v>
      </c>
      <c r="I2069">
        <v>11</v>
      </c>
      <c r="J2069" s="52"/>
    </row>
    <row r="2070" spans="1:10" hidden="1" x14ac:dyDescent="0.35">
      <c r="A2070" s="2">
        <v>45382</v>
      </c>
      <c r="B2070" t="s">
        <v>117</v>
      </c>
      <c r="C2070" t="s">
        <v>54</v>
      </c>
      <c r="E2070">
        <v>31</v>
      </c>
      <c r="F2070">
        <v>8</v>
      </c>
      <c r="G2070">
        <v>24</v>
      </c>
      <c r="H2070">
        <v>3</v>
      </c>
      <c r="I2070">
        <v>8</v>
      </c>
      <c r="J2070" s="52"/>
    </row>
    <row r="2071" spans="1:10" hidden="1" x14ac:dyDescent="0.35">
      <c r="A2071" s="2">
        <v>45382</v>
      </c>
      <c r="B2071" t="s">
        <v>57</v>
      </c>
      <c r="C2071" t="s">
        <v>55</v>
      </c>
      <c r="E2071">
        <v>19</v>
      </c>
      <c r="F2071">
        <v>4</v>
      </c>
      <c r="G2071">
        <v>20</v>
      </c>
      <c r="H2071">
        <v>5</v>
      </c>
      <c r="I2071">
        <v>8</v>
      </c>
      <c r="J2071" s="52"/>
    </row>
    <row r="2072" spans="1:10" hidden="1" x14ac:dyDescent="0.35">
      <c r="A2072" s="2">
        <v>45382</v>
      </c>
      <c r="B2072" t="s">
        <v>100</v>
      </c>
      <c r="C2072" t="s">
        <v>58</v>
      </c>
      <c r="E2072">
        <v>19</v>
      </c>
      <c r="F2072">
        <v>7</v>
      </c>
      <c r="G2072">
        <v>12</v>
      </c>
      <c r="H2072">
        <v>12</v>
      </c>
      <c r="I2072">
        <v>6</v>
      </c>
      <c r="J2072" s="52"/>
    </row>
    <row r="2073" spans="1:10" hidden="1" x14ac:dyDescent="0.35">
      <c r="A2073" s="2">
        <v>45382</v>
      </c>
      <c r="B2073" t="s">
        <v>107</v>
      </c>
      <c r="C2073" t="s">
        <v>58</v>
      </c>
      <c r="E2073">
        <v>40</v>
      </c>
      <c r="F2073">
        <v>6</v>
      </c>
      <c r="G2073">
        <v>20</v>
      </c>
      <c r="H2073">
        <v>9</v>
      </c>
      <c r="I2073">
        <v>11</v>
      </c>
      <c r="J2073" s="52"/>
    </row>
    <row r="2074" spans="1:10" hidden="1" x14ac:dyDescent="0.35">
      <c r="A2074" s="2">
        <v>45382</v>
      </c>
      <c r="B2074" t="s">
        <v>64</v>
      </c>
      <c r="C2074" t="s">
        <v>62</v>
      </c>
      <c r="E2074">
        <v>18</v>
      </c>
      <c r="F2074">
        <v>4</v>
      </c>
      <c r="G2074">
        <v>33</v>
      </c>
      <c r="H2074">
        <v>4</v>
      </c>
      <c r="I2074">
        <v>3</v>
      </c>
      <c r="J2074" s="52"/>
    </row>
    <row r="2075" spans="1:10" hidden="1" x14ac:dyDescent="0.35">
      <c r="A2075" s="2">
        <v>45382</v>
      </c>
      <c r="B2075" t="s">
        <v>97</v>
      </c>
      <c r="C2075" t="s">
        <v>61</v>
      </c>
      <c r="E2075">
        <v>20</v>
      </c>
      <c r="F2075">
        <v>3</v>
      </c>
      <c r="G2075">
        <v>7</v>
      </c>
      <c r="H2075">
        <v>4</v>
      </c>
      <c r="I2075">
        <v>11</v>
      </c>
      <c r="J2075" s="52"/>
    </row>
    <row r="2076" spans="1:10" hidden="1" x14ac:dyDescent="0.35">
      <c r="A2076" s="2">
        <v>45382</v>
      </c>
      <c r="B2076" t="s">
        <v>118</v>
      </c>
      <c r="C2076" t="s">
        <v>61</v>
      </c>
      <c r="E2076">
        <v>6</v>
      </c>
      <c r="F2076">
        <v>0</v>
      </c>
      <c r="G2076">
        <v>1</v>
      </c>
      <c r="H2076">
        <v>0</v>
      </c>
      <c r="I2076">
        <v>2</v>
      </c>
      <c r="J2076" s="52"/>
    </row>
    <row r="2077" spans="1:10" hidden="1" x14ac:dyDescent="0.35">
      <c r="A2077" s="2">
        <v>45382</v>
      </c>
      <c r="B2077" t="s">
        <v>118</v>
      </c>
      <c r="C2077" t="s">
        <v>91</v>
      </c>
      <c r="E2077">
        <v>13</v>
      </c>
      <c r="F2077">
        <v>2</v>
      </c>
      <c r="G2077">
        <v>4</v>
      </c>
      <c r="H2077">
        <v>1</v>
      </c>
      <c r="I2077">
        <v>2</v>
      </c>
      <c r="J2077" s="52"/>
    </row>
    <row r="2078" spans="1:10" hidden="1" x14ac:dyDescent="0.35">
      <c r="A2078" s="2">
        <v>45382</v>
      </c>
      <c r="B2078" t="s">
        <v>69</v>
      </c>
      <c r="C2078" t="s">
        <v>63</v>
      </c>
      <c r="E2078">
        <v>11</v>
      </c>
      <c r="F2078">
        <v>6</v>
      </c>
      <c r="G2078">
        <v>34</v>
      </c>
      <c r="H2078">
        <v>3</v>
      </c>
      <c r="I2078">
        <v>24</v>
      </c>
      <c r="J2078" s="52"/>
    </row>
    <row r="2079" spans="1:10" hidden="1" x14ac:dyDescent="0.35">
      <c r="A2079" s="2">
        <v>45382</v>
      </c>
      <c r="B2079" t="s">
        <v>77</v>
      </c>
      <c r="C2079" t="s">
        <v>73</v>
      </c>
      <c r="E2079">
        <v>13</v>
      </c>
      <c r="F2079">
        <v>8</v>
      </c>
      <c r="G2079">
        <v>22</v>
      </c>
      <c r="H2079">
        <v>14</v>
      </c>
      <c r="I2079">
        <v>4</v>
      </c>
      <c r="J2079" s="52"/>
    </row>
    <row r="2080" spans="1:10" hidden="1" x14ac:dyDescent="0.35">
      <c r="A2080" s="2">
        <v>45382</v>
      </c>
      <c r="B2080" t="s">
        <v>110</v>
      </c>
      <c r="C2080" t="s">
        <v>81</v>
      </c>
      <c r="E2080">
        <v>18</v>
      </c>
      <c r="F2080">
        <v>2</v>
      </c>
      <c r="G2080">
        <v>18</v>
      </c>
      <c r="H2080">
        <v>0</v>
      </c>
      <c r="I2080">
        <v>10</v>
      </c>
      <c r="J2080" s="52"/>
    </row>
    <row r="2081" spans="1:10" hidden="1" x14ac:dyDescent="0.35">
      <c r="A2081" s="2">
        <v>45382</v>
      </c>
      <c r="B2081" t="s">
        <v>85</v>
      </c>
      <c r="C2081" t="s">
        <v>83</v>
      </c>
      <c r="E2081">
        <v>15</v>
      </c>
      <c r="F2081">
        <v>2</v>
      </c>
      <c r="G2081">
        <v>21</v>
      </c>
      <c r="H2081">
        <v>7</v>
      </c>
      <c r="I2081">
        <v>10</v>
      </c>
      <c r="J2081" s="52"/>
    </row>
    <row r="2082" spans="1:10" hidden="1" x14ac:dyDescent="0.35">
      <c r="A2082" s="2">
        <v>45382</v>
      </c>
      <c r="B2082" t="s">
        <v>88</v>
      </c>
      <c r="C2082" t="s">
        <v>76</v>
      </c>
      <c r="E2082">
        <v>12</v>
      </c>
      <c r="F2082">
        <v>6</v>
      </c>
      <c r="G2082">
        <v>4</v>
      </c>
      <c r="H2082">
        <v>3</v>
      </c>
      <c r="I2082">
        <v>3</v>
      </c>
      <c r="J2082" s="52"/>
    </row>
    <row r="2083" spans="1:10" hidden="1" x14ac:dyDescent="0.35">
      <c r="A2083" s="2">
        <v>45382</v>
      </c>
      <c r="B2083" t="s">
        <v>89</v>
      </c>
      <c r="C2083" t="s">
        <v>87</v>
      </c>
      <c r="E2083">
        <v>10</v>
      </c>
      <c r="F2083">
        <v>4</v>
      </c>
      <c r="G2083">
        <v>10</v>
      </c>
      <c r="H2083">
        <v>2</v>
      </c>
      <c r="I2083">
        <v>7</v>
      </c>
      <c r="J2083" s="52"/>
    </row>
    <row r="2084" spans="1:10" hidden="1" x14ac:dyDescent="0.35">
      <c r="A2084" s="2">
        <v>45382</v>
      </c>
      <c r="B2084" t="s">
        <v>93</v>
      </c>
      <c r="C2084" t="s">
        <v>90</v>
      </c>
      <c r="E2084">
        <v>10</v>
      </c>
      <c r="F2084">
        <v>3</v>
      </c>
      <c r="G2084">
        <v>5</v>
      </c>
      <c r="H2084">
        <v>0</v>
      </c>
      <c r="I2084">
        <v>3</v>
      </c>
      <c r="J2084" s="52"/>
    </row>
    <row r="2085" spans="1:10" hidden="1" x14ac:dyDescent="0.35">
      <c r="A2085" s="2">
        <v>45382</v>
      </c>
      <c r="B2085" t="s">
        <v>99</v>
      </c>
      <c r="C2085" t="s">
        <v>92</v>
      </c>
      <c r="E2085">
        <v>12</v>
      </c>
      <c r="F2085">
        <v>3</v>
      </c>
      <c r="G2085">
        <v>15</v>
      </c>
      <c r="H2085">
        <v>1</v>
      </c>
      <c r="I2085">
        <v>6</v>
      </c>
      <c r="J2085" s="52"/>
    </row>
    <row r="2086" spans="1:10" hidden="1" x14ac:dyDescent="0.35">
      <c r="A2086" s="2">
        <v>45382</v>
      </c>
      <c r="B2086" t="s">
        <v>98</v>
      </c>
      <c r="C2086" t="s">
        <v>94</v>
      </c>
      <c r="E2086">
        <v>25</v>
      </c>
      <c r="F2086">
        <v>2</v>
      </c>
      <c r="G2086">
        <v>17</v>
      </c>
      <c r="H2086">
        <v>1</v>
      </c>
      <c r="I2086">
        <v>10</v>
      </c>
      <c r="J2086" s="52"/>
    </row>
    <row r="2087" spans="1:10" hidden="1" x14ac:dyDescent="0.35">
      <c r="A2087" s="2">
        <v>45382</v>
      </c>
      <c r="B2087" t="s">
        <v>106</v>
      </c>
      <c r="C2087" t="s">
        <v>103</v>
      </c>
      <c r="E2087">
        <v>19</v>
      </c>
      <c r="F2087">
        <v>4</v>
      </c>
      <c r="G2087">
        <v>7</v>
      </c>
      <c r="H2087">
        <v>1</v>
      </c>
      <c r="I2087">
        <v>1</v>
      </c>
      <c r="J2087" s="52"/>
    </row>
    <row r="2088" spans="1:10" hidden="1" x14ac:dyDescent="0.35">
      <c r="A2088" s="2">
        <v>45382</v>
      </c>
      <c r="B2088" t="s">
        <v>108</v>
      </c>
      <c r="C2088" t="s">
        <v>109</v>
      </c>
      <c r="E2088">
        <v>15</v>
      </c>
      <c r="F2088">
        <v>4</v>
      </c>
      <c r="G2088">
        <v>2</v>
      </c>
      <c r="H2088">
        <v>1</v>
      </c>
      <c r="I2088">
        <v>2</v>
      </c>
      <c r="J2088" s="52"/>
    </row>
    <row r="2089" spans="1:10" hidden="1" x14ac:dyDescent="0.35">
      <c r="A2089" s="2">
        <v>45382</v>
      </c>
      <c r="B2089" t="s">
        <v>114</v>
      </c>
      <c r="C2089" t="s">
        <v>111</v>
      </c>
      <c r="E2089">
        <v>12</v>
      </c>
      <c r="F2089">
        <v>2</v>
      </c>
      <c r="G2089">
        <v>3</v>
      </c>
      <c r="H2089">
        <v>0</v>
      </c>
      <c r="I2089">
        <v>3</v>
      </c>
      <c r="J2089" s="52"/>
    </row>
    <row r="2090" spans="1:10" hidden="1" x14ac:dyDescent="0.35">
      <c r="A2090" s="2">
        <v>45412</v>
      </c>
      <c r="C2090" t="s">
        <v>24</v>
      </c>
      <c r="D2090">
        <v>699</v>
      </c>
      <c r="J2090" s="58">
        <v>212500</v>
      </c>
    </row>
    <row r="2091" spans="1:10" hidden="1" x14ac:dyDescent="0.35">
      <c r="A2091" s="2">
        <v>45412</v>
      </c>
      <c r="C2091" t="s">
        <v>9</v>
      </c>
      <c r="D2091">
        <v>303</v>
      </c>
      <c r="J2091" s="58">
        <v>132900</v>
      </c>
    </row>
    <row r="2092" spans="1:10" hidden="1" x14ac:dyDescent="0.35">
      <c r="A2092" s="2">
        <v>45412</v>
      </c>
      <c r="C2092" t="s">
        <v>37</v>
      </c>
      <c r="D2092">
        <v>654</v>
      </c>
      <c r="J2092" s="58">
        <v>260150</v>
      </c>
    </row>
    <row r="2093" spans="1:10" hidden="1" x14ac:dyDescent="0.35">
      <c r="A2093" s="2">
        <v>45412</v>
      </c>
      <c r="C2093" t="s">
        <v>23</v>
      </c>
      <c r="D2093">
        <v>465</v>
      </c>
      <c r="J2093" s="58">
        <v>104000</v>
      </c>
    </row>
    <row r="2094" spans="1:10" hidden="1" x14ac:dyDescent="0.35">
      <c r="A2094" s="2">
        <v>45412</v>
      </c>
      <c r="C2094" t="s">
        <v>27</v>
      </c>
      <c r="D2094">
        <v>493</v>
      </c>
      <c r="J2094" s="58">
        <v>444500</v>
      </c>
    </row>
    <row r="2095" spans="1:10" hidden="1" x14ac:dyDescent="0.35">
      <c r="A2095" s="2">
        <v>45412</v>
      </c>
      <c r="C2095" t="s">
        <v>26</v>
      </c>
      <c r="D2095">
        <v>313</v>
      </c>
      <c r="J2095" s="58">
        <v>133000</v>
      </c>
    </row>
    <row r="2096" spans="1:10" hidden="1" x14ac:dyDescent="0.35">
      <c r="A2096" s="2">
        <v>45412</v>
      </c>
      <c r="C2096" t="s">
        <v>20</v>
      </c>
      <c r="D2096">
        <v>608</v>
      </c>
      <c r="J2096" s="58">
        <v>544800</v>
      </c>
    </row>
    <row r="2097" spans="1:10" hidden="1" x14ac:dyDescent="0.35">
      <c r="A2097" s="2">
        <v>45412</v>
      </c>
      <c r="C2097" t="s">
        <v>25</v>
      </c>
      <c r="D2097">
        <v>303</v>
      </c>
      <c r="J2097" s="58">
        <v>160400</v>
      </c>
    </row>
    <row r="2098" spans="1:10" hidden="1" x14ac:dyDescent="0.35">
      <c r="A2098" s="2">
        <v>45412</v>
      </c>
      <c r="C2098" t="s">
        <v>19</v>
      </c>
      <c r="D2098">
        <v>625</v>
      </c>
      <c r="J2098" s="58">
        <v>371400</v>
      </c>
    </row>
    <row r="2099" spans="1:10" hidden="1" x14ac:dyDescent="0.35">
      <c r="A2099" s="2">
        <v>45412</v>
      </c>
      <c r="C2099" t="s">
        <v>21</v>
      </c>
      <c r="D2099">
        <v>694</v>
      </c>
      <c r="J2099" s="58">
        <v>69850</v>
      </c>
    </row>
    <row r="2100" spans="1:10" hidden="1" x14ac:dyDescent="0.35">
      <c r="A2100" s="2">
        <v>45412</v>
      </c>
      <c r="C2100" t="s">
        <v>18</v>
      </c>
      <c r="D2100">
        <v>1040</v>
      </c>
      <c r="J2100" s="58">
        <v>425850</v>
      </c>
    </row>
    <row r="2101" spans="1:10" hidden="1" x14ac:dyDescent="0.35">
      <c r="A2101" s="2">
        <v>45412</v>
      </c>
      <c r="C2101" t="s">
        <v>22</v>
      </c>
      <c r="D2101">
        <v>459</v>
      </c>
      <c r="J2101" s="58">
        <v>339500</v>
      </c>
    </row>
    <row r="2102" spans="1:10" hidden="1" x14ac:dyDescent="0.35">
      <c r="A2102" s="2">
        <v>45412</v>
      </c>
      <c r="C2102" t="s">
        <v>54</v>
      </c>
      <c r="D2102">
        <v>693</v>
      </c>
      <c r="J2102" s="58">
        <v>76150</v>
      </c>
    </row>
    <row r="2103" spans="1:10" hidden="1" x14ac:dyDescent="0.35">
      <c r="A2103" s="2">
        <v>45412</v>
      </c>
      <c r="C2103" t="s">
        <v>55</v>
      </c>
      <c r="D2103">
        <v>535</v>
      </c>
      <c r="J2103" s="58">
        <v>87480</v>
      </c>
    </row>
    <row r="2104" spans="1:10" hidden="1" x14ac:dyDescent="0.35">
      <c r="A2104" s="2">
        <v>45412</v>
      </c>
      <c r="C2104" t="s">
        <v>58</v>
      </c>
      <c r="D2104">
        <v>707</v>
      </c>
      <c r="J2104" s="58">
        <v>233550</v>
      </c>
    </row>
    <row r="2105" spans="1:10" hidden="1" x14ac:dyDescent="0.35">
      <c r="A2105" s="2">
        <v>45412</v>
      </c>
      <c r="C2105" t="s">
        <v>62</v>
      </c>
      <c r="D2105">
        <v>487</v>
      </c>
      <c r="J2105" s="58">
        <v>25000</v>
      </c>
    </row>
    <row r="2106" spans="1:10" hidden="1" x14ac:dyDescent="0.35">
      <c r="A2106" s="2">
        <v>45412</v>
      </c>
      <c r="C2106" t="s">
        <v>61</v>
      </c>
      <c r="D2106">
        <v>207</v>
      </c>
      <c r="J2106" s="58">
        <v>183490</v>
      </c>
    </row>
    <row r="2107" spans="1:10" hidden="1" x14ac:dyDescent="0.35">
      <c r="A2107" s="2">
        <v>45412</v>
      </c>
      <c r="C2107" t="s">
        <v>63</v>
      </c>
      <c r="D2107">
        <v>222</v>
      </c>
      <c r="J2107" s="58">
        <v>141500</v>
      </c>
    </row>
    <row r="2108" spans="1:10" hidden="1" x14ac:dyDescent="0.35">
      <c r="A2108" s="2">
        <v>45412</v>
      </c>
      <c r="C2108" t="s">
        <v>73</v>
      </c>
      <c r="D2108">
        <v>355</v>
      </c>
      <c r="J2108" s="58">
        <v>93450</v>
      </c>
    </row>
    <row r="2109" spans="1:10" hidden="1" x14ac:dyDescent="0.35">
      <c r="A2109" s="2">
        <v>45412</v>
      </c>
      <c r="C2109" t="s">
        <v>76</v>
      </c>
      <c r="D2109">
        <v>362</v>
      </c>
      <c r="J2109" s="58">
        <v>87500</v>
      </c>
    </row>
    <row r="2110" spans="1:10" hidden="1" x14ac:dyDescent="0.35">
      <c r="A2110" s="2">
        <v>45412</v>
      </c>
      <c r="C2110" t="s">
        <v>81</v>
      </c>
      <c r="D2110">
        <v>415</v>
      </c>
      <c r="J2110" s="58">
        <v>132500</v>
      </c>
    </row>
    <row r="2111" spans="1:10" hidden="1" x14ac:dyDescent="0.35">
      <c r="A2111" s="2">
        <v>45412</v>
      </c>
      <c r="C2111" t="s">
        <v>83</v>
      </c>
      <c r="D2111">
        <v>368</v>
      </c>
      <c r="J2111" s="58">
        <v>102450</v>
      </c>
    </row>
    <row r="2112" spans="1:10" hidden="1" x14ac:dyDescent="0.35">
      <c r="A2112" s="2">
        <v>45412</v>
      </c>
      <c r="C2112" t="s">
        <v>87</v>
      </c>
      <c r="D2112">
        <v>146</v>
      </c>
      <c r="J2112" s="58">
        <v>66350</v>
      </c>
    </row>
    <row r="2113" spans="1:10" hidden="1" x14ac:dyDescent="0.35">
      <c r="A2113" s="2">
        <v>45412</v>
      </c>
      <c r="C2113" t="s">
        <v>90</v>
      </c>
      <c r="D2113">
        <v>42</v>
      </c>
      <c r="J2113" s="58">
        <v>22000</v>
      </c>
    </row>
    <row r="2114" spans="1:10" hidden="1" x14ac:dyDescent="0.35">
      <c r="A2114" s="2">
        <v>45412</v>
      </c>
      <c r="C2114" t="s">
        <v>91</v>
      </c>
      <c r="D2114">
        <v>228</v>
      </c>
      <c r="J2114" s="58">
        <v>73480</v>
      </c>
    </row>
    <row r="2115" spans="1:10" hidden="1" x14ac:dyDescent="0.35">
      <c r="A2115" s="2">
        <v>45412</v>
      </c>
      <c r="C2115" t="s">
        <v>92</v>
      </c>
      <c r="D2115">
        <v>371</v>
      </c>
      <c r="J2115" s="58">
        <v>112200</v>
      </c>
    </row>
    <row r="2116" spans="1:10" hidden="1" x14ac:dyDescent="0.35">
      <c r="A2116" s="2">
        <v>45412</v>
      </c>
      <c r="C2116" t="s">
        <v>94</v>
      </c>
      <c r="D2116">
        <v>333</v>
      </c>
      <c r="J2116" s="58">
        <v>148600</v>
      </c>
    </row>
    <row r="2117" spans="1:10" hidden="1" x14ac:dyDescent="0.35">
      <c r="A2117" s="2">
        <v>45412</v>
      </c>
      <c r="C2117" t="s">
        <v>103</v>
      </c>
      <c r="D2117">
        <v>237</v>
      </c>
      <c r="J2117" s="58">
        <v>97300</v>
      </c>
    </row>
    <row r="2118" spans="1:10" hidden="1" x14ac:dyDescent="0.35">
      <c r="A2118" s="2">
        <v>45412</v>
      </c>
      <c r="C2118" t="s">
        <v>109</v>
      </c>
      <c r="D2118">
        <v>297</v>
      </c>
      <c r="J2118" s="58">
        <v>54500</v>
      </c>
    </row>
    <row r="2119" spans="1:10" hidden="1" x14ac:dyDescent="0.35">
      <c r="A2119" s="2">
        <v>45412</v>
      </c>
      <c r="C2119" t="s">
        <v>111</v>
      </c>
      <c r="D2119">
        <v>321</v>
      </c>
      <c r="J2119" s="58">
        <v>54500</v>
      </c>
    </row>
    <row r="2120" spans="1:10" hidden="1" x14ac:dyDescent="0.35">
      <c r="A2120" s="2">
        <v>45412</v>
      </c>
      <c r="C2120" t="s">
        <v>115</v>
      </c>
      <c r="D2120">
        <v>352</v>
      </c>
      <c r="J2120" s="58">
        <v>28000</v>
      </c>
    </row>
    <row r="2121" spans="1:10" hidden="1" x14ac:dyDescent="0.35">
      <c r="A2121" s="2">
        <v>45412</v>
      </c>
      <c r="B2121" t="s">
        <v>36</v>
      </c>
      <c r="C2121" t="s">
        <v>20</v>
      </c>
      <c r="E2121">
        <v>58</v>
      </c>
      <c r="F2121">
        <v>11</v>
      </c>
      <c r="G2121">
        <v>74</v>
      </c>
      <c r="H2121">
        <v>9</v>
      </c>
      <c r="I2121">
        <v>30</v>
      </c>
      <c r="J2121" s="52"/>
    </row>
    <row r="2122" spans="1:10" hidden="1" x14ac:dyDescent="0.35">
      <c r="A2122" s="2">
        <v>45412</v>
      </c>
      <c r="B2122" t="s">
        <v>110</v>
      </c>
      <c r="C2122" t="s">
        <v>20</v>
      </c>
      <c r="E2122">
        <v>14</v>
      </c>
      <c r="F2122">
        <v>2</v>
      </c>
      <c r="G2122">
        <v>27</v>
      </c>
      <c r="H2122">
        <v>1</v>
      </c>
      <c r="I2122">
        <v>8</v>
      </c>
      <c r="J2122" s="52"/>
    </row>
    <row r="2123" spans="1:10" hidden="1" x14ac:dyDescent="0.35">
      <c r="A2123" s="2">
        <v>45412</v>
      </c>
      <c r="B2123" t="s">
        <v>113</v>
      </c>
      <c r="C2123" t="s">
        <v>26</v>
      </c>
      <c r="E2123">
        <v>32</v>
      </c>
      <c r="F2123">
        <v>2</v>
      </c>
      <c r="G2123">
        <v>53</v>
      </c>
      <c r="H2123">
        <v>6</v>
      </c>
      <c r="I2123">
        <v>10</v>
      </c>
      <c r="J2123" s="52"/>
    </row>
    <row r="2124" spans="1:10" hidden="1" x14ac:dyDescent="0.35">
      <c r="A2124" s="2">
        <v>45412</v>
      </c>
      <c r="B2124" t="s">
        <v>113</v>
      </c>
      <c r="C2124" t="s">
        <v>115</v>
      </c>
      <c r="E2124">
        <v>15</v>
      </c>
      <c r="F2124">
        <v>4</v>
      </c>
      <c r="G2124">
        <v>4</v>
      </c>
      <c r="H2124">
        <v>0</v>
      </c>
      <c r="I2124">
        <v>2</v>
      </c>
      <c r="J2124" s="52"/>
    </row>
    <row r="2125" spans="1:10" hidden="1" x14ac:dyDescent="0.35">
      <c r="A2125" s="2">
        <v>45412</v>
      </c>
      <c r="B2125" t="s">
        <v>38</v>
      </c>
      <c r="C2125" t="s">
        <v>18</v>
      </c>
      <c r="E2125">
        <v>26</v>
      </c>
      <c r="F2125">
        <v>18</v>
      </c>
      <c r="G2125">
        <v>33</v>
      </c>
      <c r="H2125">
        <v>16</v>
      </c>
      <c r="I2125">
        <v>17</v>
      </c>
      <c r="J2125" s="52"/>
    </row>
    <row r="2126" spans="1:10" hidden="1" x14ac:dyDescent="0.35">
      <c r="A2126" s="2">
        <v>45412</v>
      </c>
      <c r="B2126" t="s">
        <v>116</v>
      </c>
      <c r="C2126" t="s">
        <v>18</v>
      </c>
      <c r="E2126">
        <v>28</v>
      </c>
      <c r="F2126">
        <v>32</v>
      </c>
      <c r="G2126">
        <v>12</v>
      </c>
      <c r="H2126">
        <v>8</v>
      </c>
      <c r="I2126">
        <v>12</v>
      </c>
      <c r="J2126" s="52"/>
    </row>
    <row r="2127" spans="1:10" hidden="1" x14ac:dyDescent="0.35">
      <c r="A2127" s="2">
        <v>45412</v>
      </c>
      <c r="B2127" t="s">
        <v>13</v>
      </c>
      <c r="C2127" t="s">
        <v>25</v>
      </c>
      <c r="E2127">
        <v>28</v>
      </c>
      <c r="F2127">
        <v>5</v>
      </c>
      <c r="G2127">
        <v>6</v>
      </c>
      <c r="H2127">
        <v>2</v>
      </c>
      <c r="I2127">
        <v>12</v>
      </c>
      <c r="J2127" s="52"/>
    </row>
    <row r="2128" spans="1:10" hidden="1" x14ac:dyDescent="0.35">
      <c r="A2128" s="2">
        <v>45412</v>
      </c>
      <c r="B2128" t="s">
        <v>104</v>
      </c>
      <c r="C2128" t="s">
        <v>23</v>
      </c>
      <c r="E2128">
        <v>27</v>
      </c>
      <c r="F2128">
        <v>1</v>
      </c>
      <c r="G2128">
        <v>17</v>
      </c>
      <c r="H2128">
        <v>3</v>
      </c>
      <c r="I2128">
        <v>8</v>
      </c>
      <c r="J2128" s="52"/>
    </row>
    <row r="2129" spans="1:10" hidden="1" x14ac:dyDescent="0.35">
      <c r="A2129" s="2">
        <v>45412</v>
      </c>
      <c r="B2129" t="s">
        <v>102</v>
      </c>
      <c r="C2129" t="s">
        <v>24</v>
      </c>
      <c r="E2129">
        <v>0</v>
      </c>
      <c r="F2129">
        <v>2</v>
      </c>
      <c r="G2129">
        <v>8</v>
      </c>
      <c r="H2129">
        <v>2</v>
      </c>
      <c r="I2129">
        <v>2</v>
      </c>
      <c r="J2129" s="52"/>
    </row>
    <row r="2130" spans="1:10" hidden="1" x14ac:dyDescent="0.35">
      <c r="A2130" s="2">
        <v>45412</v>
      </c>
      <c r="B2130" t="s">
        <v>96</v>
      </c>
      <c r="C2130" t="s">
        <v>24</v>
      </c>
      <c r="E2130">
        <v>32</v>
      </c>
      <c r="F2130">
        <v>1</v>
      </c>
      <c r="G2130">
        <v>17</v>
      </c>
      <c r="H2130">
        <v>3</v>
      </c>
      <c r="I2130">
        <v>13</v>
      </c>
      <c r="J2130" s="52"/>
    </row>
    <row r="2131" spans="1:10" hidden="1" x14ac:dyDescent="0.35">
      <c r="A2131" s="2">
        <v>45412</v>
      </c>
      <c r="B2131" t="s">
        <v>96</v>
      </c>
      <c r="C2131" t="s">
        <v>37</v>
      </c>
      <c r="E2131">
        <v>4</v>
      </c>
      <c r="F2131">
        <v>1</v>
      </c>
      <c r="G2131">
        <v>1</v>
      </c>
      <c r="H2131">
        <v>0</v>
      </c>
      <c r="I2131">
        <v>1</v>
      </c>
      <c r="J2131" s="52"/>
    </row>
    <row r="2132" spans="1:10" hidden="1" x14ac:dyDescent="0.35">
      <c r="A2132" s="2">
        <v>45412</v>
      </c>
      <c r="B2132" t="s">
        <v>17</v>
      </c>
      <c r="C2132" t="s">
        <v>37</v>
      </c>
      <c r="E2132">
        <v>4</v>
      </c>
      <c r="F2132">
        <v>0</v>
      </c>
      <c r="G2132">
        <v>9</v>
      </c>
      <c r="H2132">
        <v>5</v>
      </c>
      <c r="I2132">
        <v>4</v>
      </c>
      <c r="J2132" s="52"/>
    </row>
    <row r="2133" spans="1:10" hidden="1" x14ac:dyDescent="0.35">
      <c r="A2133" s="2">
        <v>45412</v>
      </c>
      <c r="B2133" t="s">
        <v>50</v>
      </c>
      <c r="C2133" t="s">
        <v>37</v>
      </c>
      <c r="E2133">
        <v>11</v>
      </c>
      <c r="F2133">
        <v>3</v>
      </c>
      <c r="G2133">
        <v>15</v>
      </c>
      <c r="H2133">
        <v>1</v>
      </c>
      <c r="I2133">
        <v>5</v>
      </c>
      <c r="J2133" s="52"/>
    </row>
    <row r="2134" spans="1:10" hidden="1" x14ac:dyDescent="0.35">
      <c r="A2134" s="2">
        <v>45412</v>
      </c>
      <c r="B2134" t="s">
        <v>102</v>
      </c>
      <c r="C2134" t="s">
        <v>37</v>
      </c>
      <c r="E2134">
        <v>40</v>
      </c>
      <c r="F2134">
        <v>15</v>
      </c>
      <c r="G2134">
        <v>30</v>
      </c>
      <c r="H2134">
        <v>7</v>
      </c>
      <c r="I2134">
        <v>9</v>
      </c>
      <c r="J2134" s="52"/>
    </row>
    <row r="2135" spans="1:10" hidden="1" x14ac:dyDescent="0.35">
      <c r="A2135" s="2">
        <v>45412</v>
      </c>
      <c r="B2135" t="s">
        <v>112</v>
      </c>
      <c r="C2135" t="s">
        <v>19</v>
      </c>
      <c r="E2135">
        <v>30</v>
      </c>
      <c r="F2135">
        <v>6</v>
      </c>
      <c r="G2135">
        <v>55</v>
      </c>
      <c r="H2135">
        <v>3</v>
      </c>
      <c r="I2135">
        <v>16</v>
      </c>
      <c r="J2135" s="52"/>
    </row>
    <row r="2136" spans="1:10" hidden="1" x14ac:dyDescent="0.35">
      <c r="A2136" s="2">
        <v>45412</v>
      </c>
      <c r="B2136" t="s">
        <v>40</v>
      </c>
      <c r="C2136" t="s">
        <v>19</v>
      </c>
      <c r="E2136">
        <v>34</v>
      </c>
      <c r="F2136">
        <v>6</v>
      </c>
      <c r="G2136">
        <v>34</v>
      </c>
      <c r="H2136">
        <v>6</v>
      </c>
      <c r="I2136">
        <v>10</v>
      </c>
      <c r="J2136" s="52"/>
    </row>
    <row r="2137" spans="1:10" hidden="1" x14ac:dyDescent="0.35">
      <c r="A2137" s="2">
        <v>45412</v>
      </c>
      <c r="B2137" t="s">
        <v>95</v>
      </c>
      <c r="C2137" t="s">
        <v>22</v>
      </c>
      <c r="E2137">
        <v>23</v>
      </c>
      <c r="F2137">
        <v>12</v>
      </c>
      <c r="G2137">
        <v>33</v>
      </c>
      <c r="H2137">
        <v>19</v>
      </c>
      <c r="I2137">
        <v>12</v>
      </c>
      <c r="J2137" s="52"/>
    </row>
    <row r="2138" spans="1:10" hidden="1" x14ac:dyDescent="0.35">
      <c r="A2138" s="2">
        <v>45412</v>
      </c>
      <c r="B2138" t="s">
        <v>105</v>
      </c>
      <c r="C2138" t="s">
        <v>22</v>
      </c>
      <c r="E2138">
        <v>12</v>
      </c>
      <c r="F2138">
        <v>8</v>
      </c>
      <c r="G2138">
        <v>28</v>
      </c>
      <c r="H2138">
        <v>9</v>
      </c>
      <c r="I2138">
        <v>13</v>
      </c>
      <c r="J2138" s="52"/>
    </row>
    <row r="2139" spans="1:10" hidden="1" x14ac:dyDescent="0.35">
      <c r="A2139" s="2">
        <v>45412</v>
      </c>
      <c r="B2139" t="s">
        <v>43</v>
      </c>
      <c r="C2139" t="s">
        <v>27</v>
      </c>
      <c r="E2139">
        <v>40</v>
      </c>
      <c r="F2139">
        <v>0</v>
      </c>
      <c r="G2139">
        <v>29</v>
      </c>
      <c r="H2139">
        <v>0</v>
      </c>
      <c r="I2139">
        <v>10</v>
      </c>
      <c r="J2139" s="52"/>
    </row>
    <row r="2140" spans="1:10" hidden="1" x14ac:dyDescent="0.35">
      <c r="A2140" s="2">
        <v>45412</v>
      </c>
      <c r="B2140" t="s">
        <v>84</v>
      </c>
      <c r="C2140" t="s">
        <v>27</v>
      </c>
      <c r="E2140">
        <v>35</v>
      </c>
      <c r="F2140">
        <v>0</v>
      </c>
      <c r="G2140">
        <v>25</v>
      </c>
      <c r="H2140">
        <v>0</v>
      </c>
      <c r="I2140">
        <v>19</v>
      </c>
      <c r="J2140" s="52"/>
    </row>
    <row r="2141" spans="1:10" hidden="1" x14ac:dyDescent="0.35">
      <c r="A2141" s="2">
        <v>45412</v>
      </c>
      <c r="B2141" t="s">
        <v>101</v>
      </c>
      <c r="C2141" t="s">
        <v>9</v>
      </c>
      <c r="E2141">
        <v>11</v>
      </c>
      <c r="F2141">
        <v>1</v>
      </c>
      <c r="G2141">
        <v>6</v>
      </c>
      <c r="H2141">
        <v>3</v>
      </c>
      <c r="I2141">
        <v>10</v>
      </c>
      <c r="J2141" s="52"/>
    </row>
    <row r="2142" spans="1:10" hidden="1" x14ac:dyDescent="0.35">
      <c r="A2142" s="2">
        <v>45412</v>
      </c>
      <c r="B2142" t="s">
        <v>75</v>
      </c>
      <c r="C2142" t="s">
        <v>21</v>
      </c>
      <c r="E2142">
        <v>42</v>
      </c>
      <c r="F2142">
        <v>9</v>
      </c>
      <c r="G2142">
        <v>22</v>
      </c>
      <c r="H2142">
        <v>7</v>
      </c>
      <c r="I2142">
        <v>5</v>
      </c>
      <c r="J2142" s="52"/>
    </row>
    <row r="2143" spans="1:10" hidden="1" x14ac:dyDescent="0.35">
      <c r="A2143" s="2">
        <v>45412</v>
      </c>
      <c r="B2143" t="s">
        <v>117</v>
      </c>
      <c r="C2143" t="s">
        <v>54</v>
      </c>
      <c r="E2143">
        <v>27</v>
      </c>
      <c r="F2143">
        <v>11</v>
      </c>
      <c r="G2143">
        <v>31</v>
      </c>
      <c r="H2143">
        <v>2</v>
      </c>
      <c r="I2143">
        <v>5</v>
      </c>
      <c r="J2143" s="52"/>
    </row>
    <row r="2144" spans="1:10" hidden="1" x14ac:dyDescent="0.35">
      <c r="A2144" s="2">
        <v>45412</v>
      </c>
      <c r="B2144" t="s">
        <v>57</v>
      </c>
      <c r="C2144" t="s">
        <v>55</v>
      </c>
      <c r="E2144">
        <v>7</v>
      </c>
      <c r="F2144">
        <v>6</v>
      </c>
      <c r="G2144">
        <v>5</v>
      </c>
      <c r="H2144">
        <v>2</v>
      </c>
      <c r="I2144">
        <v>7</v>
      </c>
      <c r="J2144" s="52"/>
    </row>
    <row r="2145" spans="1:10" hidden="1" x14ac:dyDescent="0.35">
      <c r="A2145" s="2">
        <v>45412</v>
      </c>
      <c r="B2145" t="s">
        <v>100</v>
      </c>
      <c r="C2145" t="s">
        <v>58</v>
      </c>
      <c r="E2145">
        <v>15</v>
      </c>
      <c r="F2145">
        <v>6</v>
      </c>
      <c r="G2145">
        <v>10</v>
      </c>
      <c r="H2145">
        <v>8</v>
      </c>
      <c r="I2145">
        <v>5</v>
      </c>
      <c r="J2145" s="52"/>
    </row>
    <row r="2146" spans="1:10" hidden="1" x14ac:dyDescent="0.35">
      <c r="A2146" s="2">
        <v>45412</v>
      </c>
      <c r="B2146" t="s">
        <v>107</v>
      </c>
      <c r="C2146" t="s">
        <v>58</v>
      </c>
      <c r="E2146">
        <v>27</v>
      </c>
      <c r="F2146">
        <v>7</v>
      </c>
      <c r="G2146">
        <v>15</v>
      </c>
      <c r="H2146">
        <v>10</v>
      </c>
      <c r="I2146">
        <v>12</v>
      </c>
      <c r="J2146" s="52"/>
    </row>
    <row r="2147" spans="1:10" hidden="1" x14ac:dyDescent="0.35">
      <c r="A2147" s="2">
        <v>45412</v>
      </c>
      <c r="B2147" t="s">
        <v>64</v>
      </c>
      <c r="C2147" t="s">
        <v>62</v>
      </c>
      <c r="E2147">
        <v>11</v>
      </c>
      <c r="F2147">
        <v>4</v>
      </c>
      <c r="G2147">
        <v>31</v>
      </c>
      <c r="H2147">
        <v>16</v>
      </c>
      <c r="I2147">
        <v>2</v>
      </c>
      <c r="J2147" s="52"/>
    </row>
    <row r="2148" spans="1:10" hidden="1" x14ac:dyDescent="0.35">
      <c r="A2148" s="2">
        <v>45412</v>
      </c>
      <c r="B2148" t="s">
        <v>97</v>
      </c>
      <c r="C2148" t="s">
        <v>61</v>
      </c>
      <c r="E2148">
        <v>38</v>
      </c>
      <c r="F2148">
        <v>10</v>
      </c>
      <c r="G2148">
        <v>20</v>
      </c>
      <c r="H2148">
        <v>4</v>
      </c>
      <c r="I2148">
        <v>15</v>
      </c>
      <c r="J2148" s="52"/>
    </row>
    <row r="2149" spans="1:10" hidden="1" x14ac:dyDescent="0.35">
      <c r="A2149" s="2">
        <v>45412</v>
      </c>
      <c r="B2149" t="s">
        <v>118</v>
      </c>
      <c r="C2149" t="s">
        <v>91</v>
      </c>
      <c r="E2149">
        <v>21</v>
      </c>
      <c r="F2149">
        <v>3</v>
      </c>
      <c r="G2149">
        <v>5</v>
      </c>
      <c r="H2149">
        <v>1</v>
      </c>
      <c r="I2149">
        <v>6</v>
      </c>
      <c r="J2149" s="52"/>
    </row>
    <row r="2150" spans="1:10" hidden="1" x14ac:dyDescent="0.35">
      <c r="A2150" s="2">
        <v>45412</v>
      </c>
      <c r="B2150" t="s">
        <v>69</v>
      </c>
      <c r="C2150" t="s">
        <v>63</v>
      </c>
      <c r="E2150">
        <v>5</v>
      </c>
      <c r="F2150">
        <v>0</v>
      </c>
      <c r="G2150">
        <v>10</v>
      </c>
      <c r="H2150">
        <v>0</v>
      </c>
      <c r="I2150">
        <v>5</v>
      </c>
      <c r="J2150" s="52"/>
    </row>
    <row r="2151" spans="1:10" hidden="1" x14ac:dyDescent="0.35">
      <c r="A2151" s="2">
        <v>45412</v>
      </c>
      <c r="B2151" t="s">
        <v>119</v>
      </c>
      <c r="C2151" t="s">
        <v>63</v>
      </c>
      <c r="E2151">
        <v>15</v>
      </c>
      <c r="F2151">
        <v>3</v>
      </c>
      <c r="G2151">
        <v>4</v>
      </c>
      <c r="H2151">
        <v>0</v>
      </c>
      <c r="I2151">
        <v>6</v>
      </c>
      <c r="J2151" s="52"/>
    </row>
    <row r="2152" spans="1:10" hidden="1" x14ac:dyDescent="0.35">
      <c r="A2152" s="2">
        <v>45412</v>
      </c>
      <c r="B2152" t="s">
        <v>77</v>
      </c>
      <c r="C2152" t="s">
        <v>73</v>
      </c>
      <c r="E2152">
        <v>5</v>
      </c>
      <c r="F2152">
        <v>5</v>
      </c>
      <c r="G2152">
        <v>12</v>
      </c>
      <c r="H2152">
        <v>4</v>
      </c>
      <c r="I2152">
        <v>8</v>
      </c>
      <c r="J2152" s="52"/>
    </row>
    <row r="2153" spans="1:10" hidden="1" x14ac:dyDescent="0.35">
      <c r="A2153" s="2">
        <v>45412</v>
      </c>
      <c r="B2153" t="s">
        <v>110</v>
      </c>
      <c r="C2153" t="s">
        <v>81</v>
      </c>
      <c r="E2153">
        <v>11</v>
      </c>
      <c r="F2153">
        <v>0</v>
      </c>
      <c r="G2153">
        <v>21</v>
      </c>
      <c r="H2153">
        <v>0</v>
      </c>
      <c r="I2153">
        <v>10</v>
      </c>
      <c r="J2153" s="52"/>
    </row>
    <row r="2154" spans="1:10" hidden="1" x14ac:dyDescent="0.35">
      <c r="A2154" s="2">
        <v>45412</v>
      </c>
      <c r="B2154" t="s">
        <v>85</v>
      </c>
      <c r="C2154" t="s">
        <v>83</v>
      </c>
      <c r="E2154">
        <v>31</v>
      </c>
      <c r="F2154">
        <v>4</v>
      </c>
      <c r="G2154">
        <v>33</v>
      </c>
      <c r="H2154">
        <v>5</v>
      </c>
      <c r="I2154">
        <v>8</v>
      </c>
      <c r="J2154" s="52"/>
    </row>
    <row r="2155" spans="1:10" hidden="1" x14ac:dyDescent="0.35">
      <c r="A2155" s="2">
        <v>45412</v>
      </c>
      <c r="B2155" t="s">
        <v>88</v>
      </c>
      <c r="C2155" t="s">
        <v>76</v>
      </c>
      <c r="E2155">
        <v>26</v>
      </c>
      <c r="F2155">
        <v>3</v>
      </c>
      <c r="G2155">
        <v>12</v>
      </c>
      <c r="H2155">
        <v>3</v>
      </c>
      <c r="I2155">
        <v>7</v>
      </c>
      <c r="J2155" s="52"/>
    </row>
    <row r="2156" spans="1:10" hidden="1" x14ac:dyDescent="0.35">
      <c r="A2156" s="2">
        <v>45412</v>
      </c>
      <c r="B2156" t="s">
        <v>89</v>
      </c>
      <c r="C2156" t="s">
        <v>87</v>
      </c>
      <c r="E2156">
        <v>4</v>
      </c>
      <c r="F2156">
        <v>7</v>
      </c>
      <c r="G2156">
        <v>15</v>
      </c>
      <c r="H2156">
        <v>0</v>
      </c>
      <c r="I2156">
        <v>5</v>
      </c>
      <c r="J2156" s="52"/>
    </row>
    <row r="2157" spans="1:10" hidden="1" x14ac:dyDescent="0.35">
      <c r="A2157" s="2">
        <v>45412</v>
      </c>
      <c r="B2157" t="s">
        <v>93</v>
      </c>
      <c r="C2157" t="s">
        <v>90</v>
      </c>
      <c r="E2157">
        <v>7</v>
      </c>
      <c r="F2157">
        <v>10</v>
      </c>
      <c r="G2157">
        <v>2</v>
      </c>
      <c r="H2157">
        <v>21</v>
      </c>
      <c r="I2157">
        <v>2</v>
      </c>
      <c r="J2157" s="52"/>
    </row>
    <row r="2158" spans="1:10" hidden="1" x14ac:dyDescent="0.35">
      <c r="A2158" s="2">
        <v>45412</v>
      </c>
      <c r="B2158" t="s">
        <v>99</v>
      </c>
      <c r="C2158" t="s">
        <v>92</v>
      </c>
      <c r="E2158">
        <v>16</v>
      </c>
      <c r="F2158">
        <v>1</v>
      </c>
      <c r="G2158">
        <v>20</v>
      </c>
      <c r="H2158">
        <v>4</v>
      </c>
      <c r="I2158">
        <v>8</v>
      </c>
      <c r="J2158" s="52"/>
    </row>
    <row r="2159" spans="1:10" hidden="1" x14ac:dyDescent="0.35">
      <c r="A2159" s="2">
        <v>45412</v>
      </c>
      <c r="B2159" t="s">
        <v>98</v>
      </c>
      <c r="C2159" t="s">
        <v>94</v>
      </c>
      <c r="E2159">
        <v>28</v>
      </c>
      <c r="F2159">
        <v>1</v>
      </c>
      <c r="G2159">
        <v>21</v>
      </c>
      <c r="H2159">
        <v>0</v>
      </c>
      <c r="I2159">
        <v>10</v>
      </c>
      <c r="J2159" s="52"/>
    </row>
    <row r="2160" spans="1:10" hidden="1" x14ac:dyDescent="0.35">
      <c r="A2160" s="2">
        <v>45412</v>
      </c>
      <c r="B2160" t="s">
        <v>106</v>
      </c>
      <c r="C2160" t="s">
        <v>103</v>
      </c>
      <c r="E2160">
        <v>12</v>
      </c>
      <c r="F2160">
        <v>2</v>
      </c>
      <c r="G2160">
        <v>10</v>
      </c>
      <c r="H2160">
        <v>1</v>
      </c>
      <c r="I2160">
        <v>8</v>
      </c>
      <c r="J2160" s="52"/>
    </row>
    <row r="2161" spans="1:10" hidden="1" x14ac:dyDescent="0.35">
      <c r="A2161" s="2">
        <v>45412</v>
      </c>
      <c r="B2161" t="s">
        <v>108</v>
      </c>
      <c r="C2161" t="s">
        <v>109</v>
      </c>
      <c r="E2161">
        <v>16</v>
      </c>
      <c r="F2161">
        <v>6</v>
      </c>
      <c r="G2161">
        <v>5</v>
      </c>
      <c r="H2161">
        <v>1</v>
      </c>
      <c r="I2161">
        <v>4</v>
      </c>
      <c r="J2161" s="52"/>
    </row>
    <row r="2162" spans="1:10" hidden="1" x14ac:dyDescent="0.35">
      <c r="A2162" s="2">
        <v>45412</v>
      </c>
      <c r="B2162" t="s">
        <v>114</v>
      </c>
      <c r="C2162" t="s">
        <v>111</v>
      </c>
      <c r="E2162">
        <v>12</v>
      </c>
      <c r="F2162">
        <v>6</v>
      </c>
      <c r="G2162">
        <v>5</v>
      </c>
      <c r="H2162">
        <v>1</v>
      </c>
      <c r="I2162">
        <v>4</v>
      </c>
      <c r="J2162" s="52"/>
    </row>
    <row r="2163" spans="1:10" hidden="1" x14ac:dyDescent="0.35">
      <c r="A2163" s="2">
        <v>45442</v>
      </c>
      <c r="C2163" t="s">
        <v>24</v>
      </c>
      <c r="D2163">
        <v>693</v>
      </c>
      <c r="J2163" s="58">
        <v>181650</v>
      </c>
    </row>
    <row r="2164" spans="1:10" hidden="1" x14ac:dyDescent="0.35">
      <c r="A2164" s="2">
        <v>45442</v>
      </c>
      <c r="C2164" t="s">
        <v>9</v>
      </c>
      <c r="D2164">
        <v>256</v>
      </c>
      <c r="J2164" s="58">
        <v>63500</v>
      </c>
    </row>
    <row r="2165" spans="1:10" hidden="1" x14ac:dyDescent="0.35">
      <c r="A2165" s="2">
        <v>45442</v>
      </c>
      <c r="C2165" t="s">
        <v>37</v>
      </c>
      <c r="D2165">
        <v>651</v>
      </c>
      <c r="J2165" s="58">
        <v>388130</v>
      </c>
    </row>
    <row r="2166" spans="1:10" hidden="1" x14ac:dyDescent="0.35">
      <c r="A2166" s="2">
        <v>45442</v>
      </c>
      <c r="C2166" t="s">
        <v>23</v>
      </c>
      <c r="D2166">
        <v>399</v>
      </c>
      <c r="J2166" s="58">
        <v>52600</v>
      </c>
    </row>
    <row r="2167" spans="1:10" hidden="1" x14ac:dyDescent="0.35">
      <c r="A2167" s="2">
        <v>45442</v>
      </c>
      <c r="C2167" t="s">
        <v>27</v>
      </c>
      <c r="D2167">
        <v>457</v>
      </c>
      <c r="J2167" s="58">
        <v>313800</v>
      </c>
    </row>
    <row r="2168" spans="1:10" hidden="1" x14ac:dyDescent="0.35">
      <c r="A2168" s="2">
        <v>45442</v>
      </c>
      <c r="C2168" t="s">
        <v>26</v>
      </c>
      <c r="D2168">
        <v>243</v>
      </c>
      <c r="J2168" s="58">
        <v>189350</v>
      </c>
    </row>
    <row r="2169" spans="1:10" hidden="1" x14ac:dyDescent="0.35">
      <c r="A2169" s="2">
        <v>45442</v>
      </c>
      <c r="C2169" t="s">
        <v>20</v>
      </c>
      <c r="D2169">
        <v>569</v>
      </c>
      <c r="J2169" s="58">
        <v>491799</v>
      </c>
    </row>
    <row r="2170" spans="1:10" hidden="1" x14ac:dyDescent="0.35">
      <c r="A2170" s="2">
        <v>45442</v>
      </c>
      <c r="C2170" t="s">
        <v>25</v>
      </c>
      <c r="D2170">
        <v>344</v>
      </c>
      <c r="J2170" s="58">
        <v>109800</v>
      </c>
    </row>
    <row r="2171" spans="1:10" hidden="1" x14ac:dyDescent="0.35">
      <c r="A2171" s="2">
        <v>45442</v>
      </c>
      <c r="C2171" t="s">
        <v>19</v>
      </c>
      <c r="D2171">
        <v>496</v>
      </c>
      <c r="J2171" s="58">
        <v>255000</v>
      </c>
    </row>
    <row r="2172" spans="1:10" hidden="1" x14ac:dyDescent="0.35">
      <c r="A2172" s="2">
        <v>45442</v>
      </c>
      <c r="C2172" t="s">
        <v>21</v>
      </c>
      <c r="D2172">
        <v>450</v>
      </c>
      <c r="J2172" s="58">
        <v>87750</v>
      </c>
    </row>
    <row r="2173" spans="1:10" hidden="1" x14ac:dyDescent="0.35">
      <c r="A2173" s="2">
        <v>45442</v>
      </c>
      <c r="C2173" t="s">
        <v>18</v>
      </c>
      <c r="D2173">
        <v>820</v>
      </c>
      <c r="J2173" s="58">
        <v>332100</v>
      </c>
    </row>
    <row r="2174" spans="1:10" hidden="1" x14ac:dyDescent="0.35">
      <c r="A2174" s="2">
        <v>45442</v>
      </c>
      <c r="C2174" t="s">
        <v>22</v>
      </c>
      <c r="D2174">
        <v>410</v>
      </c>
      <c r="J2174" s="58">
        <v>182300</v>
      </c>
    </row>
    <row r="2175" spans="1:10" hidden="1" x14ac:dyDescent="0.35">
      <c r="A2175" s="2">
        <v>45442</v>
      </c>
      <c r="C2175" t="s">
        <v>54</v>
      </c>
      <c r="D2175">
        <v>659</v>
      </c>
      <c r="J2175" s="58">
        <v>100050</v>
      </c>
    </row>
    <row r="2176" spans="1:10" hidden="1" x14ac:dyDescent="0.35">
      <c r="A2176" s="2">
        <v>45442</v>
      </c>
      <c r="C2176" t="s">
        <v>55</v>
      </c>
      <c r="D2176">
        <v>666</v>
      </c>
      <c r="J2176" s="58">
        <v>96490</v>
      </c>
    </row>
    <row r="2177" spans="1:10" hidden="1" x14ac:dyDescent="0.35">
      <c r="A2177" s="2">
        <v>45442</v>
      </c>
      <c r="C2177" t="s">
        <v>58</v>
      </c>
      <c r="D2177">
        <v>512</v>
      </c>
      <c r="J2177" s="58">
        <v>54000</v>
      </c>
    </row>
    <row r="2178" spans="1:10" hidden="1" x14ac:dyDescent="0.35">
      <c r="A2178" s="2">
        <v>45442</v>
      </c>
      <c r="C2178" t="s">
        <v>62</v>
      </c>
      <c r="D2178">
        <v>460</v>
      </c>
      <c r="J2178" s="58">
        <v>52500</v>
      </c>
    </row>
    <row r="2179" spans="1:10" hidden="1" x14ac:dyDescent="0.35">
      <c r="A2179" s="2">
        <v>45442</v>
      </c>
      <c r="C2179" t="s">
        <v>61</v>
      </c>
      <c r="D2179">
        <v>208</v>
      </c>
      <c r="J2179" s="58">
        <v>189500</v>
      </c>
    </row>
    <row r="2180" spans="1:10" hidden="1" x14ac:dyDescent="0.35">
      <c r="A2180" s="2">
        <v>45442</v>
      </c>
      <c r="C2180" t="s">
        <v>63</v>
      </c>
      <c r="D2180">
        <v>185</v>
      </c>
      <c r="J2180" s="58">
        <v>109500</v>
      </c>
    </row>
    <row r="2181" spans="1:10" hidden="1" x14ac:dyDescent="0.35">
      <c r="A2181" s="2">
        <v>45442</v>
      </c>
      <c r="C2181" t="s">
        <v>73</v>
      </c>
      <c r="D2181">
        <v>294</v>
      </c>
      <c r="J2181" s="58">
        <v>124500</v>
      </c>
    </row>
    <row r="2182" spans="1:10" hidden="1" x14ac:dyDescent="0.35">
      <c r="A2182" s="2">
        <v>45442</v>
      </c>
      <c r="C2182" t="s">
        <v>76</v>
      </c>
      <c r="D2182">
        <v>281</v>
      </c>
      <c r="J2182" s="58">
        <v>13900</v>
      </c>
    </row>
    <row r="2183" spans="1:10" hidden="1" x14ac:dyDescent="0.35">
      <c r="A2183" s="2">
        <v>45442</v>
      </c>
      <c r="C2183" t="s">
        <v>81</v>
      </c>
      <c r="D2183">
        <v>363</v>
      </c>
      <c r="J2183" s="58">
        <v>92500</v>
      </c>
    </row>
    <row r="2184" spans="1:10" hidden="1" x14ac:dyDescent="0.35">
      <c r="A2184" s="2">
        <v>45442</v>
      </c>
      <c r="C2184" t="s">
        <v>83</v>
      </c>
      <c r="D2184">
        <v>314</v>
      </c>
      <c r="J2184" s="58">
        <v>127000</v>
      </c>
    </row>
    <row r="2185" spans="1:10" hidden="1" x14ac:dyDescent="0.35">
      <c r="A2185" s="2">
        <v>45442</v>
      </c>
      <c r="C2185" t="s">
        <v>87</v>
      </c>
      <c r="D2185">
        <v>127</v>
      </c>
      <c r="J2185" s="58">
        <v>43500</v>
      </c>
    </row>
    <row r="2186" spans="1:10" hidden="1" x14ac:dyDescent="0.35">
      <c r="A2186" s="2">
        <v>45442</v>
      </c>
      <c r="C2186" t="s">
        <v>90</v>
      </c>
      <c r="D2186">
        <v>143</v>
      </c>
      <c r="J2186" s="52">
        <v>13990</v>
      </c>
    </row>
    <row r="2187" spans="1:10" hidden="1" x14ac:dyDescent="0.35">
      <c r="A2187" s="2">
        <v>45442</v>
      </c>
      <c r="C2187" t="s">
        <v>91</v>
      </c>
      <c r="D2187">
        <v>237</v>
      </c>
      <c r="J2187" s="58">
        <v>47500</v>
      </c>
    </row>
    <row r="2188" spans="1:10" hidden="1" x14ac:dyDescent="0.35">
      <c r="A2188" s="2">
        <v>45442</v>
      </c>
      <c r="C2188" t="s">
        <v>92</v>
      </c>
      <c r="D2188">
        <v>371</v>
      </c>
      <c r="J2188" s="58">
        <v>40000</v>
      </c>
    </row>
    <row r="2189" spans="1:10" hidden="1" x14ac:dyDescent="0.35">
      <c r="A2189" s="2">
        <v>45442</v>
      </c>
      <c r="C2189" t="s">
        <v>94</v>
      </c>
      <c r="D2189">
        <v>330</v>
      </c>
      <c r="J2189" s="58">
        <v>156400</v>
      </c>
    </row>
    <row r="2190" spans="1:10" hidden="1" x14ac:dyDescent="0.35">
      <c r="A2190" s="2">
        <v>45442</v>
      </c>
      <c r="C2190" t="s">
        <v>103</v>
      </c>
      <c r="D2190">
        <v>153</v>
      </c>
      <c r="J2190" s="58">
        <v>26200</v>
      </c>
    </row>
    <row r="2191" spans="1:10" hidden="1" x14ac:dyDescent="0.35">
      <c r="A2191" s="2">
        <v>45442</v>
      </c>
      <c r="C2191" t="s">
        <v>109</v>
      </c>
      <c r="D2191">
        <v>269</v>
      </c>
      <c r="J2191" s="58">
        <v>71400</v>
      </c>
    </row>
    <row r="2192" spans="1:10" hidden="1" x14ac:dyDescent="0.35">
      <c r="A2192" s="2">
        <v>45442</v>
      </c>
      <c r="C2192" t="s">
        <v>111</v>
      </c>
      <c r="D2192">
        <v>239</v>
      </c>
      <c r="J2192" s="58">
        <v>62000</v>
      </c>
    </row>
    <row r="2193" spans="1:10" hidden="1" x14ac:dyDescent="0.35">
      <c r="A2193" s="2">
        <v>45442</v>
      </c>
      <c r="C2193" t="s">
        <v>115</v>
      </c>
      <c r="D2193">
        <v>335</v>
      </c>
      <c r="J2193" s="58">
        <v>26500</v>
      </c>
    </row>
    <row r="2194" spans="1:10" hidden="1" x14ac:dyDescent="0.35">
      <c r="A2194" s="2">
        <v>45442</v>
      </c>
      <c r="B2194" t="s">
        <v>36</v>
      </c>
      <c r="C2194" t="s">
        <v>20</v>
      </c>
      <c r="E2194">
        <v>51</v>
      </c>
      <c r="F2194">
        <v>9</v>
      </c>
      <c r="G2194">
        <v>59</v>
      </c>
      <c r="H2194">
        <v>8</v>
      </c>
      <c r="I2194">
        <v>25</v>
      </c>
      <c r="J2194" s="52"/>
    </row>
    <row r="2195" spans="1:10" hidden="1" x14ac:dyDescent="0.35">
      <c r="A2195" s="2">
        <v>45442</v>
      </c>
      <c r="B2195" t="s">
        <v>110</v>
      </c>
      <c r="C2195" t="s">
        <v>20</v>
      </c>
      <c r="E2195">
        <v>14</v>
      </c>
      <c r="F2195">
        <v>2</v>
      </c>
      <c r="G2195">
        <v>18</v>
      </c>
      <c r="H2195">
        <v>3</v>
      </c>
      <c r="I2195">
        <v>10</v>
      </c>
      <c r="J2195" s="52"/>
    </row>
    <row r="2196" spans="1:10" hidden="1" x14ac:dyDescent="0.35">
      <c r="A2196" s="2">
        <v>45442</v>
      </c>
      <c r="B2196" t="s">
        <v>113</v>
      </c>
      <c r="C2196" t="s">
        <v>26</v>
      </c>
      <c r="E2196">
        <v>25</v>
      </c>
      <c r="F2196">
        <v>0</v>
      </c>
      <c r="G2196">
        <v>39</v>
      </c>
      <c r="H2196">
        <v>9</v>
      </c>
      <c r="I2196">
        <v>14</v>
      </c>
      <c r="J2196" s="52"/>
    </row>
    <row r="2197" spans="1:10" hidden="1" x14ac:dyDescent="0.35">
      <c r="A2197" s="2">
        <v>45442</v>
      </c>
      <c r="B2197" t="s">
        <v>113</v>
      </c>
      <c r="C2197" t="s">
        <v>115</v>
      </c>
      <c r="E2197">
        <v>23</v>
      </c>
      <c r="F2197">
        <v>0</v>
      </c>
      <c r="G2197">
        <v>5</v>
      </c>
      <c r="H2197">
        <v>3</v>
      </c>
      <c r="I2197">
        <v>2</v>
      </c>
      <c r="J2197" s="52"/>
    </row>
    <row r="2198" spans="1:10" hidden="1" x14ac:dyDescent="0.35">
      <c r="A2198" s="2">
        <v>45442</v>
      </c>
      <c r="B2198" t="s">
        <v>38</v>
      </c>
      <c r="C2198" t="s">
        <v>18</v>
      </c>
      <c r="E2198">
        <v>11</v>
      </c>
      <c r="F2198">
        <v>12</v>
      </c>
      <c r="G2198">
        <v>23</v>
      </c>
      <c r="H2198">
        <v>18</v>
      </c>
      <c r="I2198">
        <v>9</v>
      </c>
      <c r="J2198" s="52"/>
    </row>
    <row r="2199" spans="1:10" hidden="1" x14ac:dyDescent="0.35">
      <c r="A2199" s="2">
        <v>45442</v>
      </c>
      <c r="B2199" t="s">
        <v>116</v>
      </c>
      <c r="C2199" t="s">
        <v>18</v>
      </c>
      <c r="E2199">
        <v>31</v>
      </c>
      <c r="F2199">
        <v>39</v>
      </c>
      <c r="G2199">
        <v>25</v>
      </c>
      <c r="H2199">
        <v>14</v>
      </c>
      <c r="I2199">
        <v>15</v>
      </c>
      <c r="J2199" s="52"/>
    </row>
    <row r="2200" spans="1:10" hidden="1" x14ac:dyDescent="0.35">
      <c r="A2200" s="2">
        <v>45442</v>
      </c>
      <c r="B2200" t="s">
        <v>13</v>
      </c>
      <c r="C2200" t="s">
        <v>25</v>
      </c>
      <c r="E2200">
        <v>31</v>
      </c>
      <c r="F2200">
        <v>2</v>
      </c>
      <c r="G2200">
        <v>20</v>
      </c>
      <c r="H2200">
        <v>2</v>
      </c>
      <c r="I2200">
        <v>8</v>
      </c>
      <c r="J2200" s="52"/>
    </row>
    <row r="2201" spans="1:10" hidden="1" x14ac:dyDescent="0.35">
      <c r="A2201" s="2">
        <v>45442</v>
      </c>
      <c r="B2201" t="s">
        <v>104</v>
      </c>
      <c r="C2201" t="s">
        <v>23</v>
      </c>
      <c r="E2201">
        <v>22</v>
      </c>
      <c r="F2201">
        <v>9</v>
      </c>
      <c r="G2201">
        <v>24</v>
      </c>
      <c r="H2201">
        <v>1</v>
      </c>
      <c r="I2201">
        <v>4</v>
      </c>
      <c r="J2201" s="52"/>
    </row>
    <row r="2202" spans="1:10" hidden="1" x14ac:dyDescent="0.35">
      <c r="A2202" s="2">
        <v>45442</v>
      </c>
      <c r="B2202" t="s">
        <v>96</v>
      </c>
      <c r="C2202" t="s">
        <v>24</v>
      </c>
      <c r="E2202">
        <v>31</v>
      </c>
      <c r="F2202">
        <v>4</v>
      </c>
      <c r="G2202">
        <v>16</v>
      </c>
      <c r="H2202">
        <v>6</v>
      </c>
      <c r="I2202">
        <v>13</v>
      </c>
      <c r="J2202" s="52"/>
    </row>
    <row r="2203" spans="1:10" hidden="1" x14ac:dyDescent="0.35">
      <c r="A2203" s="2">
        <v>45442</v>
      </c>
      <c r="B2203" t="s">
        <v>96</v>
      </c>
      <c r="C2203" t="s">
        <v>37</v>
      </c>
      <c r="E2203">
        <v>11</v>
      </c>
      <c r="F2203">
        <v>2</v>
      </c>
      <c r="G2203">
        <v>10</v>
      </c>
      <c r="H2203">
        <v>2</v>
      </c>
      <c r="I2203">
        <v>5</v>
      </c>
      <c r="J2203" s="52"/>
    </row>
    <row r="2204" spans="1:10" hidden="1" x14ac:dyDescent="0.35">
      <c r="A2204" s="2">
        <v>45442</v>
      </c>
      <c r="B2204" t="s">
        <v>101</v>
      </c>
      <c r="C2204" t="s">
        <v>37</v>
      </c>
      <c r="E2204">
        <v>5</v>
      </c>
      <c r="F2204">
        <v>0</v>
      </c>
      <c r="G2204">
        <v>1</v>
      </c>
      <c r="H2204">
        <v>0</v>
      </c>
      <c r="I2204">
        <v>2</v>
      </c>
      <c r="J2204" s="52"/>
    </row>
    <row r="2205" spans="1:10" hidden="1" x14ac:dyDescent="0.35">
      <c r="A2205" s="2">
        <v>45442</v>
      </c>
      <c r="B2205" t="s">
        <v>50</v>
      </c>
      <c r="C2205" t="s">
        <v>37</v>
      </c>
      <c r="E2205">
        <v>5</v>
      </c>
      <c r="F2205">
        <v>3</v>
      </c>
      <c r="G2205">
        <v>30</v>
      </c>
      <c r="H2205">
        <v>12</v>
      </c>
      <c r="I2205">
        <v>6</v>
      </c>
      <c r="J2205" s="52"/>
    </row>
    <row r="2206" spans="1:10" hidden="1" x14ac:dyDescent="0.35">
      <c r="A2206" s="2">
        <v>45442</v>
      </c>
      <c r="B2206" t="s">
        <v>102</v>
      </c>
      <c r="C2206" t="s">
        <v>37</v>
      </c>
      <c r="E2206">
        <v>24</v>
      </c>
      <c r="F2206">
        <v>3</v>
      </c>
      <c r="G2206">
        <v>16</v>
      </c>
      <c r="H2206">
        <v>4</v>
      </c>
      <c r="I2206">
        <v>13</v>
      </c>
      <c r="J2206" s="52"/>
    </row>
    <row r="2207" spans="1:10" hidden="1" x14ac:dyDescent="0.35">
      <c r="A2207" s="2">
        <v>45442</v>
      </c>
      <c r="B2207" t="s">
        <v>43</v>
      </c>
      <c r="C2207" t="s">
        <v>37</v>
      </c>
      <c r="E2207">
        <v>10</v>
      </c>
      <c r="F2207">
        <v>0</v>
      </c>
      <c r="G2207">
        <v>2</v>
      </c>
      <c r="H2207">
        <v>0</v>
      </c>
      <c r="I2207">
        <v>2</v>
      </c>
      <c r="J2207" s="52"/>
    </row>
    <row r="2208" spans="1:10" hidden="1" x14ac:dyDescent="0.35">
      <c r="A2208" s="2">
        <v>45442</v>
      </c>
      <c r="B2208" t="s">
        <v>112</v>
      </c>
      <c r="C2208" t="s">
        <v>19</v>
      </c>
      <c r="E2208">
        <v>33</v>
      </c>
      <c r="F2208">
        <v>5</v>
      </c>
      <c r="G2208">
        <v>44</v>
      </c>
      <c r="H2208">
        <v>2</v>
      </c>
      <c r="I2208">
        <v>8</v>
      </c>
      <c r="J2208" s="52"/>
    </row>
    <row r="2209" spans="1:10" hidden="1" x14ac:dyDescent="0.35">
      <c r="A2209" s="2">
        <v>45442</v>
      </c>
      <c r="B2209" t="s">
        <v>40</v>
      </c>
      <c r="C2209" t="s">
        <v>19</v>
      </c>
      <c r="E2209">
        <v>29</v>
      </c>
      <c r="F2209">
        <v>5</v>
      </c>
      <c r="G2209">
        <v>31</v>
      </c>
      <c r="H2209">
        <v>2</v>
      </c>
      <c r="I2209">
        <v>9</v>
      </c>
      <c r="J2209" s="52"/>
    </row>
    <row r="2210" spans="1:10" hidden="1" x14ac:dyDescent="0.35">
      <c r="A2210" s="2">
        <v>45442</v>
      </c>
      <c r="B2210" t="s">
        <v>95</v>
      </c>
      <c r="C2210" t="s">
        <v>22</v>
      </c>
      <c r="E2210">
        <v>1</v>
      </c>
      <c r="F2210">
        <v>0</v>
      </c>
      <c r="G2210">
        <v>5</v>
      </c>
      <c r="H2210">
        <v>1</v>
      </c>
      <c r="I2210">
        <v>4</v>
      </c>
      <c r="J2210" s="52"/>
    </row>
    <row r="2211" spans="1:10" hidden="1" x14ac:dyDescent="0.35">
      <c r="A2211" s="2">
        <v>45442</v>
      </c>
      <c r="B2211" t="s">
        <v>105</v>
      </c>
      <c r="C2211" t="s">
        <v>22</v>
      </c>
      <c r="E2211">
        <v>25</v>
      </c>
      <c r="F2211">
        <v>11</v>
      </c>
      <c r="G2211">
        <v>33</v>
      </c>
      <c r="H2211">
        <v>19</v>
      </c>
      <c r="I2211">
        <v>9</v>
      </c>
      <c r="J2211" s="52"/>
    </row>
    <row r="2212" spans="1:10" hidden="1" x14ac:dyDescent="0.35">
      <c r="A2212" s="2">
        <v>45442</v>
      </c>
      <c r="B2212" t="s">
        <v>43</v>
      </c>
      <c r="C2212" t="s">
        <v>27</v>
      </c>
      <c r="E2212">
        <v>29</v>
      </c>
      <c r="F2212">
        <v>0</v>
      </c>
      <c r="G2212">
        <v>21</v>
      </c>
      <c r="H2212">
        <v>0</v>
      </c>
      <c r="I2212">
        <v>10</v>
      </c>
      <c r="J2212" s="52"/>
    </row>
    <row r="2213" spans="1:10" hidden="1" x14ac:dyDescent="0.35">
      <c r="A2213" s="2">
        <v>45442</v>
      </c>
      <c r="B2213" t="s">
        <v>84</v>
      </c>
      <c r="C2213" t="s">
        <v>27</v>
      </c>
      <c r="E2213">
        <v>30</v>
      </c>
      <c r="F2213">
        <v>0</v>
      </c>
      <c r="G2213">
        <v>19</v>
      </c>
      <c r="H2213">
        <v>0</v>
      </c>
      <c r="I2213">
        <v>10</v>
      </c>
      <c r="J2213" s="52"/>
    </row>
    <row r="2214" spans="1:10" hidden="1" x14ac:dyDescent="0.35">
      <c r="A2214" s="2">
        <v>45442</v>
      </c>
      <c r="B2214" t="s">
        <v>101</v>
      </c>
      <c r="C2214" t="s">
        <v>9</v>
      </c>
      <c r="E2214">
        <v>13</v>
      </c>
      <c r="F2214">
        <v>0</v>
      </c>
      <c r="G2214">
        <v>22</v>
      </c>
      <c r="H2214">
        <v>2</v>
      </c>
      <c r="I2214">
        <v>5</v>
      </c>
      <c r="J2214" s="52"/>
    </row>
    <row r="2215" spans="1:10" hidden="1" x14ac:dyDescent="0.35">
      <c r="A2215" s="2">
        <v>45442</v>
      </c>
      <c r="B2215" t="s">
        <v>75</v>
      </c>
      <c r="C2215" t="s">
        <v>21</v>
      </c>
      <c r="E2215">
        <v>28</v>
      </c>
      <c r="F2215">
        <v>8</v>
      </c>
      <c r="G2215">
        <v>19</v>
      </c>
      <c r="H2215">
        <v>8</v>
      </c>
      <c r="I2215">
        <v>6</v>
      </c>
      <c r="J2215" s="52"/>
    </row>
    <row r="2216" spans="1:10" hidden="1" x14ac:dyDescent="0.35">
      <c r="A2216" s="2">
        <v>45442</v>
      </c>
      <c r="B2216" t="s">
        <v>117</v>
      </c>
      <c r="C2216" t="s">
        <v>54</v>
      </c>
      <c r="E2216">
        <v>29</v>
      </c>
      <c r="F2216">
        <v>9</v>
      </c>
      <c r="G2216">
        <v>29</v>
      </c>
      <c r="H2216">
        <v>5</v>
      </c>
      <c r="I2216">
        <v>7</v>
      </c>
      <c r="J2216" s="52"/>
    </row>
    <row r="2217" spans="1:10" hidden="1" x14ac:dyDescent="0.35">
      <c r="A2217" s="2">
        <v>45442</v>
      </c>
      <c r="B2217" t="s">
        <v>57</v>
      </c>
      <c r="C2217" t="s">
        <v>55</v>
      </c>
      <c r="E2217">
        <v>21</v>
      </c>
      <c r="F2217">
        <v>12</v>
      </c>
      <c r="G2217">
        <v>15</v>
      </c>
      <c r="H2217">
        <v>5</v>
      </c>
      <c r="I2217">
        <v>8</v>
      </c>
      <c r="J2217" s="52"/>
    </row>
    <row r="2218" spans="1:10" hidden="1" x14ac:dyDescent="0.35">
      <c r="A2218" s="2">
        <v>45442</v>
      </c>
      <c r="B2218" t="s">
        <v>100</v>
      </c>
      <c r="C2218" t="s">
        <v>58</v>
      </c>
      <c r="E2218">
        <v>13</v>
      </c>
      <c r="F2218">
        <v>9</v>
      </c>
      <c r="G2218">
        <v>2</v>
      </c>
      <c r="H2218">
        <v>9</v>
      </c>
      <c r="I2218">
        <v>2</v>
      </c>
      <c r="J2218" s="52"/>
    </row>
    <row r="2219" spans="1:10" hidden="1" x14ac:dyDescent="0.35">
      <c r="A2219" s="2">
        <v>45442</v>
      </c>
      <c r="B2219" t="s">
        <v>107</v>
      </c>
      <c r="C2219" t="s">
        <v>58</v>
      </c>
      <c r="E2219">
        <v>0</v>
      </c>
      <c r="F2219">
        <v>3</v>
      </c>
      <c r="G2219">
        <v>0</v>
      </c>
      <c r="H2219">
        <v>2</v>
      </c>
      <c r="I2219">
        <v>2</v>
      </c>
      <c r="J2219" s="52"/>
    </row>
    <row r="2220" spans="1:10" hidden="1" x14ac:dyDescent="0.35">
      <c r="A2220" s="2">
        <v>45442</v>
      </c>
      <c r="B2220" t="s">
        <v>64</v>
      </c>
      <c r="C2220" t="s">
        <v>62</v>
      </c>
      <c r="E2220">
        <v>8</v>
      </c>
      <c r="F2220">
        <v>8</v>
      </c>
      <c r="G2220">
        <v>25</v>
      </c>
      <c r="H2220">
        <v>10</v>
      </c>
      <c r="I2220">
        <v>4</v>
      </c>
      <c r="J2220" s="52"/>
    </row>
    <row r="2221" spans="1:10" hidden="1" x14ac:dyDescent="0.35">
      <c r="A2221" s="2">
        <v>45442</v>
      </c>
      <c r="B2221" t="s">
        <v>97</v>
      </c>
      <c r="C2221" t="s">
        <v>61</v>
      </c>
      <c r="E2221">
        <v>37</v>
      </c>
      <c r="F2221">
        <v>3</v>
      </c>
      <c r="G2221">
        <v>14</v>
      </c>
      <c r="H2221">
        <v>2</v>
      </c>
      <c r="I2221">
        <v>16</v>
      </c>
      <c r="J2221" s="52"/>
    </row>
    <row r="2222" spans="1:10" hidden="1" x14ac:dyDescent="0.35">
      <c r="A2222" s="2">
        <v>45442</v>
      </c>
      <c r="B2222" t="s">
        <v>118</v>
      </c>
      <c r="C2222" t="s">
        <v>91</v>
      </c>
      <c r="E2222">
        <v>10</v>
      </c>
      <c r="F2222">
        <v>6</v>
      </c>
      <c r="G2222">
        <v>3</v>
      </c>
      <c r="H2222">
        <v>0</v>
      </c>
      <c r="I2222">
        <v>4</v>
      </c>
      <c r="J2222" s="52"/>
    </row>
    <row r="2223" spans="1:10" hidden="1" x14ac:dyDescent="0.35">
      <c r="A2223" s="2">
        <v>45442</v>
      </c>
      <c r="B2223" t="s">
        <v>119</v>
      </c>
      <c r="C2223" t="s">
        <v>63</v>
      </c>
      <c r="E2223">
        <v>27</v>
      </c>
      <c r="F2223">
        <v>13</v>
      </c>
      <c r="G2223">
        <v>23</v>
      </c>
      <c r="H2223">
        <v>4</v>
      </c>
      <c r="I2223">
        <v>10</v>
      </c>
      <c r="J2223" s="52"/>
    </row>
    <row r="2224" spans="1:10" hidden="1" x14ac:dyDescent="0.35">
      <c r="A2224" s="2">
        <v>45442</v>
      </c>
      <c r="B2224" t="s">
        <v>77</v>
      </c>
      <c r="C2224" t="s">
        <v>73</v>
      </c>
      <c r="E2224">
        <v>15</v>
      </c>
      <c r="F2224">
        <v>11</v>
      </c>
      <c r="G2224">
        <v>21</v>
      </c>
      <c r="H2224">
        <v>12</v>
      </c>
      <c r="I2224">
        <v>10</v>
      </c>
      <c r="J2224" s="52"/>
    </row>
    <row r="2225" spans="1:10" hidden="1" x14ac:dyDescent="0.35">
      <c r="A2225" s="2">
        <v>45442</v>
      </c>
      <c r="B2225" t="s">
        <v>110</v>
      </c>
      <c r="C2225" t="s">
        <v>81</v>
      </c>
      <c r="E2225">
        <v>8</v>
      </c>
      <c r="F2225">
        <v>0</v>
      </c>
      <c r="G2225">
        <v>15</v>
      </c>
      <c r="H2225">
        <v>1</v>
      </c>
      <c r="I2225">
        <v>7</v>
      </c>
      <c r="J2225" s="52"/>
    </row>
    <row r="2226" spans="1:10" hidden="1" x14ac:dyDescent="0.35">
      <c r="A2226" s="2">
        <v>45442</v>
      </c>
      <c r="B2226" t="s">
        <v>85</v>
      </c>
      <c r="C2226" t="s">
        <v>83</v>
      </c>
      <c r="E2226">
        <v>19</v>
      </c>
      <c r="F2226">
        <v>5</v>
      </c>
      <c r="G2226">
        <v>21</v>
      </c>
      <c r="H2226">
        <v>10</v>
      </c>
      <c r="I2226">
        <v>10</v>
      </c>
      <c r="J2226" s="52"/>
    </row>
    <row r="2227" spans="1:10" hidden="1" x14ac:dyDescent="0.35">
      <c r="A2227" s="2">
        <v>45442</v>
      </c>
      <c r="B2227" t="s">
        <v>88</v>
      </c>
      <c r="C2227" t="s">
        <v>76</v>
      </c>
      <c r="E2227">
        <v>25</v>
      </c>
      <c r="F2227">
        <v>1</v>
      </c>
      <c r="G2227">
        <v>11</v>
      </c>
      <c r="H2227">
        <v>3</v>
      </c>
      <c r="I2227">
        <v>1</v>
      </c>
      <c r="J2227" s="52"/>
    </row>
    <row r="2228" spans="1:10" hidden="1" x14ac:dyDescent="0.35">
      <c r="A2228" s="2">
        <v>45442</v>
      </c>
      <c r="B2228" t="s">
        <v>89</v>
      </c>
      <c r="C2228" t="s">
        <v>87</v>
      </c>
      <c r="E2228">
        <v>9</v>
      </c>
      <c r="F2228">
        <v>7</v>
      </c>
      <c r="G2228">
        <v>4</v>
      </c>
      <c r="H2228">
        <v>0</v>
      </c>
      <c r="I2228">
        <v>4</v>
      </c>
      <c r="J2228" s="52"/>
    </row>
    <row r="2229" spans="1:10" hidden="1" x14ac:dyDescent="0.35">
      <c r="A2229" s="2">
        <v>45442</v>
      </c>
      <c r="B2229" t="s">
        <v>93</v>
      </c>
      <c r="C2229" t="s">
        <v>90</v>
      </c>
      <c r="E2229">
        <v>2</v>
      </c>
      <c r="F2229">
        <v>0</v>
      </c>
      <c r="G2229">
        <v>5</v>
      </c>
      <c r="H2229">
        <v>0</v>
      </c>
      <c r="I2229">
        <v>1</v>
      </c>
      <c r="J2229" s="52"/>
    </row>
    <row r="2230" spans="1:10" hidden="1" x14ac:dyDescent="0.35">
      <c r="A2230" s="2">
        <v>45442</v>
      </c>
      <c r="B2230" t="s">
        <v>99</v>
      </c>
      <c r="C2230" t="s">
        <v>92</v>
      </c>
      <c r="E2230">
        <v>11</v>
      </c>
      <c r="F2230">
        <v>5</v>
      </c>
      <c r="G2230">
        <v>12</v>
      </c>
      <c r="H2230">
        <v>1</v>
      </c>
      <c r="I2230">
        <v>3</v>
      </c>
      <c r="J2230" s="52"/>
    </row>
    <row r="2231" spans="1:10" hidden="1" x14ac:dyDescent="0.35">
      <c r="A2231" s="2">
        <v>45442</v>
      </c>
      <c r="B2231" t="s">
        <v>98</v>
      </c>
      <c r="C2231" t="s">
        <v>94</v>
      </c>
      <c r="E2231">
        <v>27</v>
      </c>
      <c r="F2231">
        <v>1</v>
      </c>
      <c r="G2231">
        <v>23</v>
      </c>
      <c r="H2231">
        <v>0</v>
      </c>
      <c r="I2231">
        <v>10</v>
      </c>
      <c r="J2231" s="52"/>
    </row>
    <row r="2232" spans="1:10" hidden="1" x14ac:dyDescent="0.35">
      <c r="A2232" s="2">
        <v>45442</v>
      </c>
      <c r="B2232" t="s">
        <v>106</v>
      </c>
      <c r="C2232" t="s">
        <v>103</v>
      </c>
      <c r="E2232">
        <v>10</v>
      </c>
      <c r="F2232">
        <v>2</v>
      </c>
      <c r="G2232">
        <v>14</v>
      </c>
      <c r="H2232">
        <v>5</v>
      </c>
      <c r="I2232">
        <v>2</v>
      </c>
      <c r="J2232" s="52"/>
    </row>
    <row r="2233" spans="1:10" hidden="1" x14ac:dyDescent="0.35">
      <c r="A2233" s="2">
        <v>45442</v>
      </c>
      <c r="B2233" t="s">
        <v>108</v>
      </c>
      <c r="C2233" t="s">
        <v>109</v>
      </c>
      <c r="E2233">
        <v>40</v>
      </c>
      <c r="F2233">
        <v>7</v>
      </c>
      <c r="G2233">
        <v>4</v>
      </c>
      <c r="H2233">
        <v>2</v>
      </c>
      <c r="I2233">
        <v>5</v>
      </c>
      <c r="J2233" s="52"/>
    </row>
    <row r="2234" spans="1:10" hidden="1" x14ac:dyDescent="0.35">
      <c r="A2234" s="2">
        <v>45442</v>
      </c>
      <c r="B2234" t="s">
        <v>114</v>
      </c>
      <c r="C2234" t="s">
        <v>111</v>
      </c>
      <c r="E2234">
        <v>14</v>
      </c>
      <c r="F2234">
        <v>5</v>
      </c>
      <c r="G2234">
        <v>5</v>
      </c>
      <c r="H2234">
        <v>1</v>
      </c>
      <c r="I2234">
        <v>5</v>
      </c>
      <c r="J2234" s="52"/>
    </row>
    <row r="2235" spans="1:10" hidden="1" x14ac:dyDescent="0.35">
      <c r="A2235" s="2">
        <v>45473</v>
      </c>
      <c r="C2235" t="s">
        <v>24</v>
      </c>
      <c r="D2235">
        <v>568</v>
      </c>
      <c r="J2235" s="58">
        <v>96900</v>
      </c>
    </row>
    <row r="2236" spans="1:10" hidden="1" x14ac:dyDescent="0.35">
      <c r="A2236" s="2">
        <v>45473</v>
      </c>
      <c r="C2236" t="s">
        <v>9</v>
      </c>
      <c r="D2236">
        <v>174</v>
      </c>
      <c r="J2236" s="58">
        <v>79400</v>
      </c>
    </row>
    <row r="2237" spans="1:10" hidden="1" x14ac:dyDescent="0.35">
      <c r="A2237" s="2">
        <v>45473</v>
      </c>
      <c r="C2237" t="s">
        <v>37</v>
      </c>
      <c r="D2237">
        <v>590</v>
      </c>
      <c r="J2237" s="58">
        <v>329150</v>
      </c>
    </row>
    <row r="2238" spans="1:10" hidden="1" x14ac:dyDescent="0.35">
      <c r="A2238" s="2">
        <v>45473</v>
      </c>
      <c r="C2238" t="s">
        <v>23</v>
      </c>
      <c r="D2238">
        <v>429</v>
      </c>
      <c r="J2238" s="58">
        <v>60000</v>
      </c>
    </row>
    <row r="2239" spans="1:10" hidden="1" x14ac:dyDescent="0.35">
      <c r="A2239" s="2">
        <v>45473</v>
      </c>
      <c r="C2239" t="s">
        <v>27</v>
      </c>
      <c r="D2239">
        <v>378</v>
      </c>
      <c r="J2239" s="58">
        <v>370000</v>
      </c>
    </row>
    <row r="2240" spans="1:10" hidden="1" x14ac:dyDescent="0.35">
      <c r="A2240" s="2">
        <v>45473</v>
      </c>
      <c r="C2240" t="s">
        <v>26</v>
      </c>
      <c r="D2240">
        <v>196</v>
      </c>
      <c r="J2240" s="58">
        <v>146400</v>
      </c>
    </row>
    <row r="2241" spans="1:10" hidden="1" x14ac:dyDescent="0.35">
      <c r="A2241" s="2">
        <v>45473</v>
      </c>
      <c r="C2241" t="s">
        <v>20</v>
      </c>
      <c r="D2241">
        <v>561</v>
      </c>
      <c r="J2241" s="58">
        <v>489300</v>
      </c>
    </row>
    <row r="2242" spans="1:10" hidden="1" x14ac:dyDescent="0.35">
      <c r="A2242" s="2">
        <v>45473</v>
      </c>
      <c r="C2242" t="s">
        <v>25</v>
      </c>
      <c r="D2242">
        <v>273</v>
      </c>
      <c r="J2242" s="58">
        <v>92950</v>
      </c>
    </row>
    <row r="2243" spans="1:10" hidden="1" x14ac:dyDescent="0.35">
      <c r="A2243" s="2">
        <v>45473</v>
      </c>
      <c r="C2243" t="s">
        <v>19</v>
      </c>
      <c r="D2243">
        <v>464</v>
      </c>
      <c r="J2243" s="58">
        <v>243250</v>
      </c>
    </row>
    <row r="2244" spans="1:10" hidden="1" x14ac:dyDescent="0.35">
      <c r="A2244" s="2">
        <v>45473</v>
      </c>
      <c r="C2244" t="s">
        <v>21</v>
      </c>
      <c r="D2244">
        <v>373</v>
      </c>
      <c r="J2244" s="58">
        <v>101500</v>
      </c>
    </row>
    <row r="2245" spans="1:10" hidden="1" x14ac:dyDescent="0.35">
      <c r="A2245" s="2">
        <v>45473</v>
      </c>
      <c r="C2245" t="s">
        <v>18</v>
      </c>
      <c r="D2245">
        <v>594</v>
      </c>
      <c r="J2245" s="58">
        <v>405450</v>
      </c>
    </row>
    <row r="2246" spans="1:10" hidden="1" x14ac:dyDescent="0.35">
      <c r="A2246" s="2">
        <v>45473</v>
      </c>
      <c r="C2246" t="s">
        <v>22</v>
      </c>
      <c r="D2246">
        <v>250</v>
      </c>
      <c r="J2246" s="58">
        <v>163000</v>
      </c>
    </row>
    <row r="2247" spans="1:10" hidden="1" x14ac:dyDescent="0.35">
      <c r="A2247" s="2">
        <v>45473</v>
      </c>
      <c r="C2247" t="s">
        <v>54</v>
      </c>
      <c r="D2247">
        <v>417</v>
      </c>
      <c r="J2247" s="58">
        <v>57800</v>
      </c>
    </row>
    <row r="2248" spans="1:10" hidden="1" x14ac:dyDescent="0.35">
      <c r="A2248" s="2">
        <v>45473</v>
      </c>
      <c r="C2248" t="s">
        <v>55</v>
      </c>
      <c r="D2248">
        <v>378</v>
      </c>
      <c r="J2248" s="58">
        <v>171390</v>
      </c>
    </row>
    <row r="2249" spans="1:10" hidden="1" x14ac:dyDescent="0.35">
      <c r="A2249" s="2">
        <v>45473</v>
      </c>
      <c r="C2249" t="s">
        <v>58</v>
      </c>
      <c r="D2249">
        <v>429</v>
      </c>
      <c r="J2249" s="58">
        <v>191500</v>
      </c>
    </row>
    <row r="2250" spans="1:10" hidden="1" x14ac:dyDescent="0.35">
      <c r="A2250" s="2">
        <v>45473</v>
      </c>
      <c r="C2250" t="s">
        <v>62</v>
      </c>
      <c r="D2250">
        <v>373</v>
      </c>
      <c r="J2250" s="58">
        <v>25500</v>
      </c>
    </row>
    <row r="2251" spans="1:10" hidden="1" x14ac:dyDescent="0.35">
      <c r="A2251" s="2">
        <v>45473</v>
      </c>
      <c r="C2251" t="s">
        <v>61</v>
      </c>
      <c r="D2251">
        <v>191</v>
      </c>
      <c r="J2251" s="58">
        <v>106500</v>
      </c>
    </row>
    <row r="2252" spans="1:10" hidden="1" x14ac:dyDescent="0.35">
      <c r="A2252" s="2">
        <v>45473</v>
      </c>
      <c r="C2252" t="s">
        <v>63</v>
      </c>
      <c r="D2252">
        <v>218</v>
      </c>
      <c r="J2252" s="58">
        <v>146500</v>
      </c>
    </row>
    <row r="2253" spans="1:10" hidden="1" x14ac:dyDescent="0.35">
      <c r="A2253" s="2">
        <v>45473</v>
      </c>
      <c r="C2253" t="s">
        <v>73</v>
      </c>
      <c r="D2253">
        <v>241</v>
      </c>
      <c r="J2253" s="58">
        <v>91000</v>
      </c>
    </row>
    <row r="2254" spans="1:10" hidden="1" x14ac:dyDescent="0.35">
      <c r="A2254" s="2">
        <v>45473</v>
      </c>
      <c r="C2254" t="s">
        <v>76</v>
      </c>
      <c r="D2254">
        <v>238</v>
      </c>
      <c r="J2254" s="58">
        <v>95500</v>
      </c>
    </row>
    <row r="2255" spans="1:10" hidden="1" x14ac:dyDescent="0.35">
      <c r="A2255" s="2">
        <v>45473</v>
      </c>
      <c r="C2255" t="s">
        <v>81</v>
      </c>
      <c r="D2255">
        <v>332</v>
      </c>
      <c r="J2255" s="58">
        <v>91500</v>
      </c>
    </row>
    <row r="2256" spans="1:10" hidden="1" x14ac:dyDescent="0.35">
      <c r="A2256" s="2">
        <v>45473</v>
      </c>
      <c r="C2256" t="s">
        <v>83</v>
      </c>
      <c r="D2256">
        <v>214</v>
      </c>
      <c r="J2256" s="58">
        <v>157950</v>
      </c>
    </row>
    <row r="2257" spans="1:10" hidden="1" x14ac:dyDescent="0.35">
      <c r="A2257" s="2">
        <v>45473</v>
      </c>
      <c r="C2257" t="s">
        <v>87</v>
      </c>
      <c r="D2257">
        <v>155</v>
      </c>
      <c r="J2257" s="58">
        <v>66000</v>
      </c>
    </row>
    <row r="2258" spans="1:10" hidden="1" x14ac:dyDescent="0.35">
      <c r="A2258" s="2">
        <v>45473</v>
      </c>
      <c r="C2258" t="s">
        <v>91</v>
      </c>
      <c r="D2258">
        <v>281</v>
      </c>
      <c r="J2258" s="58">
        <v>36500</v>
      </c>
    </row>
    <row r="2259" spans="1:10" hidden="1" x14ac:dyDescent="0.35">
      <c r="A2259" s="2">
        <v>45473</v>
      </c>
      <c r="C2259" t="s">
        <v>92</v>
      </c>
      <c r="D2259">
        <v>234</v>
      </c>
      <c r="J2259" s="58">
        <v>13000</v>
      </c>
    </row>
    <row r="2260" spans="1:10" hidden="1" x14ac:dyDescent="0.35">
      <c r="A2260" s="2">
        <v>45473</v>
      </c>
      <c r="C2260" t="s">
        <v>94</v>
      </c>
      <c r="D2260">
        <v>261</v>
      </c>
      <c r="J2260" s="58">
        <v>209400</v>
      </c>
    </row>
    <row r="2261" spans="1:10" hidden="1" x14ac:dyDescent="0.35">
      <c r="A2261" s="2">
        <v>45473</v>
      </c>
      <c r="C2261" t="s">
        <v>103</v>
      </c>
      <c r="D2261">
        <v>110</v>
      </c>
      <c r="J2261" s="58">
        <v>26000</v>
      </c>
    </row>
    <row r="2262" spans="1:10" hidden="1" x14ac:dyDescent="0.35">
      <c r="A2262" s="2">
        <v>45473</v>
      </c>
      <c r="C2262" t="s">
        <v>109</v>
      </c>
      <c r="D2262">
        <v>238</v>
      </c>
      <c r="J2262" s="58">
        <v>69950</v>
      </c>
    </row>
    <row r="2263" spans="1:10" hidden="1" x14ac:dyDescent="0.35">
      <c r="A2263" s="2">
        <v>45473</v>
      </c>
      <c r="C2263" t="s">
        <v>111</v>
      </c>
      <c r="D2263">
        <v>278</v>
      </c>
      <c r="J2263" s="58">
        <v>25000</v>
      </c>
    </row>
    <row r="2264" spans="1:10" hidden="1" x14ac:dyDescent="0.35">
      <c r="A2264" s="2">
        <v>45473</v>
      </c>
      <c r="C2264" t="s">
        <v>115</v>
      </c>
      <c r="D2264">
        <v>299</v>
      </c>
      <c r="J2264" s="58">
        <v>76000</v>
      </c>
    </row>
    <row r="2265" spans="1:10" hidden="1" x14ac:dyDescent="0.35">
      <c r="A2265" s="2">
        <v>45473</v>
      </c>
      <c r="B2265" t="s">
        <v>36</v>
      </c>
      <c r="C2265" t="s">
        <v>20</v>
      </c>
      <c r="E2265">
        <v>37</v>
      </c>
      <c r="F2265">
        <v>5</v>
      </c>
      <c r="G2265">
        <v>80</v>
      </c>
      <c r="H2265">
        <v>6</v>
      </c>
      <c r="I2265">
        <v>25</v>
      </c>
      <c r="J2265" s="52"/>
    </row>
    <row r="2266" spans="1:10" hidden="1" x14ac:dyDescent="0.35">
      <c r="A2266" s="2">
        <v>45473</v>
      </c>
      <c r="B2266" t="s">
        <v>110</v>
      </c>
      <c r="C2266" t="s">
        <v>20</v>
      </c>
      <c r="E2266">
        <v>17</v>
      </c>
      <c r="F2266">
        <v>3</v>
      </c>
      <c r="G2266">
        <v>17</v>
      </c>
      <c r="H2266">
        <v>0</v>
      </c>
      <c r="I2266">
        <v>9</v>
      </c>
      <c r="J2266" s="52"/>
    </row>
    <row r="2267" spans="1:10" hidden="1" x14ac:dyDescent="0.35">
      <c r="A2267" s="2">
        <v>45473</v>
      </c>
      <c r="B2267" t="s">
        <v>113</v>
      </c>
      <c r="C2267" t="s">
        <v>26</v>
      </c>
      <c r="E2267">
        <v>27</v>
      </c>
      <c r="F2267">
        <v>2</v>
      </c>
      <c r="G2267">
        <v>53</v>
      </c>
      <c r="H2267">
        <v>6</v>
      </c>
      <c r="I2267">
        <v>11</v>
      </c>
      <c r="J2267" s="52"/>
    </row>
    <row r="2268" spans="1:10" hidden="1" x14ac:dyDescent="0.35">
      <c r="A2268" s="2">
        <v>45473</v>
      </c>
      <c r="B2268" t="s">
        <v>113</v>
      </c>
      <c r="C2268" t="s">
        <v>115</v>
      </c>
      <c r="E2268">
        <v>15</v>
      </c>
      <c r="F2268">
        <v>1</v>
      </c>
      <c r="G2268">
        <v>8</v>
      </c>
      <c r="H2268">
        <v>2</v>
      </c>
      <c r="I2268">
        <v>6</v>
      </c>
      <c r="J2268" s="52"/>
    </row>
    <row r="2269" spans="1:10" hidden="1" x14ac:dyDescent="0.35">
      <c r="A2269" s="2">
        <v>45473</v>
      </c>
      <c r="B2269" t="s">
        <v>38</v>
      </c>
      <c r="C2269" t="s">
        <v>18</v>
      </c>
      <c r="E2269">
        <v>20</v>
      </c>
      <c r="F2269">
        <v>13</v>
      </c>
      <c r="G2269">
        <v>31</v>
      </c>
      <c r="H2269">
        <v>21</v>
      </c>
      <c r="I2269">
        <v>16</v>
      </c>
      <c r="J2269" s="52"/>
    </row>
    <row r="2270" spans="1:10" hidden="1" x14ac:dyDescent="0.35">
      <c r="A2270" s="2">
        <v>45473</v>
      </c>
      <c r="B2270" t="s">
        <v>116</v>
      </c>
      <c r="C2270" t="s">
        <v>18</v>
      </c>
      <c r="E2270">
        <v>38</v>
      </c>
      <c r="F2270">
        <v>23</v>
      </c>
      <c r="G2270">
        <v>22</v>
      </c>
      <c r="H2270">
        <v>15</v>
      </c>
      <c r="I2270">
        <v>15</v>
      </c>
      <c r="J2270" s="52"/>
    </row>
    <row r="2271" spans="1:10" hidden="1" x14ac:dyDescent="0.35">
      <c r="A2271" s="2">
        <v>45473</v>
      </c>
      <c r="B2271" t="s">
        <v>13</v>
      </c>
      <c r="C2271" t="s">
        <v>25</v>
      </c>
      <c r="E2271">
        <v>37</v>
      </c>
      <c r="F2271">
        <v>1</v>
      </c>
      <c r="G2271">
        <v>31</v>
      </c>
      <c r="H2271">
        <v>1</v>
      </c>
      <c r="I2271">
        <v>7</v>
      </c>
      <c r="J2271" s="52"/>
    </row>
    <row r="2272" spans="1:10" hidden="1" x14ac:dyDescent="0.35">
      <c r="A2272" s="2">
        <v>45473</v>
      </c>
      <c r="B2272" t="s">
        <v>104</v>
      </c>
      <c r="C2272" t="s">
        <v>23</v>
      </c>
      <c r="E2272">
        <v>20</v>
      </c>
      <c r="F2272">
        <v>3</v>
      </c>
      <c r="G2272">
        <v>13</v>
      </c>
      <c r="H2272">
        <v>1</v>
      </c>
      <c r="I2272">
        <v>5</v>
      </c>
      <c r="J2272" s="52"/>
    </row>
    <row r="2273" spans="1:10" hidden="1" x14ac:dyDescent="0.35">
      <c r="A2273" s="2">
        <v>45473</v>
      </c>
      <c r="B2273" t="s">
        <v>102</v>
      </c>
      <c r="C2273" t="s">
        <v>24</v>
      </c>
      <c r="E2273">
        <v>2</v>
      </c>
      <c r="F2273">
        <v>0</v>
      </c>
      <c r="G2273">
        <v>8</v>
      </c>
      <c r="H2273">
        <v>0</v>
      </c>
      <c r="I2273">
        <v>2</v>
      </c>
      <c r="J2273" s="52"/>
    </row>
    <row r="2274" spans="1:10" hidden="1" x14ac:dyDescent="0.35">
      <c r="A2274" s="2">
        <v>45473</v>
      </c>
      <c r="B2274" t="s">
        <v>96</v>
      </c>
      <c r="C2274" t="s">
        <v>24</v>
      </c>
      <c r="E2274">
        <v>31</v>
      </c>
      <c r="F2274">
        <v>7</v>
      </c>
      <c r="G2274">
        <v>18</v>
      </c>
      <c r="H2274">
        <v>6</v>
      </c>
      <c r="I2274">
        <v>5</v>
      </c>
      <c r="J2274" s="52"/>
    </row>
    <row r="2275" spans="1:10" hidden="1" x14ac:dyDescent="0.35">
      <c r="A2275" s="2">
        <v>45473</v>
      </c>
      <c r="B2275" t="s">
        <v>96</v>
      </c>
      <c r="C2275" t="s">
        <v>37</v>
      </c>
      <c r="E2275">
        <v>6</v>
      </c>
      <c r="F2275">
        <v>0</v>
      </c>
      <c r="G2275">
        <v>7</v>
      </c>
      <c r="H2275">
        <v>2</v>
      </c>
      <c r="I2275">
        <v>4</v>
      </c>
      <c r="J2275" s="52"/>
    </row>
    <row r="2276" spans="1:10" hidden="1" x14ac:dyDescent="0.35">
      <c r="A2276" s="2">
        <v>45473</v>
      </c>
      <c r="B2276" t="s">
        <v>101</v>
      </c>
      <c r="C2276" t="s">
        <v>37</v>
      </c>
      <c r="E2276">
        <v>1</v>
      </c>
      <c r="F2276">
        <v>0</v>
      </c>
      <c r="G2276">
        <v>1</v>
      </c>
      <c r="H2276">
        <v>0</v>
      </c>
      <c r="I2276">
        <v>1</v>
      </c>
      <c r="J2276" s="52"/>
    </row>
    <row r="2277" spans="1:10" hidden="1" x14ac:dyDescent="0.35">
      <c r="A2277" s="2">
        <v>45473</v>
      </c>
      <c r="B2277" t="s">
        <v>50</v>
      </c>
      <c r="C2277" t="s">
        <v>37</v>
      </c>
      <c r="E2277">
        <v>1</v>
      </c>
      <c r="F2277">
        <v>0</v>
      </c>
      <c r="G2277">
        <v>0</v>
      </c>
      <c r="H2277">
        <v>0</v>
      </c>
      <c r="I2277">
        <v>1</v>
      </c>
      <c r="J2277" s="52"/>
    </row>
    <row r="2278" spans="1:10" hidden="1" x14ac:dyDescent="0.35">
      <c r="A2278" s="2">
        <v>45473</v>
      </c>
      <c r="B2278" t="s">
        <v>102</v>
      </c>
      <c r="C2278" t="s">
        <v>37</v>
      </c>
      <c r="E2278">
        <v>42</v>
      </c>
      <c r="F2278">
        <v>11</v>
      </c>
      <c r="G2278">
        <v>38</v>
      </c>
      <c r="H2278">
        <v>5</v>
      </c>
      <c r="I2278">
        <v>19</v>
      </c>
      <c r="J2278" s="52"/>
    </row>
    <row r="2279" spans="1:10" hidden="1" x14ac:dyDescent="0.35">
      <c r="A2279" s="2">
        <v>45473</v>
      </c>
      <c r="B2279" t="s">
        <v>112</v>
      </c>
      <c r="C2279" t="s">
        <v>19</v>
      </c>
      <c r="E2279">
        <v>39</v>
      </c>
      <c r="F2279">
        <v>8</v>
      </c>
      <c r="G2279">
        <v>35</v>
      </c>
      <c r="H2279">
        <v>5</v>
      </c>
      <c r="I2279">
        <v>10</v>
      </c>
      <c r="J2279" s="52"/>
    </row>
    <row r="2280" spans="1:10" hidden="1" x14ac:dyDescent="0.35">
      <c r="A2280" s="2">
        <v>45473</v>
      </c>
      <c r="B2280" t="s">
        <v>40</v>
      </c>
      <c r="C2280" t="s">
        <v>19</v>
      </c>
      <c r="E2280">
        <v>41</v>
      </c>
      <c r="F2280">
        <v>10</v>
      </c>
      <c r="G2280">
        <v>24</v>
      </c>
      <c r="H2280">
        <v>0</v>
      </c>
      <c r="I2280">
        <v>8</v>
      </c>
      <c r="J2280" s="52"/>
    </row>
    <row r="2281" spans="1:10" hidden="1" x14ac:dyDescent="0.35">
      <c r="A2281" s="2">
        <v>45473</v>
      </c>
      <c r="B2281" t="s">
        <v>84</v>
      </c>
      <c r="C2281" t="s">
        <v>22</v>
      </c>
      <c r="E2281">
        <v>0</v>
      </c>
      <c r="F2281">
        <v>5</v>
      </c>
      <c r="G2281">
        <v>0</v>
      </c>
      <c r="H2281">
        <v>0</v>
      </c>
      <c r="I2281">
        <v>2</v>
      </c>
      <c r="J2281" s="52"/>
    </row>
    <row r="2282" spans="1:10" hidden="1" x14ac:dyDescent="0.35">
      <c r="A2282" s="2">
        <v>45473</v>
      </c>
      <c r="B2282" t="s">
        <v>105</v>
      </c>
      <c r="C2282" t="s">
        <v>22</v>
      </c>
      <c r="E2282">
        <v>15</v>
      </c>
      <c r="F2282">
        <v>1</v>
      </c>
      <c r="G2282">
        <v>23</v>
      </c>
      <c r="H2282">
        <v>10</v>
      </c>
      <c r="I2282">
        <v>10</v>
      </c>
      <c r="J2282" s="52"/>
    </row>
    <row r="2283" spans="1:10" hidden="1" x14ac:dyDescent="0.35">
      <c r="A2283" s="2">
        <v>45473</v>
      </c>
      <c r="B2283" t="s">
        <v>43</v>
      </c>
      <c r="C2283" t="s">
        <v>27</v>
      </c>
      <c r="I2283">
        <v>13</v>
      </c>
      <c r="J2283" s="52"/>
    </row>
    <row r="2284" spans="1:10" hidden="1" x14ac:dyDescent="0.35">
      <c r="A2284" s="2">
        <v>45473</v>
      </c>
      <c r="B2284" t="s">
        <v>84</v>
      </c>
      <c r="C2284" t="s">
        <v>27</v>
      </c>
      <c r="I2284">
        <v>11</v>
      </c>
      <c r="J2284" s="52"/>
    </row>
    <row r="2285" spans="1:10" hidden="1" x14ac:dyDescent="0.35">
      <c r="A2285" s="2">
        <v>45473</v>
      </c>
      <c r="B2285" t="s">
        <v>101</v>
      </c>
      <c r="C2285" t="s">
        <v>9</v>
      </c>
      <c r="E2285">
        <v>13</v>
      </c>
      <c r="F2285">
        <v>0</v>
      </c>
      <c r="G2285">
        <v>11</v>
      </c>
      <c r="H2285">
        <v>0</v>
      </c>
      <c r="I2285">
        <v>6</v>
      </c>
      <c r="J2285" s="52"/>
    </row>
    <row r="2286" spans="1:10" hidden="1" x14ac:dyDescent="0.35">
      <c r="A2286" s="2">
        <v>45473</v>
      </c>
      <c r="B2286" t="s">
        <v>75</v>
      </c>
      <c r="C2286" t="s">
        <v>21</v>
      </c>
      <c r="E2286">
        <v>25</v>
      </c>
      <c r="F2286">
        <v>9</v>
      </c>
      <c r="G2286">
        <v>11</v>
      </c>
      <c r="H2286">
        <v>1</v>
      </c>
      <c r="I2286">
        <v>7</v>
      </c>
      <c r="J2286" s="52"/>
    </row>
    <row r="2287" spans="1:10" hidden="1" x14ac:dyDescent="0.35">
      <c r="A2287" s="2">
        <v>45473</v>
      </c>
      <c r="B2287" t="s">
        <v>120</v>
      </c>
      <c r="C2287" t="s">
        <v>21</v>
      </c>
      <c r="E2287">
        <v>2</v>
      </c>
      <c r="F2287">
        <v>2</v>
      </c>
      <c r="G2287">
        <v>0</v>
      </c>
      <c r="H2287">
        <v>9</v>
      </c>
      <c r="I2287">
        <v>0</v>
      </c>
      <c r="J2287" s="52"/>
    </row>
    <row r="2288" spans="1:10" hidden="1" x14ac:dyDescent="0.35">
      <c r="A2288" s="2">
        <v>45473</v>
      </c>
      <c r="B2288" t="s">
        <v>117</v>
      </c>
      <c r="C2288" t="s">
        <v>54</v>
      </c>
      <c r="E2288">
        <v>25</v>
      </c>
      <c r="F2288">
        <v>7</v>
      </c>
      <c r="G2288">
        <v>20</v>
      </c>
      <c r="H2288">
        <v>5</v>
      </c>
      <c r="I2288">
        <v>4</v>
      </c>
      <c r="J2288" s="52"/>
    </row>
    <row r="2289" spans="1:10" hidden="1" x14ac:dyDescent="0.35">
      <c r="A2289" s="2">
        <v>45473</v>
      </c>
      <c r="B2289" t="s">
        <v>57</v>
      </c>
      <c r="C2289" t="s">
        <v>55</v>
      </c>
      <c r="E2289">
        <v>15</v>
      </c>
      <c r="F2289">
        <v>7</v>
      </c>
      <c r="G2289">
        <v>15</v>
      </c>
      <c r="H2289">
        <v>4</v>
      </c>
      <c r="I2289">
        <v>14</v>
      </c>
      <c r="J2289" s="52"/>
    </row>
    <row r="2290" spans="1:10" hidden="1" x14ac:dyDescent="0.35">
      <c r="A2290" s="2">
        <v>45473</v>
      </c>
      <c r="B2290" t="s">
        <v>100</v>
      </c>
      <c r="C2290" t="s">
        <v>58</v>
      </c>
      <c r="E2290">
        <v>12</v>
      </c>
      <c r="F2290">
        <v>8</v>
      </c>
      <c r="G2290">
        <v>6</v>
      </c>
      <c r="H2290">
        <v>4</v>
      </c>
      <c r="I2290">
        <v>5</v>
      </c>
      <c r="J2290" s="52"/>
    </row>
    <row r="2291" spans="1:10" hidden="1" x14ac:dyDescent="0.35">
      <c r="A2291" s="2">
        <v>45473</v>
      </c>
      <c r="B2291" t="s">
        <v>107</v>
      </c>
      <c r="C2291" t="s">
        <v>58</v>
      </c>
      <c r="E2291">
        <v>26</v>
      </c>
      <c r="F2291">
        <v>12</v>
      </c>
      <c r="G2291">
        <v>14</v>
      </c>
      <c r="H2291">
        <v>3</v>
      </c>
      <c r="I2291">
        <v>9</v>
      </c>
      <c r="J2291" s="52"/>
    </row>
    <row r="2292" spans="1:10" hidden="1" x14ac:dyDescent="0.35">
      <c r="A2292" s="2">
        <v>45473</v>
      </c>
      <c r="B2292" t="s">
        <v>64</v>
      </c>
      <c r="C2292" t="s">
        <v>62</v>
      </c>
      <c r="E2292">
        <v>7</v>
      </c>
      <c r="F2292">
        <v>7</v>
      </c>
      <c r="G2292">
        <v>19</v>
      </c>
      <c r="H2292">
        <v>16</v>
      </c>
      <c r="I2292">
        <v>2</v>
      </c>
      <c r="J2292" s="52"/>
    </row>
    <row r="2293" spans="1:10" hidden="1" x14ac:dyDescent="0.35">
      <c r="A2293" s="2">
        <v>45473</v>
      </c>
      <c r="B2293" t="s">
        <v>97</v>
      </c>
      <c r="C2293" t="s">
        <v>61</v>
      </c>
      <c r="E2293">
        <v>29</v>
      </c>
      <c r="F2293">
        <v>1</v>
      </c>
      <c r="G2293">
        <v>10</v>
      </c>
      <c r="H2293">
        <v>1</v>
      </c>
      <c r="I2293">
        <v>9</v>
      </c>
      <c r="J2293" s="52"/>
    </row>
    <row r="2294" spans="1:10" hidden="1" x14ac:dyDescent="0.35">
      <c r="A2294" s="2">
        <v>45473</v>
      </c>
      <c r="B2294" t="s">
        <v>118</v>
      </c>
      <c r="C2294" t="s">
        <v>91</v>
      </c>
      <c r="E2294">
        <v>19</v>
      </c>
      <c r="F2294">
        <v>10</v>
      </c>
      <c r="G2294">
        <v>6</v>
      </c>
      <c r="H2294">
        <v>1</v>
      </c>
      <c r="I2294">
        <v>3</v>
      </c>
      <c r="J2294" s="52"/>
    </row>
    <row r="2295" spans="1:10" hidden="1" x14ac:dyDescent="0.35">
      <c r="A2295" s="2">
        <v>45473</v>
      </c>
      <c r="B2295" t="s">
        <v>119</v>
      </c>
      <c r="C2295" t="s">
        <v>63</v>
      </c>
      <c r="E2295">
        <v>17</v>
      </c>
      <c r="F2295">
        <v>5</v>
      </c>
      <c r="G2295">
        <v>16</v>
      </c>
      <c r="H2295">
        <v>0</v>
      </c>
      <c r="I2295">
        <v>13</v>
      </c>
      <c r="J2295" s="52"/>
    </row>
    <row r="2296" spans="1:10" hidden="1" x14ac:dyDescent="0.35">
      <c r="A2296" s="2">
        <v>45473</v>
      </c>
      <c r="B2296" t="s">
        <v>77</v>
      </c>
      <c r="C2296" t="s">
        <v>73</v>
      </c>
      <c r="E2296">
        <v>16</v>
      </c>
      <c r="F2296">
        <v>12</v>
      </c>
      <c r="G2296">
        <v>17</v>
      </c>
      <c r="H2296">
        <v>5</v>
      </c>
      <c r="I2296">
        <v>8</v>
      </c>
      <c r="J2296" s="52"/>
    </row>
    <row r="2297" spans="1:10" hidden="1" x14ac:dyDescent="0.35">
      <c r="A2297" s="2">
        <v>45473</v>
      </c>
      <c r="B2297" t="s">
        <v>110</v>
      </c>
      <c r="C2297" t="s">
        <v>81</v>
      </c>
      <c r="E2297">
        <v>12</v>
      </c>
      <c r="F2297">
        <v>0</v>
      </c>
      <c r="G2297">
        <v>20</v>
      </c>
      <c r="H2297">
        <v>1</v>
      </c>
      <c r="I2297">
        <v>7</v>
      </c>
      <c r="J2297" s="52"/>
    </row>
    <row r="2298" spans="1:10" hidden="1" x14ac:dyDescent="0.35">
      <c r="A2298" s="2">
        <v>45473</v>
      </c>
      <c r="B2298" t="s">
        <v>85</v>
      </c>
      <c r="C2298" t="s">
        <v>83</v>
      </c>
      <c r="E2298">
        <v>24</v>
      </c>
      <c r="F2298">
        <v>9</v>
      </c>
      <c r="G2298">
        <v>32</v>
      </c>
      <c r="H2298">
        <v>9</v>
      </c>
      <c r="I2298">
        <v>12</v>
      </c>
      <c r="J2298" s="52"/>
    </row>
    <row r="2299" spans="1:10" hidden="1" x14ac:dyDescent="0.35">
      <c r="A2299" s="2">
        <v>45473</v>
      </c>
      <c r="B2299" t="s">
        <v>88</v>
      </c>
      <c r="C2299" t="s">
        <v>76</v>
      </c>
      <c r="E2299">
        <v>6</v>
      </c>
      <c r="F2299">
        <v>2</v>
      </c>
      <c r="G2299">
        <v>8</v>
      </c>
      <c r="H2299">
        <v>0</v>
      </c>
      <c r="I2299">
        <v>8</v>
      </c>
      <c r="J2299" s="52"/>
    </row>
    <row r="2300" spans="1:10" hidden="1" x14ac:dyDescent="0.35">
      <c r="A2300" s="2">
        <v>45473</v>
      </c>
      <c r="B2300" t="s">
        <v>89</v>
      </c>
      <c r="C2300" t="s">
        <v>87</v>
      </c>
      <c r="E2300">
        <v>13</v>
      </c>
      <c r="F2300">
        <v>2</v>
      </c>
      <c r="G2300">
        <v>24</v>
      </c>
      <c r="H2300">
        <v>5</v>
      </c>
      <c r="I2300">
        <v>5</v>
      </c>
      <c r="J2300" s="52"/>
    </row>
    <row r="2301" spans="1:10" hidden="1" x14ac:dyDescent="0.35">
      <c r="A2301" s="2">
        <v>45473</v>
      </c>
      <c r="B2301" t="s">
        <v>99</v>
      </c>
      <c r="C2301" t="s">
        <v>92</v>
      </c>
      <c r="E2301">
        <v>8</v>
      </c>
      <c r="F2301">
        <v>2</v>
      </c>
      <c r="G2301">
        <v>4</v>
      </c>
      <c r="H2301">
        <v>1</v>
      </c>
      <c r="I2301">
        <v>1</v>
      </c>
      <c r="J2301" s="52"/>
    </row>
    <row r="2302" spans="1:10" hidden="1" x14ac:dyDescent="0.35">
      <c r="A2302" s="2">
        <v>45473</v>
      </c>
      <c r="B2302" t="s">
        <v>98</v>
      </c>
      <c r="C2302" t="s">
        <v>94</v>
      </c>
      <c r="E2302">
        <v>24</v>
      </c>
      <c r="F2302">
        <v>2</v>
      </c>
      <c r="G2302">
        <v>28</v>
      </c>
      <c r="H2302">
        <v>4</v>
      </c>
      <c r="I2302">
        <v>8</v>
      </c>
      <c r="J2302" s="52"/>
    </row>
    <row r="2303" spans="1:10" hidden="1" x14ac:dyDescent="0.35">
      <c r="A2303" s="2">
        <v>45473</v>
      </c>
      <c r="B2303" t="s">
        <v>104</v>
      </c>
      <c r="C2303" t="s">
        <v>94</v>
      </c>
      <c r="E2303">
        <v>0</v>
      </c>
      <c r="F2303">
        <v>5</v>
      </c>
      <c r="G2303">
        <v>0</v>
      </c>
      <c r="H2303">
        <v>0</v>
      </c>
      <c r="I2303">
        <v>5</v>
      </c>
      <c r="J2303" s="52"/>
    </row>
    <row r="2304" spans="1:10" hidden="1" x14ac:dyDescent="0.35">
      <c r="A2304" s="2">
        <v>45473</v>
      </c>
      <c r="B2304" t="s">
        <v>106</v>
      </c>
      <c r="C2304" t="s">
        <v>103</v>
      </c>
      <c r="E2304">
        <v>12</v>
      </c>
      <c r="F2304">
        <v>1</v>
      </c>
      <c r="G2304">
        <v>8</v>
      </c>
      <c r="H2304">
        <v>3</v>
      </c>
      <c r="I2304">
        <v>2</v>
      </c>
      <c r="J2304" s="52"/>
    </row>
    <row r="2305" spans="1:10" hidden="1" x14ac:dyDescent="0.35">
      <c r="A2305" s="2">
        <v>45473</v>
      </c>
      <c r="B2305" t="s">
        <v>108</v>
      </c>
      <c r="C2305" t="s">
        <v>109</v>
      </c>
      <c r="E2305">
        <v>15</v>
      </c>
      <c r="F2305">
        <v>0</v>
      </c>
      <c r="G2305">
        <v>3</v>
      </c>
      <c r="H2305">
        <v>0</v>
      </c>
      <c r="I2305">
        <v>5</v>
      </c>
      <c r="J2305" s="52"/>
    </row>
    <row r="2306" spans="1:10" hidden="1" x14ac:dyDescent="0.35">
      <c r="A2306" s="2">
        <v>45473</v>
      </c>
      <c r="B2306" t="s">
        <v>114</v>
      </c>
      <c r="C2306" t="s">
        <v>111</v>
      </c>
      <c r="E2306">
        <v>6</v>
      </c>
      <c r="F2306">
        <v>4</v>
      </c>
      <c r="G2306">
        <v>6</v>
      </c>
      <c r="H2306">
        <v>3</v>
      </c>
      <c r="I2306">
        <v>2</v>
      </c>
      <c r="J2306" s="52"/>
    </row>
    <row r="2307" spans="1:10" hidden="1" x14ac:dyDescent="0.35">
      <c r="A2307" s="2">
        <v>45503</v>
      </c>
      <c r="C2307" t="s">
        <v>24</v>
      </c>
      <c r="D2307">
        <v>576</v>
      </c>
      <c r="J2307" s="58">
        <v>189700</v>
      </c>
    </row>
    <row r="2308" spans="1:10" hidden="1" x14ac:dyDescent="0.35">
      <c r="A2308" s="2">
        <v>45503</v>
      </c>
      <c r="C2308" t="s">
        <v>9</v>
      </c>
      <c r="D2308">
        <v>402</v>
      </c>
      <c r="J2308" s="58">
        <v>142450</v>
      </c>
    </row>
    <row r="2309" spans="1:10" hidden="1" x14ac:dyDescent="0.35">
      <c r="A2309" s="2">
        <v>45503</v>
      </c>
      <c r="C2309" t="s">
        <v>37</v>
      </c>
      <c r="D2309">
        <v>413</v>
      </c>
      <c r="J2309" s="58">
        <v>249450</v>
      </c>
    </row>
    <row r="2310" spans="1:10" hidden="1" x14ac:dyDescent="0.35">
      <c r="A2310" s="2">
        <v>45503</v>
      </c>
      <c r="C2310" t="s">
        <v>23</v>
      </c>
      <c r="D2310">
        <v>438</v>
      </c>
      <c r="J2310" s="58">
        <v>110000</v>
      </c>
    </row>
    <row r="2311" spans="1:10" hidden="1" x14ac:dyDescent="0.35">
      <c r="A2311" s="2">
        <v>45503</v>
      </c>
      <c r="C2311" t="s">
        <v>27</v>
      </c>
      <c r="D2311">
        <v>452</v>
      </c>
      <c r="J2311" s="58">
        <v>536300</v>
      </c>
    </row>
    <row r="2312" spans="1:10" hidden="1" x14ac:dyDescent="0.35">
      <c r="A2312" s="2">
        <v>45503</v>
      </c>
      <c r="C2312" t="s">
        <v>26</v>
      </c>
      <c r="D2312">
        <v>267</v>
      </c>
      <c r="J2312" s="58">
        <v>138000</v>
      </c>
    </row>
    <row r="2313" spans="1:10" hidden="1" x14ac:dyDescent="0.35">
      <c r="A2313" s="2">
        <v>45503</v>
      </c>
      <c r="C2313" t="s">
        <v>20</v>
      </c>
      <c r="D2313">
        <v>471</v>
      </c>
      <c r="J2313" s="58">
        <v>597000</v>
      </c>
    </row>
    <row r="2314" spans="1:10" hidden="1" x14ac:dyDescent="0.35">
      <c r="A2314" s="2">
        <v>45503</v>
      </c>
      <c r="C2314" t="s">
        <v>25</v>
      </c>
      <c r="D2314">
        <v>306</v>
      </c>
      <c r="J2314" s="58">
        <v>121900</v>
      </c>
    </row>
    <row r="2315" spans="1:10" hidden="1" x14ac:dyDescent="0.35">
      <c r="A2315" s="2">
        <v>45503</v>
      </c>
      <c r="C2315" t="s">
        <v>19</v>
      </c>
      <c r="D2315">
        <v>441</v>
      </c>
      <c r="J2315" s="58">
        <v>401750</v>
      </c>
    </row>
    <row r="2316" spans="1:10" hidden="1" x14ac:dyDescent="0.35">
      <c r="A2316" s="2">
        <v>45503</v>
      </c>
      <c r="C2316" t="s">
        <v>21</v>
      </c>
      <c r="D2316">
        <v>466</v>
      </c>
      <c r="J2316" s="58">
        <v>152950</v>
      </c>
    </row>
    <row r="2317" spans="1:10" hidden="1" x14ac:dyDescent="0.35">
      <c r="A2317" s="2">
        <v>45503</v>
      </c>
      <c r="C2317" t="s">
        <v>18</v>
      </c>
      <c r="D2317">
        <v>679</v>
      </c>
      <c r="J2317" s="58">
        <v>477550</v>
      </c>
    </row>
    <row r="2318" spans="1:10" hidden="1" x14ac:dyDescent="0.35">
      <c r="A2318" s="2">
        <v>45503</v>
      </c>
      <c r="C2318" t="s">
        <v>22</v>
      </c>
      <c r="D2318">
        <v>438</v>
      </c>
      <c r="J2318" s="58">
        <v>213000</v>
      </c>
    </row>
    <row r="2319" spans="1:10" hidden="1" x14ac:dyDescent="0.35">
      <c r="A2319" s="2">
        <v>45503</v>
      </c>
      <c r="C2319" t="s">
        <v>54</v>
      </c>
      <c r="D2319">
        <v>545</v>
      </c>
      <c r="J2319" s="58">
        <v>134150</v>
      </c>
    </row>
    <row r="2320" spans="1:10" hidden="1" x14ac:dyDescent="0.35">
      <c r="A2320" s="2">
        <v>45503</v>
      </c>
      <c r="C2320" t="s">
        <v>55</v>
      </c>
      <c r="D2320">
        <v>553</v>
      </c>
      <c r="J2320" s="58">
        <v>159990</v>
      </c>
    </row>
    <row r="2321" spans="1:10" hidden="1" x14ac:dyDescent="0.35">
      <c r="A2321" s="2">
        <v>45503</v>
      </c>
      <c r="C2321" t="s">
        <v>58</v>
      </c>
      <c r="D2321">
        <v>471</v>
      </c>
      <c r="J2321" s="58">
        <v>159450</v>
      </c>
    </row>
    <row r="2322" spans="1:10" hidden="1" x14ac:dyDescent="0.35">
      <c r="A2322" s="2">
        <v>45503</v>
      </c>
      <c r="C2322" t="s">
        <v>62</v>
      </c>
      <c r="D2322">
        <v>413</v>
      </c>
      <c r="J2322" s="58">
        <v>75500</v>
      </c>
    </row>
    <row r="2323" spans="1:10" hidden="1" x14ac:dyDescent="0.35">
      <c r="A2323" s="2">
        <v>45503</v>
      </c>
      <c r="C2323" t="s">
        <v>61</v>
      </c>
      <c r="D2323">
        <v>276</v>
      </c>
      <c r="J2323" s="58">
        <v>158000</v>
      </c>
    </row>
    <row r="2324" spans="1:10" hidden="1" x14ac:dyDescent="0.35">
      <c r="A2324" s="2">
        <v>45503</v>
      </c>
      <c r="C2324" t="s">
        <v>63</v>
      </c>
      <c r="D2324">
        <v>230</v>
      </c>
      <c r="J2324" s="58">
        <v>186500</v>
      </c>
    </row>
    <row r="2325" spans="1:10" hidden="1" x14ac:dyDescent="0.35">
      <c r="A2325" s="2">
        <v>45503</v>
      </c>
      <c r="C2325" t="s">
        <v>73</v>
      </c>
      <c r="D2325">
        <v>299</v>
      </c>
      <c r="J2325" s="58">
        <v>107500</v>
      </c>
    </row>
    <row r="2326" spans="1:10" hidden="1" x14ac:dyDescent="0.35">
      <c r="A2326" s="2">
        <v>45503</v>
      </c>
      <c r="C2326" t="s">
        <v>76</v>
      </c>
      <c r="D2326">
        <v>252</v>
      </c>
      <c r="J2326" s="58">
        <v>84000</v>
      </c>
    </row>
    <row r="2327" spans="1:10" hidden="1" x14ac:dyDescent="0.35">
      <c r="A2327" s="2">
        <v>45503</v>
      </c>
      <c r="C2327" t="s">
        <v>81</v>
      </c>
      <c r="D2327">
        <v>416</v>
      </c>
      <c r="J2327" s="58">
        <v>78500</v>
      </c>
    </row>
    <row r="2328" spans="1:10" hidden="1" x14ac:dyDescent="0.35">
      <c r="A2328" s="2">
        <v>45503</v>
      </c>
      <c r="C2328" t="s">
        <v>83</v>
      </c>
      <c r="D2328">
        <v>329</v>
      </c>
      <c r="J2328" s="58">
        <v>134000</v>
      </c>
    </row>
    <row r="2329" spans="1:10" hidden="1" x14ac:dyDescent="0.35">
      <c r="A2329" s="2">
        <v>45503</v>
      </c>
      <c r="C2329" t="s">
        <v>87</v>
      </c>
      <c r="D2329">
        <v>208</v>
      </c>
      <c r="J2329" s="58">
        <v>77500</v>
      </c>
    </row>
    <row r="2330" spans="1:10" hidden="1" x14ac:dyDescent="0.35">
      <c r="A2330" s="2">
        <v>45503</v>
      </c>
      <c r="C2330" t="s">
        <v>91</v>
      </c>
      <c r="D2330">
        <v>243</v>
      </c>
      <c r="J2330" s="58">
        <v>92297</v>
      </c>
    </row>
    <row r="2331" spans="1:10" hidden="1" x14ac:dyDescent="0.35">
      <c r="A2331" s="2">
        <v>45503</v>
      </c>
      <c r="C2331" t="s">
        <v>92</v>
      </c>
      <c r="D2331">
        <v>211</v>
      </c>
      <c r="J2331" s="58">
        <v>54000</v>
      </c>
    </row>
    <row r="2332" spans="1:10" hidden="1" x14ac:dyDescent="0.35">
      <c r="A2332" s="2">
        <v>45503</v>
      </c>
      <c r="C2332" t="s">
        <v>94</v>
      </c>
      <c r="D2332">
        <v>306</v>
      </c>
      <c r="J2332" s="58">
        <v>236600</v>
      </c>
    </row>
    <row r="2333" spans="1:10" hidden="1" x14ac:dyDescent="0.35">
      <c r="A2333" s="2">
        <v>45503</v>
      </c>
      <c r="C2333" t="s">
        <v>103</v>
      </c>
      <c r="D2333">
        <v>109</v>
      </c>
      <c r="J2333" s="58">
        <v>51000</v>
      </c>
    </row>
    <row r="2334" spans="1:10" hidden="1" x14ac:dyDescent="0.35">
      <c r="A2334" s="2">
        <v>45503</v>
      </c>
      <c r="C2334" t="s">
        <v>109</v>
      </c>
      <c r="D2334">
        <v>259</v>
      </c>
      <c r="J2334" s="58">
        <v>64500</v>
      </c>
    </row>
    <row r="2335" spans="1:10" hidden="1" x14ac:dyDescent="0.35">
      <c r="A2335" s="2">
        <v>45503</v>
      </c>
      <c r="C2335" t="s">
        <v>111</v>
      </c>
      <c r="D2335">
        <v>243</v>
      </c>
      <c r="J2335" s="58">
        <v>52200</v>
      </c>
    </row>
    <row r="2336" spans="1:10" hidden="1" x14ac:dyDescent="0.35">
      <c r="A2336" s="2">
        <v>45503</v>
      </c>
      <c r="C2336" t="s">
        <v>115</v>
      </c>
      <c r="D2336">
        <v>292</v>
      </c>
      <c r="J2336" s="58">
        <v>129900</v>
      </c>
    </row>
    <row r="2337" spans="1:10" hidden="1" x14ac:dyDescent="0.35">
      <c r="A2337" s="2">
        <v>45503</v>
      </c>
      <c r="B2337" t="s">
        <v>36</v>
      </c>
      <c r="C2337" t="s">
        <v>20</v>
      </c>
      <c r="E2337">
        <v>47</v>
      </c>
      <c r="F2337">
        <v>8</v>
      </c>
      <c r="G2337">
        <v>102</v>
      </c>
      <c r="H2337">
        <v>5</v>
      </c>
      <c r="I2337">
        <v>30</v>
      </c>
      <c r="J2337" s="52"/>
    </row>
    <row r="2338" spans="1:10" hidden="1" x14ac:dyDescent="0.35">
      <c r="A2338" s="2">
        <v>45503</v>
      </c>
      <c r="B2338" t="s">
        <v>110</v>
      </c>
      <c r="C2338" t="s">
        <v>20</v>
      </c>
      <c r="E2338">
        <v>22</v>
      </c>
      <c r="F2338">
        <v>3</v>
      </c>
      <c r="G2338">
        <v>31</v>
      </c>
      <c r="H2338">
        <v>1</v>
      </c>
      <c r="I2338">
        <v>12</v>
      </c>
      <c r="J2338" s="52"/>
    </row>
    <row r="2339" spans="1:10" hidden="1" x14ac:dyDescent="0.35">
      <c r="A2339" s="2">
        <v>45503</v>
      </c>
      <c r="B2339" t="s">
        <v>113</v>
      </c>
      <c r="C2339" t="s">
        <v>26</v>
      </c>
      <c r="E2339">
        <v>25</v>
      </c>
      <c r="F2339">
        <v>2</v>
      </c>
      <c r="G2339">
        <v>49</v>
      </c>
      <c r="H2339">
        <v>4</v>
      </c>
      <c r="I2339">
        <v>11</v>
      </c>
      <c r="J2339" s="52"/>
    </row>
    <row r="2340" spans="1:10" hidden="1" x14ac:dyDescent="0.35">
      <c r="A2340" s="2">
        <v>45503</v>
      </c>
      <c r="B2340" t="s">
        <v>113</v>
      </c>
      <c r="C2340" t="s">
        <v>115</v>
      </c>
      <c r="E2340">
        <v>35</v>
      </c>
      <c r="F2340">
        <v>0</v>
      </c>
      <c r="G2340">
        <v>13</v>
      </c>
      <c r="H2340">
        <v>0</v>
      </c>
      <c r="I2340">
        <v>10</v>
      </c>
      <c r="J2340" s="52"/>
    </row>
    <row r="2341" spans="1:10" hidden="1" x14ac:dyDescent="0.35">
      <c r="A2341" s="2">
        <v>45503</v>
      </c>
      <c r="B2341" t="s">
        <v>38</v>
      </c>
      <c r="C2341" t="s">
        <v>18</v>
      </c>
      <c r="E2341">
        <v>31</v>
      </c>
      <c r="F2341">
        <v>10</v>
      </c>
      <c r="G2341">
        <v>38</v>
      </c>
      <c r="H2341">
        <v>13</v>
      </c>
      <c r="I2341">
        <v>21</v>
      </c>
      <c r="J2341" s="52"/>
    </row>
    <row r="2342" spans="1:10" hidden="1" x14ac:dyDescent="0.35">
      <c r="A2342" s="2">
        <v>45503</v>
      </c>
      <c r="B2342" t="s">
        <v>116</v>
      </c>
      <c r="C2342" t="s">
        <v>18</v>
      </c>
      <c r="E2342">
        <v>31</v>
      </c>
      <c r="F2342">
        <v>28</v>
      </c>
      <c r="G2342">
        <v>26</v>
      </c>
      <c r="H2342">
        <v>12</v>
      </c>
      <c r="I2342">
        <v>14</v>
      </c>
      <c r="J2342" s="52"/>
    </row>
    <row r="2343" spans="1:10" hidden="1" x14ac:dyDescent="0.35">
      <c r="A2343" s="2">
        <v>45503</v>
      </c>
      <c r="B2343" t="s">
        <v>13</v>
      </c>
      <c r="C2343" t="s">
        <v>25</v>
      </c>
      <c r="E2343">
        <v>38</v>
      </c>
      <c r="F2343">
        <v>2</v>
      </c>
      <c r="G2343">
        <v>21</v>
      </c>
      <c r="H2343">
        <v>3</v>
      </c>
      <c r="I2343">
        <v>9</v>
      </c>
      <c r="J2343" s="52"/>
    </row>
    <row r="2344" spans="1:10" hidden="1" x14ac:dyDescent="0.35">
      <c r="A2344" s="2">
        <v>45503</v>
      </c>
      <c r="B2344" t="s">
        <v>104</v>
      </c>
      <c r="C2344" t="s">
        <v>23</v>
      </c>
      <c r="E2344">
        <v>34</v>
      </c>
      <c r="F2344">
        <v>6</v>
      </c>
      <c r="G2344">
        <v>29</v>
      </c>
      <c r="H2344">
        <v>4</v>
      </c>
      <c r="I2344">
        <v>9</v>
      </c>
      <c r="J2344" s="52"/>
    </row>
    <row r="2345" spans="1:10" hidden="1" x14ac:dyDescent="0.35">
      <c r="A2345" s="2">
        <v>45503</v>
      </c>
      <c r="B2345" t="s">
        <v>102</v>
      </c>
      <c r="C2345" t="s">
        <v>24</v>
      </c>
      <c r="E2345">
        <v>1</v>
      </c>
      <c r="F2345">
        <v>0</v>
      </c>
      <c r="G2345">
        <v>11</v>
      </c>
      <c r="H2345">
        <v>0</v>
      </c>
      <c r="I2345">
        <v>1</v>
      </c>
      <c r="J2345" s="52"/>
    </row>
    <row r="2346" spans="1:10" hidden="1" x14ac:dyDescent="0.35">
      <c r="A2346" s="2">
        <v>45503</v>
      </c>
      <c r="B2346" t="s">
        <v>96</v>
      </c>
      <c r="C2346" t="s">
        <v>24</v>
      </c>
      <c r="E2346">
        <v>17</v>
      </c>
      <c r="F2346">
        <v>7</v>
      </c>
      <c r="G2346">
        <v>13</v>
      </c>
      <c r="H2346">
        <v>6</v>
      </c>
      <c r="I2346">
        <v>12</v>
      </c>
      <c r="J2346" s="52"/>
    </row>
    <row r="2347" spans="1:10" hidden="1" x14ac:dyDescent="0.35">
      <c r="A2347" s="2">
        <v>45504</v>
      </c>
      <c r="B2347" t="s">
        <v>101</v>
      </c>
      <c r="C2347" t="s">
        <v>24</v>
      </c>
      <c r="E2347">
        <v>0</v>
      </c>
      <c r="F2347">
        <v>2</v>
      </c>
      <c r="G2347">
        <v>0</v>
      </c>
      <c r="H2347">
        <v>0</v>
      </c>
      <c r="I2347">
        <v>2</v>
      </c>
      <c r="J2347" s="52"/>
    </row>
    <row r="2348" spans="1:10" hidden="1" x14ac:dyDescent="0.35">
      <c r="A2348" s="2">
        <v>45503</v>
      </c>
      <c r="B2348" t="s">
        <v>96</v>
      </c>
      <c r="C2348" t="s">
        <v>37</v>
      </c>
      <c r="E2348">
        <v>3</v>
      </c>
      <c r="F2348">
        <v>1</v>
      </c>
      <c r="G2348">
        <v>5</v>
      </c>
      <c r="H2348">
        <v>1</v>
      </c>
      <c r="I2348">
        <v>1</v>
      </c>
      <c r="J2348" s="52"/>
    </row>
    <row r="2349" spans="1:10" hidden="1" x14ac:dyDescent="0.35">
      <c r="A2349" s="2">
        <v>45503</v>
      </c>
      <c r="B2349" t="s">
        <v>101</v>
      </c>
      <c r="C2349" t="s">
        <v>37</v>
      </c>
      <c r="E2349">
        <v>2</v>
      </c>
      <c r="F2349">
        <v>0</v>
      </c>
      <c r="G2349">
        <v>2</v>
      </c>
      <c r="H2349">
        <v>0</v>
      </c>
      <c r="I2349">
        <v>1</v>
      </c>
      <c r="J2349" s="52"/>
    </row>
    <row r="2350" spans="1:10" hidden="1" x14ac:dyDescent="0.35">
      <c r="A2350" s="2">
        <v>45503</v>
      </c>
      <c r="B2350" t="s">
        <v>102</v>
      </c>
      <c r="C2350" t="s">
        <v>37</v>
      </c>
      <c r="E2350">
        <v>48</v>
      </c>
      <c r="F2350">
        <v>10</v>
      </c>
      <c r="G2350">
        <v>48</v>
      </c>
      <c r="H2350">
        <v>10</v>
      </c>
      <c r="I2350">
        <v>17</v>
      </c>
      <c r="J2350" s="52"/>
    </row>
    <row r="2351" spans="1:10" hidden="1" x14ac:dyDescent="0.35">
      <c r="A2351" s="2">
        <v>45503</v>
      </c>
      <c r="B2351" t="s">
        <v>112</v>
      </c>
      <c r="C2351" t="s">
        <v>19</v>
      </c>
      <c r="E2351">
        <v>24</v>
      </c>
      <c r="F2351">
        <v>5</v>
      </c>
      <c r="G2351">
        <v>32</v>
      </c>
      <c r="H2351">
        <v>3</v>
      </c>
      <c r="I2351">
        <v>11</v>
      </c>
      <c r="J2351" s="52"/>
    </row>
    <row r="2352" spans="1:10" hidden="1" x14ac:dyDescent="0.35">
      <c r="A2352" s="2">
        <v>45503</v>
      </c>
      <c r="B2352" t="s">
        <v>40</v>
      </c>
      <c r="C2352" t="s">
        <v>19</v>
      </c>
      <c r="E2352">
        <v>31</v>
      </c>
      <c r="F2352">
        <v>4</v>
      </c>
      <c r="G2352">
        <v>51</v>
      </c>
      <c r="H2352">
        <v>2</v>
      </c>
      <c r="I2352">
        <v>19</v>
      </c>
      <c r="J2352" s="52"/>
    </row>
    <row r="2353" spans="1:10" hidden="1" x14ac:dyDescent="0.35">
      <c r="A2353" s="2">
        <v>45503</v>
      </c>
      <c r="B2353" t="s">
        <v>84</v>
      </c>
      <c r="C2353" t="s">
        <v>22</v>
      </c>
      <c r="E2353">
        <v>0</v>
      </c>
      <c r="F2353">
        <v>6</v>
      </c>
      <c r="G2353">
        <v>0</v>
      </c>
      <c r="H2353">
        <v>6</v>
      </c>
      <c r="I2353">
        <v>3</v>
      </c>
      <c r="J2353" s="52"/>
    </row>
    <row r="2354" spans="1:10" hidden="1" x14ac:dyDescent="0.35">
      <c r="A2354" s="2">
        <v>45503</v>
      </c>
      <c r="B2354" t="s">
        <v>105</v>
      </c>
      <c r="C2354" t="s">
        <v>22</v>
      </c>
      <c r="E2354">
        <v>7</v>
      </c>
      <c r="F2354">
        <v>1</v>
      </c>
      <c r="G2354">
        <v>23</v>
      </c>
      <c r="H2354">
        <v>5</v>
      </c>
      <c r="I2354">
        <v>12</v>
      </c>
      <c r="J2354" s="52"/>
    </row>
    <row r="2355" spans="1:10" hidden="1" x14ac:dyDescent="0.35">
      <c r="A2355" s="2">
        <v>45504</v>
      </c>
      <c r="B2355" t="s">
        <v>121</v>
      </c>
      <c r="C2355" t="s">
        <v>22</v>
      </c>
      <c r="E2355">
        <v>17</v>
      </c>
      <c r="F2355">
        <v>4</v>
      </c>
      <c r="G2355">
        <v>0</v>
      </c>
      <c r="H2355">
        <v>0</v>
      </c>
      <c r="I2355">
        <v>1</v>
      </c>
      <c r="J2355" s="52"/>
    </row>
    <row r="2356" spans="1:10" hidden="1" x14ac:dyDescent="0.35">
      <c r="A2356" s="2">
        <v>45503</v>
      </c>
      <c r="B2356" t="s">
        <v>43</v>
      </c>
      <c r="C2356" t="s">
        <v>27</v>
      </c>
      <c r="E2356">
        <v>26</v>
      </c>
      <c r="F2356">
        <v>0</v>
      </c>
      <c r="G2356">
        <v>33</v>
      </c>
      <c r="H2356">
        <v>0</v>
      </c>
      <c r="I2356">
        <v>20</v>
      </c>
      <c r="J2356" s="52"/>
    </row>
    <row r="2357" spans="1:10" hidden="1" x14ac:dyDescent="0.35">
      <c r="A2357" s="2">
        <v>45503</v>
      </c>
      <c r="B2357" t="s">
        <v>84</v>
      </c>
      <c r="C2357" t="s">
        <v>27</v>
      </c>
      <c r="E2357">
        <v>27</v>
      </c>
      <c r="F2357">
        <v>0</v>
      </c>
      <c r="G2357">
        <v>22</v>
      </c>
      <c r="H2357">
        <v>0</v>
      </c>
      <c r="I2357">
        <v>14</v>
      </c>
      <c r="J2357" s="52"/>
    </row>
    <row r="2358" spans="1:10" hidden="1" x14ac:dyDescent="0.35">
      <c r="A2358" s="2">
        <v>45503</v>
      </c>
      <c r="B2358" t="s">
        <v>101</v>
      </c>
      <c r="C2358" t="s">
        <v>9</v>
      </c>
      <c r="E2358">
        <v>31</v>
      </c>
      <c r="F2358">
        <v>0</v>
      </c>
      <c r="G2358">
        <v>22</v>
      </c>
      <c r="H2358">
        <v>0</v>
      </c>
      <c r="I2358">
        <v>11</v>
      </c>
      <c r="J2358" s="52"/>
    </row>
    <row r="2359" spans="1:10" hidden="1" x14ac:dyDescent="0.35">
      <c r="A2359" s="2">
        <v>45503</v>
      </c>
      <c r="B2359" t="s">
        <v>75</v>
      </c>
      <c r="C2359" t="s">
        <v>21</v>
      </c>
      <c r="E2359">
        <v>20</v>
      </c>
      <c r="F2359">
        <v>8</v>
      </c>
      <c r="G2359">
        <v>32</v>
      </c>
      <c r="H2359">
        <v>9</v>
      </c>
      <c r="I2359">
        <v>10</v>
      </c>
      <c r="J2359" s="52"/>
    </row>
    <row r="2360" spans="1:10" hidden="1" x14ac:dyDescent="0.35">
      <c r="A2360" s="2">
        <v>45503</v>
      </c>
      <c r="B2360" t="s">
        <v>120</v>
      </c>
      <c r="C2360" t="s">
        <v>21</v>
      </c>
      <c r="E2360">
        <v>8</v>
      </c>
      <c r="F2360">
        <v>13</v>
      </c>
      <c r="G2360">
        <v>0</v>
      </c>
      <c r="H2360">
        <v>0</v>
      </c>
      <c r="I2360">
        <v>1</v>
      </c>
      <c r="J2360" s="52"/>
    </row>
    <row r="2361" spans="1:10" hidden="1" x14ac:dyDescent="0.35">
      <c r="A2361" s="2">
        <v>45503</v>
      </c>
      <c r="B2361" t="s">
        <v>117</v>
      </c>
      <c r="C2361" t="s">
        <v>54</v>
      </c>
      <c r="E2361">
        <v>25</v>
      </c>
      <c r="F2361">
        <v>5</v>
      </c>
      <c r="G2361">
        <v>15</v>
      </c>
      <c r="H2361">
        <v>8</v>
      </c>
      <c r="I2361">
        <v>10</v>
      </c>
      <c r="J2361" s="52"/>
    </row>
    <row r="2362" spans="1:10" hidden="1" x14ac:dyDescent="0.35">
      <c r="A2362" s="2">
        <v>45503</v>
      </c>
      <c r="B2362" t="s">
        <v>57</v>
      </c>
      <c r="C2362" t="s">
        <v>55</v>
      </c>
      <c r="E2362">
        <v>33</v>
      </c>
      <c r="F2362">
        <v>5</v>
      </c>
      <c r="G2362">
        <v>17</v>
      </c>
      <c r="H2362">
        <v>7</v>
      </c>
      <c r="I2362">
        <v>13</v>
      </c>
      <c r="J2362" s="52"/>
    </row>
    <row r="2363" spans="1:10" hidden="1" x14ac:dyDescent="0.35">
      <c r="A2363" s="2">
        <v>45503</v>
      </c>
      <c r="B2363" t="s">
        <v>100</v>
      </c>
      <c r="C2363" t="s">
        <v>58</v>
      </c>
      <c r="E2363">
        <v>15</v>
      </c>
      <c r="F2363">
        <v>16</v>
      </c>
      <c r="G2363">
        <v>13</v>
      </c>
      <c r="H2363">
        <v>7</v>
      </c>
      <c r="I2363">
        <v>3</v>
      </c>
      <c r="J2363" s="52"/>
    </row>
    <row r="2364" spans="1:10" hidden="1" x14ac:dyDescent="0.35">
      <c r="A2364" s="2">
        <v>45503</v>
      </c>
      <c r="B2364" t="s">
        <v>107</v>
      </c>
      <c r="C2364" t="s">
        <v>58</v>
      </c>
      <c r="E2364">
        <v>31</v>
      </c>
      <c r="F2364">
        <v>13</v>
      </c>
      <c r="G2364">
        <v>21</v>
      </c>
      <c r="H2364">
        <v>9</v>
      </c>
      <c r="I2364">
        <v>9</v>
      </c>
      <c r="J2364" s="52"/>
    </row>
    <row r="2365" spans="1:10" hidden="1" x14ac:dyDescent="0.35">
      <c r="A2365" s="2">
        <v>45503</v>
      </c>
      <c r="B2365" t="s">
        <v>64</v>
      </c>
      <c r="C2365" t="s">
        <v>62</v>
      </c>
      <c r="E2365">
        <v>23</v>
      </c>
      <c r="F2365">
        <v>2</v>
      </c>
      <c r="G2365">
        <v>25</v>
      </c>
      <c r="H2365">
        <v>5</v>
      </c>
      <c r="I2365">
        <v>6</v>
      </c>
      <c r="J2365" s="52"/>
    </row>
    <row r="2366" spans="1:10" hidden="1" x14ac:dyDescent="0.35">
      <c r="A2366" s="2">
        <v>45503</v>
      </c>
      <c r="B2366" t="s">
        <v>97</v>
      </c>
      <c r="C2366" t="s">
        <v>61</v>
      </c>
      <c r="E2366">
        <v>30</v>
      </c>
      <c r="F2366">
        <v>4</v>
      </c>
      <c r="G2366">
        <v>11</v>
      </c>
      <c r="H2366">
        <v>2</v>
      </c>
      <c r="I2366">
        <v>13</v>
      </c>
      <c r="J2366" s="52"/>
    </row>
    <row r="2367" spans="1:10" hidden="1" x14ac:dyDescent="0.35">
      <c r="A2367" s="2">
        <v>45503</v>
      </c>
      <c r="B2367" t="s">
        <v>118</v>
      </c>
      <c r="C2367" t="s">
        <v>61</v>
      </c>
      <c r="E2367">
        <v>7</v>
      </c>
      <c r="F2367">
        <v>1</v>
      </c>
      <c r="G2367">
        <v>1</v>
      </c>
      <c r="H2367">
        <v>0</v>
      </c>
      <c r="I2367">
        <v>1</v>
      </c>
      <c r="J2367" s="52"/>
    </row>
    <row r="2368" spans="1:10" hidden="1" x14ac:dyDescent="0.35">
      <c r="A2368" s="2">
        <v>45503</v>
      </c>
      <c r="B2368" t="s">
        <v>118</v>
      </c>
      <c r="C2368" t="s">
        <v>91</v>
      </c>
      <c r="E2368">
        <v>21</v>
      </c>
      <c r="F2368">
        <v>2</v>
      </c>
      <c r="G2368">
        <v>8</v>
      </c>
      <c r="H2368">
        <v>0</v>
      </c>
      <c r="I2368">
        <v>7</v>
      </c>
      <c r="J2368" s="52"/>
    </row>
    <row r="2369" spans="1:10" hidden="1" x14ac:dyDescent="0.35">
      <c r="A2369" s="2">
        <v>45503</v>
      </c>
      <c r="B2369" t="s">
        <v>119</v>
      </c>
      <c r="C2369" t="s">
        <v>63</v>
      </c>
      <c r="E2369">
        <v>20</v>
      </c>
      <c r="F2369">
        <v>4</v>
      </c>
      <c r="G2369">
        <v>16</v>
      </c>
      <c r="H2369">
        <v>3</v>
      </c>
      <c r="I2369">
        <v>15</v>
      </c>
      <c r="J2369" s="52"/>
    </row>
    <row r="2370" spans="1:10" hidden="1" x14ac:dyDescent="0.35">
      <c r="A2370" s="2">
        <v>45503</v>
      </c>
      <c r="B2370" t="s">
        <v>77</v>
      </c>
      <c r="C2370" t="s">
        <v>73</v>
      </c>
      <c r="E2370">
        <v>9</v>
      </c>
      <c r="F2370">
        <v>33</v>
      </c>
      <c r="G2370">
        <v>17</v>
      </c>
      <c r="H2370">
        <v>9</v>
      </c>
      <c r="I2370">
        <v>8</v>
      </c>
      <c r="J2370" s="52"/>
    </row>
    <row r="2371" spans="1:10" hidden="1" x14ac:dyDescent="0.35">
      <c r="A2371" s="2">
        <v>45503</v>
      </c>
      <c r="B2371" t="s">
        <v>110</v>
      </c>
      <c r="C2371" t="s">
        <v>81</v>
      </c>
      <c r="E2371">
        <v>22</v>
      </c>
      <c r="F2371">
        <v>0</v>
      </c>
      <c r="G2371">
        <v>16</v>
      </c>
      <c r="H2371">
        <v>0</v>
      </c>
      <c r="I2371">
        <v>6</v>
      </c>
      <c r="J2371" s="52"/>
    </row>
    <row r="2372" spans="1:10" hidden="1" x14ac:dyDescent="0.35">
      <c r="A2372" s="2">
        <v>45503</v>
      </c>
      <c r="B2372" t="s">
        <v>85</v>
      </c>
      <c r="C2372" t="s">
        <v>83</v>
      </c>
      <c r="E2372">
        <v>27</v>
      </c>
      <c r="F2372">
        <v>12</v>
      </c>
      <c r="G2372">
        <v>37</v>
      </c>
      <c r="H2372">
        <v>5</v>
      </c>
      <c r="I2372">
        <v>10</v>
      </c>
      <c r="J2372" s="52"/>
    </row>
    <row r="2373" spans="1:10" hidden="1" x14ac:dyDescent="0.35">
      <c r="A2373" s="2">
        <v>45503</v>
      </c>
      <c r="B2373" t="s">
        <v>88</v>
      </c>
      <c r="C2373" t="s">
        <v>76</v>
      </c>
      <c r="E2373">
        <v>25</v>
      </c>
      <c r="F2373">
        <v>1</v>
      </c>
      <c r="G2373">
        <v>19</v>
      </c>
      <c r="H2373">
        <v>0</v>
      </c>
      <c r="I2373">
        <v>7</v>
      </c>
      <c r="J2373" s="52"/>
    </row>
    <row r="2374" spans="1:10" hidden="1" x14ac:dyDescent="0.35">
      <c r="A2374" s="2">
        <v>45503</v>
      </c>
      <c r="B2374" t="s">
        <v>89</v>
      </c>
      <c r="C2374" t="s">
        <v>87</v>
      </c>
      <c r="E2374">
        <v>10</v>
      </c>
      <c r="F2374">
        <v>6</v>
      </c>
      <c r="G2374">
        <v>13</v>
      </c>
      <c r="H2374">
        <v>0</v>
      </c>
      <c r="I2374">
        <v>6</v>
      </c>
      <c r="J2374" s="52"/>
    </row>
    <row r="2375" spans="1:10" hidden="1" x14ac:dyDescent="0.35">
      <c r="A2375" s="2">
        <v>45503</v>
      </c>
      <c r="B2375" t="s">
        <v>99</v>
      </c>
      <c r="C2375" t="s">
        <v>92</v>
      </c>
      <c r="E2375">
        <v>31</v>
      </c>
      <c r="F2375">
        <v>5</v>
      </c>
      <c r="G2375">
        <v>20</v>
      </c>
      <c r="H2375">
        <v>5</v>
      </c>
      <c r="I2375">
        <v>4</v>
      </c>
      <c r="J2375" s="52"/>
    </row>
    <row r="2376" spans="1:10" hidden="1" x14ac:dyDescent="0.35">
      <c r="A2376" s="2">
        <v>45503</v>
      </c>
      <c r="B2376" t="s">
        <v>98</v>
      </c>
      <c r="C2376" t="s">
        <v>94</v>
      </c>
      <c r="E2376">
        <v>23</v>
      </c>
      <c r="F2376">
        <v>1</v>
      </c>
      <c r="G2376">
        <v>23</v>
      </c>
      <c r="H2376">
        <v>2</v>
      </c>
      <c r="I2376">
        <v>14</v>
      </c>
      <c r="J2376" s="52"/>
    </row>
    <row r="2377" spans="1:10" hidden="1" x14ac:dyDescent="0.35">
      <c r="A2377" s="2">
        <v>45503</v>
      </c>
      <c r="B2377" t="s">
        <v>104</v>
      </c>
      <c r="C2377" t="s">
        <v>94</v>
      </c>
      <c r="E2377">
        <v>0</v>
      </c>
      <c r="F2377">
        <v>1</v>
      </c>
      <c r="G2377">
        <v>0</v>
      </c>
      <c r="H2377">
        <v>0</v>
      </c>
      <c r="I2377">
        <v>1</v>
      </c>
      <c r="J2377" s="52"/>
    </row>
    <row r="2378" spans="1:10" hidden="1" x14ac:dyDescent="0.35">
      <c r="A2378" s="2">
        <v>45503</v>
      </c>
      <c r="B2378" t="s">
        <v>106</v>
      </c>
      <c r="C2378" t="s">
        <v>103</v>
      </c>
      <c r="E2378">
        <v>12</v>
      </c>
      <c r="F2378">
        <v>4</v>
      </c>
      <c r="G2378">
        <v>9</v>
      </c>
      <c r="H2378">
        <v>0</v>
      </c>
      <c r="I2378">
        <v>4</v>
      </c>
      <c r="J2378" s="52"/>
    </row>
    <row r="2379" spans="1:10" hidden="1" x14ac:dyDescent="0.35">
      <c r="A2379" s="2">
        <v>45503</v>
      </c>
      <c r="B2379" t="s">
        <v>108</v>
      </c>
      <c r="C2379" t="s">
        <v>109</v>
      </c>
      <c r="E2379">
        <v>25</v>
      </c>
      <c r="F2379">
        <v>5</v>
      </c>
      <c r="G2379">
        <v>11</v>
      </c>
      <c r="H2379">
        <v>0</v>
      </c>
      <c r="I2379">
        <v>5</v>
      </c>
      <c r="J2379" s="52"/>
    </row>
    <row r="2380" spans="1:10" hidden="1" x14ac:dyDescent="0.35">
      <c r="A2380" s="2">
        <v>45503</v>
      </c>
      <c r="B2380" t="s">
        <v>114</v>
      </c>
      <c r="C2380" t="s">
        <v>111</v>
      </c>
      <c r="E2380">
        <v>11</v>
      </c>
      <c r="F2380">
        <v>8</v>
      </c>
      <c r="G2380">
        <v>8</v>
      </c>
      <c r="H2380">
        <v>0</v>
      </c>
      <c r="I2380">
        <v>4</v>
      </c>
      <c r="J2380" s="52"/>
    </row>
    <row r="2381" spans="1:10" hidden="1" x14ac:dyDescent="0.35">
      <c r="A2381" s="2">
        <v>45534</v>
      </c>
      <c r="C2381" t="s">
        <v>24</v>
      </c>
      <c r="D2381">
        <v>398</v>
      </c>
      <c r="J2381" s="58">
        <v>132500</v>
      </c>
    </row>
    <row r="2382" spans="1:10" hidden="1" x14ac:dyDescent="0.35">
      <c r="A2382" s="2">
        <v>45534</v>
      </c>
      <c r="C2382" t="s">
        <v>9</v>
      </c>
      <c r="D2382">
        <v>341</v>
      </c>
      <c r="J2382" s="58">
        <v>114500</v>
      </c>
    </row>
    <row r="2383" spans="1:10" hidden="1" x14ac:dyDescent="0.35">
      <c r="A2383" s="2">
        <v>45534</v>
      </c>
      <c r="C2383" t="s">
        <v>37</v>
      </c>
      <c r="D2383">
        <v>460</v>
      </c>
      <c r="J2383" s="58">
        <v>262950</v>
      </c>
    </row>
    <row r="2384" spans="1:10" hidden="1" x14ac:dyDescent="0.35">
      <c r="A2384" s="2">
        <v>45534</v>
      </c>
      <c r="C2384" t="s">
        <v>23</v>
      </c>
      <c r="D2384">
        <v>208</v>
      </c>
      <c r="J2384" s="58">
        <v>96200</v>
      </c>
    </row>
    <row r="2385" spans="1:10" hidden="1" x14ac:dyDescent="0.35">
      <c r="A2385" s="2">
        <v>45534</v>
      </c>
      <c r="C2385" t="s">
        <v>27</v>
      </c>
      <c r="D2385">
        <v>311</v>
      </c>
      <c r="J2385" s="58">
        <v>451900</v>
      </c>
    </row>
    <row r="2386" spans="1:10" hidden="1" x14ac:dyDescent="0.35">
      <c r="A2386" s="2">
        <v>45534</v>
      </c>
      <c r="C2386" t="s">
        <v>26</v>
      </c>
      <c r="D2386">
        <v>250</v>
      </c>
      <c r="J2386" s="58">
        <v>188950</v>
      </c>
    </row>
    <row r="2387" spans="1:10" hidden="1" x14ac:dyDescent="0.35">
      <c r="A2387" s="2">
        <v>45534</v>
      </c>
      <c r="C2387" t="s">
        <v>20</v>
      </c>
      <c r="D2387">
        <v>355</v>
      </c>
      <c r="J2387" s="58">
        <v>605500</v>
      </c>
    </row>
    <row r="2388" spans="1:10" hidden="1" x14ac:dyDescent="0.35">
      <c r="A2388" s="2">
        <v>45534</v>
      </c>
      <c r="C2388" t="s">
        <v>25</v>
      </c>
      <c r="D2388">
        <v>216</v>
      </c>
      <c r="J2388" s="58">
        <v>39500</v>
      </c>
    </row>
    <row r="2389" spans="1:10" hidden="1" x14ac:dyDescent="0.35">
      <c r="A2389" s="2">
        <v>45534</v>
      </c>
      <c r="C2389" t="s">
        <v>19</v>
      </c>
      <c r="D2389">
        <v>418</v>
      </c>
      <c r="J2389" s="58">
        <v>337800</v>
      </c>
    </row>
    <row r="2390" spans="1:10" hidden="1" x14ac:dyDescent="0.35">
      <c r="A2390" s="2">
        <v>45534</v>
      </c>
      <c r="C2390" t="s">
        <v>21</v>
      </c>
      <c r="D2390">
        <v>364</v>
      </c>
      <c r="J2390" s="58">
        <v>168950</v>
      </c>
    </row>
    <row r="2391" spans="1:10" hidden="1" x14ac:dyDescent="0.35">
      <c r="A2391" s="2">
        <v>45534</v>
      </c>
      <c r="C2391" t="s">
        <v>18</v>
      </c>
      <c r="D2391">
        <v>539</v>
      </c>
      <c r="J2391" s="58">
        <v>527600</v>
      </c>
    </row>
    <row r="2392" spans="1:10" hidden="1" x14ac:dyDescent="0.35">
      <c r="A2392" s="2">
        <v>45534</v>
      </c>
      <c r="C2392" t="s">
        <v>22</v>
      </c>
      <c r="D2392">
        <v>450</v>
      </c>
      <c r="J2392" s="58">
        <v>348800</v>
      </c>
    </row>
    <row r="2393" spans="1:10" hidden="1" x14ac:dyDescent="0.35">
      <c r="A2393" s="2">
        <v>45534</v>
      </c>
      <c r="C2393" t="s">
        <v>54</v>
      </c>
      <c r="D2393">
        <v>360</v>
      </c>
      <c r="J2393" s="58">
        <v>134600</v>
      </c>
    </row>
    <row r="2394" spans="1:10" hidden="1" x14ac:dyDescent="0.35">
      <c r="A2394" s="2">
        <v>45534</v>
      </c>
      <c r="C2394" t="s">
        <v>55</v>
      </c>
      <c r="D2394">
        <v>442</v>
      </c>
      <c r="J2394" s="58">
        <v>219970</v>
      </c>
    </row>
    <row r="2395" spans="1:10" hidden="1" x14ac:dyDescent="0.35">
      <c r="A2395" s="2">
        <v>45534</v>
      </c>
      <c r="C2395" t="s">
        <v>58</v>
      </c>
      <c r="D2395">
        <v>394</v>
      </c>
      <c r="J2395" s="58">
        <v>262900</v>
      </c>
    </row>
    <row r="2396" spans="1:10" hidden="1" x14ac:dyDescent="0.35">
      <c r="A2396" s="2">
        <v>45534</v>
      </c>
      <c r="C2396" t="s">
        <v>62</v>
      </c>
      <c r="D2396">
        <v>313</v>
      </c>
      <c r="J2396" s="58">
        <v>49500</v>
      </c>
    </row>
    <row r="2397" spans="1:10" hidden="1" x14ac:dyDescent="0.35">
      <c r="A2397" s="2">
        <v>45534</v>
      </c>
      <c r="C2397" t="s">
        <v>61</v>
      </c>
      <c r="D2397">
        <v>222</v>
      </c>
      <c r="J2397" s="58">
        <v>160500</v>
      </c>
    </row>
    <row r="2398" spans="1:10" hidden="1" x14ac:dyDescent="0.35">
      <c r="A2398" s="2">
        <v>45534</v>
      </c>
      <c r="C2398" t="s">
        <v>63</v>
      </c>
      <c r="D2398">
        <v>174</v>
      </c>
      <c r="J2398" s="58">
        <v>117000</v>
      </c>
    </row>
    <row r="2399" spans="1:10" hidden="1" x14ac:dyDescent="0.35">
      <c r="A2399" s="2">
        <v>45534</v>
      </c>
      <c r="C2399" t="s">
        <v>73</v>
      </c>
      <c r="D2399">
        <v>221</v>
      </c>
      <c r="J2399" s="58">
        <v>103500</v>
      </c>
    </row>
    <row r="2400" spans="1:10" hidden="1" x14ac:dyDescent="0.35">
      <c r="A2400" s="2">
        <v>45534</v>
      </c>
      <c r="C2400" t="s">
        <v>76</v>
      </c>
      <c r="D2400">
        <v>209</v>
      </c>
      <c r="J2400" s="58">
        <v>108000</v>
      </c>
    </row>
    <row r="2401" spans="1:10" hidden="1" x14ac:dyDescent="0.35">
      <c r="A2401" s="2">
        <v>45534</v>
      </c>
      <c r="C2401" t="s">
        <v>81</v>
      </c>
      <c r="D2401">
        <v>209</v>
      </c>
      <c r="J2401" s="58">
        <v>120100</v>
      </c>
    </row>
    <row r="2402" spans="1:10" hidden="1" x14ac:dyDescent="0.35">
      <c r="A2402" s="2">
        <v>45534</v>
      </c>
      <c r="C2402" t="s">
        <v>83</v>
      </c>
      <c r="D2402">
        <v>189</v>
      </c>
      <c r="J2402" s="58">
        <v>105800</v>
      </c>
    </row>
    <row r="2403" spans="1:10" hidden="1" x14ac:dyDescent="0.35">
      <c r="A2403" s="2">
        <v>45534</v>
      </c>
      <c r="C2403" t="s">
        <v>87</v>
      </c>
      <c r="D2403">
        <v>147</v>
      </c>
      <c r="J2403" s="58">
        <v>0</v>
      </c>
    </row>
    <row r="2404" spans="1:10" hidden="1" x14ac:dyDescent="0.35">
      <c r="A2404" s="2">
        <v>45534</v>
      </c>
      <c r="C2404" t="s">
        <v>91</v>
      </c>
      <c r="D2404">
        <v>211</v>
      </c>
      <c r="J2404" s="58">
        <v>77400</v>
      </c>
    </row>
    <row r="2405" spans="1:10" hidden="1" x14ac:dyDescent="0.35">
      <c r="A2405" s="2">
        <v>45534</v>
      </c>
      <c r="C2405" t="s">
        <v>92</v>
      </c>
      <c r="D2405">
        <v>154</v>
      </c>
      <c r="J2405" s="58">
        <v>163800</v>
      </c>
    </row>
    <row r="2406" spans="1:10" hidden="1" x14ac:dyDescent="0.35">
      <c r="A2406" s="2">
        <v>45534</v>
      </c>
      <c r="C2406" t="s">
        <v>94</v>
      </c>
      <c r="D2406">
        <v>246</v>
      </c>
      <c r="J2406" s="58">
        <v>149400</v>
      </c>
    </row>
    <row r="2407" spans="1:10" hidden="1" x14ac:dyDescent="0.35">
      <c r="A2407" s="2">
        <v>45534</v>
      </c>
      <c r="C2407" t="s">
        <v>103</v>
      </c>
      <c r="D2407">
        <v>82</v>
      </c>
      <c r="J2407" s="58">
        <v>60000</v>
      </c>
    </row>
    <row r="2408" spans="1:10" hidden="1" x14ac:dyDescent="0.35">
      <c r="A2408" s="2">
        <v>45534</v>
      </c>
      <c r="C2408" t="s">
        <v>109</v>
      </c>
      <c r="D2408">
        <v>37</v>
      </c>
      <c r="J2408" s="58">
        <v>13740</v>
      </c>
    </row>
    <row r="2409" spans="1:10" hidden="1" x14ac:dyDescent="0.35">
      <c r="A2409" s="2">
        <v>45534</v>
      </c>
      <c r="C2409" t="s">
        <v>111</v>
      </c>
      <c r="D2409">
        <v>152</v>
      </c>
      <c r="J2409" s="58">
        <v>54000</v>
      </c>
    </row>
    <row r="2410" spans="1:10" hidden="1" x14ac:dyDescent="0.35">
      <c r="A2410" s="2">
        <v>45534</v>
      </c>
      <c r="C2410" t="s">
        <v>115</v>
      </c>
      <c r="D2410">
        <v>230</v>
      </c>
      <c r="J2410" s="58">
        <v>89400</v>
      </c>
    </row>
    <row r="2411" spans="1:10" hidden="1" x14ac:dyDescent="0.35">
      <c r="A2411" s="2">
        <v>45534</v>
      </c>
      <c r="B2411" t="s">
        <v>36</v>
      </c>
      <c r="C2411" t="s">
        <v>20</v>
      </c>
      <c r="E2411">
        <v>37</v>
      </c>
      <c r="F2411">
        <v>5</v>
      </c>
      <c r="G2411">
        <v>65</v>
      </c>
      <c r="H2411">
        <v>9</v>
      </c>
      <c r="I2411">
        <v>28</v>
      </c>
      <c r="J2411" s="52"/>
    </row>
    <row r="2412" spans="1:10" hidden="1" x14ac:dyDescent="0.35">
      <c r="A2412" s="2">
        <v>45534</v>
      </c>
      <c r="B2412" t="s">
        <v>110</v>
      </c>
      <c r="C2412" t="s">
        <v>20</v>
      </c>
      <c r="E2412">
        <v>11</v>
      </c>
      <c r="F2412">
        <v>4</v>
      </c>
      <c r="G2412">
        <v>29</v>
      </c>
      <c r="H2412">
        <v>1</v>
      </c>
      <c r="I2412">
        <v>13</v>
      </c>
      <c r="J2412" s="52"/>
    </row>
    <row r="2413" spans="1:10" hidden="1" x14ac:dyDescent="0.35">
      <c r="A2413" s="2">
        <v>45534</v>
      </c>
      <c r="B2413" t="s">
        <v>113</v>
      </c>
      <c r="C2413" t="s">
        <v>26</v>
      </c>
      <c r="E2413">
        <v>22</v>
      </c>
      <c r="F2413">
        <v>1</v>
      </c>
      <c r="G2413">
        <v>45</v>
      </c>
      <c r="H2413">
        <v>9</v>
      </c>
      <c r="I2413">
        <v>15</v>
      </c>
      <c r="J2413" s="52"/>
    </row>
    <row r="2414" spans="1:10" hidden="1" x14ac:dyDescent="0.35">
      <c r="A2414" s="2">
        <v>45534</v>
      </c>
      <c r="B2414" t="s">
        <v>113</v>
      </c>
      <c r="C2414" t="s">
        <v>115</v>
      </c>
      <c r="E2414">
        <v>19</v>
      </c>
      <c r="F2414">
        <v>3</v>
      </c>
      <c r="G2414">
        <v>13</v>
      </c>
      <c r="H2414">
        <v>1</v>
      </c>
      <c r="I2414">
        <v>7</v>
      </c>
      <c r="J2414" s="58"/>
    </row>
    <row r="2415" spans="1:10" hidden="1" x14ac:dyDescent="0.35">
      <c r="A2415" s="2">
        <v>45534</v>
      </c>
      <c r="B2415" t="s">
        <v>38</v>
      </c>
      <c r="C2415" t="s">
        <v>18</v>
      </c>
      <c r="E2415">
        <v>14</v>
      </c>
      <c r="F2415">
        <v>10</v>
      </c>
      <c r="G2415">
        <v>22</v>
      </c>
      <c r="H2415">
        <v>6</v>
      </c>
      <c r="I2415">
        <v>15</v>
      </c>
      <c r="J2415" s="52"/>
    </row>
    <row r="2416" spans="1:10" hidden="1" x14ac:dyDescent="0.35">
      <c r="A2416" s="2">
        <v>45534</v>
      </c>
      <c r="B2416" t="s">
        <v>116</v>
      </c>
      <c r="C2416" t="s">
        <v>18</v>
      </c>
      <c r="E2416">
        <v>31</v>
      </c>
      <c r="F2416">
        <v>28</v>
      </c>
      <c r="G2416">
        <v>19</v>
      </c>
      <c r="H2416">
        <v>11</v>
      </c>
      <c r="I2416">
        <v>24</v>
      </c>
      <c r="J2416" s="52"/>
    </row>
    <row r="2417" spans="1:10" hidden="1" x14ac:dyDescent="0.35">
      <c r="A2417" s="2">
        <v>45534</v>
      </c>
      <c r="B2417" t="s">
        <v>13</v>
      </c>
      <c r="C2417" t="s">
        <v>25</v>
      </c>
      <c r="E2417">
        <v>20</v>
      </c>
      <c r="F2417">
        <v>2</v>
      </c>
      <c r="G2417">
        <v>12</v>
      </c>
      <c r="H2417">
        <v>1</v>
      </c>
      <c r="I2417">
        <v>3</v>
      </c>
      <c r="J2417" s="52"/>
    </row>
    <row r="2418" spans="1:10" hidden="1" x14ac:dyDescent="0.35">
      <c r="A2418" s="2">
        <v>45534</v>
      </c>
      <c r="B2418" t="s">
        <v>104</v>
      </c>
      <c r="C2418" t="s">
        <v>23</v>
      </c>
      <c r="E2418">
        <v>8</v>
      </c>
      <c r="F2418">
        <v>1</v>
      </c>
      <c r="G2418">
        <v>11</v>
      </c>
      <c r="H2418">
        <v>0</v>
      </c>
      <c r="I2418">
        <v>8</v>
      </c>
      <c r="J2418" s="52"/>
    </row>
    <row r="2419" spans="1:10" hidden="1" x14ac:dyDescent="0.35">
      <c r="A2419" s="2">
        <v>45534</v>
      </c>
      <c r="B2419" t="s">
        <v>102</v>
      </c>
      <c r="C2419" t="s">
        <v>24</v>
      </c>
      <c r="E2419">
        <v>2</v>
      </c>
      <c r="F2419">
        <v>0</v>
      </c>
      <c r="G2419">
        <v>4</v>
      </c>
      <c r="H2419">
        <v>2</v>
      </c>
      <c r="I2419">
        <v>2</v>
      </c>
      <c r="J2419" s="52"/>
    </row>
    <row r="2420" spans="1:10" hidden="1" x14ac:dyDescent="0.35">
      <c r="A2420" s="2">
        <v>45534</v>
      </c>
      <c r="B2420" t="s">
        <v>96</v>
      </c>
      <c r="C2420" t="s">
        <v>24</v>
      </c>
      <c r="E2420">
        <v>33</v>
      </c>
      <c r="F2420">
        <v>1</v>
      </c>
      <c r="G2420">
        <v>11</v>
      </c>
      <c r="H2420">
        <v>7</v>
      </c>
      <c r="I2420">
        <v>8</v>
      </c>
      <c r="J2420" s="52"/>
    </row>
    <row r="2421" spans="1:10" hidden="1" x14ac:dyDescent="0.35">
      <c r="A2421" s="2">
        <v>45534</v>
      </c>
      <c r="B2421" t="s">
        <v>96</v>
      </c>
      <c r="C2421" t="s">
        <v>37</v>
      </c>
      <c r="E2421">
        <v>4</v>
      </c>
      <c r="F2421">
        <v>1</v>
      </c>
      <c r="G2421">
        <v>2</v>
      </c>
      <c r="H2421">
        <v>2</v>
      </c>
      <c r="I2421">
        <v>2</v>
      </c>
      <c r="J2421" s="52"/>
    </row>
    <row r="2422" spans="1:10" hidden="1" x14ac:dyDescent="0.35">
      <c r="A2422" s="2">
        <v>45534</v>
      </c>
      <c r="B2422" t="s">
        <v>101</v>
      </c>
      <c r="C2422" t="s">
        <v>37</v>
      </c>
      <c r="E2422">
        <v>1</v>
      </c>
      <c r="F2422">
        <v>0</v>
      </c>
      <c r="G2422">
        <v>0</v>
      </c>
      <c r="H2422">
        <v>0</v>
      </c>
      <c r="I2422">
        <v>1</v>
      </c>
      <c r="J2422" s="52"/>
    </row>
    <row r="2423" spans="1:10" hidden="1" x14ac:dyDescent="0.35">
      <c r="A2423" s="2">
        <v>45534</v>
      </c>
      <c r="B2423" t="s">
        <v>102</v>
      </c>
      <c r="C2423" t="s">
        <v>37</v>
      </c>
      <c r="E2423">
        <v>34</v>
      </c>
      <c r="F2423">
        <v>10</v>
      </c>
      <c r="G2423">
        <v>34</v>
      </c>
      <c r="H2423">
        <v>5</v>
      </c>
      <c r="I2423">
        <v>17</v>
      </c>
      <c r="J2423" s="52"/>
    </row>
    <row r="2424" spans="1:10" hidden="1" x14ac:dyDescent="0.35">
      <c r="A2424" s="2">
        <v>45535</v>
      </c>
      <c r="B2424" t="s">
        <v>50</v>
      </c>
      <c r="C2424" t="s">
        <v>37</v>
      </c>
      <c r="E2424">
        <v>1</v>
      </c>
      <c r="F2424">
        <v>0</v>
      </c>
      <c r="G2424">
        <v>0</v>
      </c>
      <c r="H2424">
        <v>0</v>
      </c>
      <c r="I2424">
        <v>1</v>
      </c>
      <c r="J2424" s="52"/>
    </row>
    <row r="2425" spans="1:10" hidden="1" x14ac:dyDescent="0.35">
      <c r="A2425" s="2">
        <v>45534</v>
      </c>
      <c r="B2425" t="s">
        <v>112</v>
      </c>
      <c r="C2425" t="s">
        <v>19</v>
      </c>
      <c r="E2425">
        <v>46</v>
      </c>
      <c r="F2425">
        <v>8</v>
      </c>
      <c r="G2425">
        <v>36</v>
      </c>
      <c r="H2425">
        <v>6</v>
      </c>
      <c r="I2425">
        <v>15</v>
      </c>
      <c r="J2425" s="52"/>
    </row>
    <row r="2426" spans="1:10" hidden="1" x14ac:dyDescent="0.35">
      <c r="A2426" s="2">
        <v>45534</v>
      </c>
      <c r="B2426" t="s">
        <v>40</v>
      </c>
      <c r="C2426" t="s">
        <v>19</v>
      </c>
      <c r="E2426">
        <v>29</v>
      </c>
      <c r="F2426">
        <v>2</v>
      </c>
      <c r="G2426">
        <v>47</v>
      </c>
      <c r="H2426">
        <v>2</v>
      </c>
      <c r="I2426">
        <v>10</v>
      </c>
      <c r="J2426" s="52"/>
    </row>
    <row r="2427" spans="1:10" hidden="1" x14ac:dyDescent="0.35">
      <c r="A2427" s="2">
        <v>45534</v>
      </c>
      <c r="B2427" t="s">
        <v>84</v>
      </c>
      <c r="C2427" t="s">
        <v>22</v>
      </c>
      <c r="E2427">
        <v>1</v>
      </c>
      <c r="F2427">
        <v>5</v>
      </c>
      <c r="G2427">
        <v>0</v>
      </c>
      <c r="H2427">
        <v>4</v>
      </c>
      <c r="I2427">
        <v>9</v>
      </c>
      <c r="J2427" s="52"/>
    </row>
    <row r="2428" spans="1:10" hidden="1" x14ac:dyDescent="0.35">
      <c r="A2428" s="2">
        <v>45534</v>
      </c>
      <c r="B2428" t="s">
        <v>105</v>
      </c>
      <c r="C2428" t="s">
        <v>22</v>
      </c>
      <c r="E2428">
        <v>2</v>
      </c>
      <c r="F2428">
        <v>0</v>
      </c>
      <c r="G2428">
        <v>23</v>
      </c>
      <c r="H2428">
        <v>10</v>
      </c>
      <c r="I2428">
        <v>2</v>
      </c>
      <c r="J2428" s="52"/>
    </row>
    <row r="2429" spans="1:10" hidden="1" x14ac:dyDescent="0.35">
      <c r="A2429" s="2">
        <v>45534</v>
      </c>
      <c r="B2429" t="s">
        <v>121</v>
      </c>
      <c r="C2429" t="s">
        <v>22</v>
      </c>
      <c r="E2429">
        <v>31</v>
      </c>
      <c r="F2429">
        <v>18</v>
      </c>
      <c r="G2429">
        <v>34</v>
      </c>
      <c r="H2429">
        <v>5</v>
      </c>
      <c r="I2429">
        <v>16</v>
      </c>
      <c r="J2429" s="52"/>
    </row>
    <row r="2430" spans="1:10" hidden="1" x14ac:dyDescent="0.35">
      <c r="A2430" s="2">
        <v>45534</v>
      </c>
      <c r="B2430" t="s">
        <v>43</v>
      </c>
      <c r="C2430" t="s">
        <v>27</v>
      </c>
      <c r="E2430">
        <v>30</v>
      </c>
      <c r="F2430">
        <v>0</v>
      </c>
      <c r="G2430">
        <v>37</v>
      </c>
      <c r="H2430">
        <v>0</v>
      </c>
      <c r="I2430">
        <v>23</v>
      </c>
      <c r="J2430" s="52"/>
    </row>
    <row r="2431" spans="1:10" hidden="1" x14ac:dyDescent="0.35">
      <c r="A2431" s="2">
        <v>45534</v>
      </c>
      <c r="B2431" t="s">
        <v>84</v>
      </c>
      <c r="C2431" t="s">
        <v>27</v>
      </c>
      <c r="E2431">
        <v>23</v>
      </c>
      <c r="F2431">
        <v>0</v>
      </c>
      <c r="G2431">
        <v>16</v>
      </c>
      <c r="H2431">
        <v>0</v>
      </c>
      <c r="I2431">
        <v>7</v>
      </c>
      <c r="J2431" s="52"/>
    </row>
    <row r="2432" spans="1:10" hidden="1" x14ac:dyDescent="0.35">
      <c r="A2432" s="2">
        <v>45534</v>
      </c>
      <c r="B2432" t="s">
        <v>101</v>
      </c>
      <c r="C2432" t="s">
        <v>9</v>
      </c>
      <c r="E2432">
        <v>27</v>
      </c>
      <c r="F2432">
        <v>1</v>
      </c>
      <c r="G2432">
        <v>17</v>
      </c>
      <c r="H2432">
        <v>0</v>
      </c>
      <c r="I2432">
        <v>9</v>
      </c>
      <c r="J2432" s="52"/>
    </row>
    <row r="2433" spans="1:10" hidden="1" x14ac:dyDescent="0.35">
      <c r="A2433" s="2">
        <v>45534</v>
      </c>
      <c r="B2433" t="s">
        <v>75</v>
      </c>
      <c r="C2433" t="s">
        <v>21</v>
      </c>
      <c r="E2433">
        <v>16</v>
      </c>
      <c r="F2433">
        <v>3</v>
      </c>
      <c r="G2433">
        <v>25</v>
      </c>
      <c r="H2433">
        <v>4</v>
      </c>
      <c r="I2433">
        <v>10</v>
      </c>
      <c r="J2433" s="52"/>
    </row>
    <row r="2434" spans="1:10" hidden="1" x14ac:dyDescent="0.35">
      <c r="A2434" s="2">
        <v>45534</v>
      </c>
      <c r="B2434" t="s">
        <v>120</v>
      </c>
      <c r="C2434" t="s">
        <v>21</v>
      </c>
      <c r="E2434">
        <v>9</v>
      </c>
      <c r="F2434">
        <v>4</v>
      </c>
      <c r="G2434">
        <v>1</v>
      </c>
      <c r="H2434">
        <v>1</v>
      </c>
      <c r="I2434">
        <v>2</v>
      </c>
      <c r="J2434" s="52"/>
    </row>
    <row r="2435" spans="1:10" hidden="1" x14ac:dyDescent="0.35">
      <c r="A2435" s="2">
        <v>45534</v>
      </c>
      <c r="B2435" t="s">
        <v>117</v>
      </c>
      <c r="C2435" t="s">
        <v>54</v>
      </c>
      <c r="E2435">
        <v>24</v>
      </c>
      <c r="F2435">
        <v>8</v>
      </c>
      <c r="G2435">
        <v>29</v>
      </c>
      <c r="H2435">
        <v>6</v>
      </c>
      <c r="I2435">
        <v>10</v>
      </c>
      <c r="J2435" s="52"/>
    </row>
    <row r="2436" spans="1:10" hidden="1" x14ac:dyDescent="0.35">
      <c r="A2436" s="2">
        <v>45534</v>
      </c>
      <c r="B2436" t="s">
        <v>57</v>
      </c>
      <c r="C2436" t="s">
        <v>55</v>
      </c>
      <c r="E2436">
        <v>30</v>
      </c>
      <c r="F2436">
        <v>8</v>
      </c>
      <c r="G2436">
        <v>21</v>
      </c>
      <c r="H2436">
        <v>2</v>
      </c>
      <c r="I2436">
        <v>18</v>
      </c>
      <c r="J2436" s="52"/>
    </row>
    <row r="2437" spans="1:10" hidden="1" x14ac:dyDescent="0.35">
      <c r="A2437" s="2">
        <v>45534</v>
      </c>
      <c r="B2437" t="s">
        <v>100</v>
      </c>
      <c r="C2437" t="s">
        <v>58</v>
      </c>
      <c r="E2437">
        <v>7</v>
      </c>
      <c r="F2437">
        <v>2</v>
      </c>
      <c r="G2437">
        <v>11</v>
      </c>
      <c r="H2437">
        <v>11</v>
      </c>
      <c r="I2437">
        <v>4</v>
      </c>
      <c r="J2437" s="52"/>
    </row>
    <row r="2438" spans="1:10" hidden="1" x14ac:dyDescent="0.35">
      <c r="A2438" s="2">
        <v>45534</v>
      </c>
      <c r="B2438" t="s">
        <v>107</v>
      </c>
      <c r="C2438" t="s">
        <v>58</v>
      </c>
      <c r="E2438">
        <v>28</v>
      </c>
      <c r="F2438">
        <v>14</v>
      </c>
      <c r="G2438">
        <v>18</v>
      </c>
      <c r="H2438">
        <v>2</v>
      </c>
      <c r="I2438">
        <v>16</v>
      </c>
      <c r="J2438" s="52"/>
    </row>
    <row r="2439" spans="1:10" hidden="1" x14ac:dyDescent="0.35">
      <c r="A2439" s="2">
        <v>45534</v>
      </c>
      <c r="B2439" t="s">
        <v>64</v>
      </c>
      <c r="C2439" t="s">
        <v>62</v>
      </c>
      <c r="E2439">
        <v>14</v>
      </c>
      <c r="F2439">
        <v>8</v>
      </c>
      <c r="G2439">
        <v>18</v>
      </c>
      <c r="H2439">
        <v>12</v>
      </c>
      <c r="I2439">
        <v>4</v>
      </c>
      <c r="J2439" s="52"/>
    </row>
    <row r="2440" spans="1:10" hidden="1" x14ac:dyDescent="0.35">
      <c r="A2440" s="2">
        <v>45534</v>
      </c>
      <c r="B2440" t="s">
        <v>97</v>
      </c>
      <c r="C2440" t="s">
        <v>61</v>
      </c>
      <c r="E2440">
        <v>38</v>
      </c>
      <c r="F2440">
        <v>1</v>
      </c>
      <c r="G2440">
        <v>15</v>
      </c>
      <c r="H2440">
        <v>2</v>
      </c>
      <c r="I2440">
        <v>12</v>
      </c>
      <c r="J2440" s="52"/>
    </row>
    <row r="2441" spans="1:10" hidden="1" x14ac:dyDescent="0.35">
      <c r="A2441" s="2">
        <v>45534</v>
      </c>
      <c r="B2441" t="s">
        <v>118</v>
      </c>
      <c r="C2441" t="s">
        <v>61</v>
      </c>
      <c r="E2441">
        <v>7</v>
      </c>
      <c r="F2441">
        <v>0</v>
      </c>
      <c r="G2441">
        <v>2</v>
      </c>
      <c r="H2441">
        <v>0</v>
      </c>
      <c r="I2441">
        <v>1</v>
      </c>
      <c r="J2441" s="52"/>
    </row>
    <row r="2442" spans="1:10" hidden="1" x14ac:dyDescent="0.35">
      <c r="A2442" s="2">
        <v>45534</v>
      </c>
      <c r="B2442" t="s">
        <v>118</v>
      </c>
      <c r="C2442" t="s">
        <v>91</v>
      </c>
      <c r="E2442">
        <v>10</v>
      </c>
      <c r="F2442">
        <v>6</v>
      </c>
      <c r="G2442">
        <v>4</v>
      </c>
      <c r="H2442">
        <v>3</v>
      </c>
      <c r="I2442">
        <v>6</v>
      </c>
      <c r="J2442" s="52"/>
    </row>
    <row r="2443" spans="1:10" hidden="1" x14ac:dyDescent="0.35">
      <c r="A2443" s="2">
        <v>45534</v>
      </c>
      <c r="B2443" t="s">
        <v>119</v>
      </c>
      <c r="C2443" t="s">
        <v>63</v>
      </c>
      <c r="E2443">
        <v>7</v>
      </c>
      <c r="F2443">
        <v>10</v>
      </c>
      <c r="G2443">
        <v>23</v>
      </c>
      <c r="H2443">
        <v>2</v>
      </c>
      <c r="I2443">
        <v>10</v>
      </c>
      <c r="J2443" s="52"/>
    </row>
    <row r="2444" spans="1:10" hidden="1" x14ac:dyDescent="0.35">
      <c r="A2444" s="2">
        <v>45534</v>
      </c>
      <c r="B2444" t="s">
        <v>77</v>
      </c>
      <c r="C2444" t="s">
        <v>73</v>
      </c>
      <c r="E2444">
        <v>6</v>
      </c>
      <c r="F2444">
        <v>16</v>
      </c>
      <c r="G2444">
        <v>16</v>
      </c>
      <c r="H2444">
        <v>4</v>
      </c>
      <c r="I2444">
        <v>8</v>
      </c>
      <c r="J2444" s="52"/>
    </row>
    <row r="2445" spans="1:10" hidden="1" x14ac:dyDescent="0.35">
      <c r="A2445" s="2">
        <v>45534</v>
      </c>
      <c r="B2445" t="s">
        <v>110</v>
      </c>
      <c r="C2445" t="s">
        <v>81</v>
      </c>
      <c r="E2445">
        <v>16</v>
      </c>
      <c r="F2445">
        <v>0</v>
      </c>
      <c r="G2445">
        <v>17</v>
      </c>
      <c r="H2445">
        <v>0</v>
      </c>
      <c r="I2445">
        <v>9</v>
      </c>
      <c r="J2445" s="52"/>
    </row>
    <row r="2446" spans="1:10" hidden="1" x14ac:dyDescent="0.35">
      <c r="A2446" s="2">
        <v>45534</v>
      </c>
      <c r="B2446" t="s">
        <v>85</v>
      </c>
      <c r="C2446" t="s">
        <v>83</v>
      </c>
      <c r="E2446">
        <v>20</v>
      </c>
      <c r="F2446">
        <v>3</v>
      </c>
      <c r="G2446">
        <v>24</v>
      </c>
      <c r="H2446">
        <v>6</v>
      </c>
      <c r="I2446">
        <v>8</v>
      </c>
      <c r="J2446" s="52"/>
    </row>
    <row r="2447" spans="1:10" hidden="1" x14ac:dyDescent="0.35">
      <c r="A2447" s="2">
        <v>45534</v>
      </c>
      <c r="B2447" t="s">
        <v>88</v>
      </c>
      <c r="C2447" t="s">
        <v>76</v>
      </c>
      <c r="E2447">
        <v>22</v>
      </c>
      <c r="F2447">
        <v>3</v>
      </c>
      <c r="G2447">
        <v>12</v>
      </c>
      <c r="H2447">
        <v>1</v>
      </c>
      <c r="I2447">
        <v>9</v>
      </c>
      <c r="J2447" s="52"/>
    </row>
    <row r="2448" spans="1:10" hidden="1" x14ac:dyDescent="0.35">
      <c r="A2448" s="2">
        <v>45534</v>
      </c>
      <c r="B2448" t="s">
        <v>89</v>
      </c>
      <c r="C2448" t="s">
        <v>87</v>
      </c>
      <c r="E2448">
        <v>9</v>
      </c>
      <c r="F2448">
        <v>5</v>
      </c>
      <c r="G2448">
        <v>11</v>
      </c>
      <c r="H2448">
        <v>1</v>
      </c>
      <c r="I2448">
        <v>0</v>
      </c>
      <c r="J2448" s="52"/>
    </row>
    <row r="2449" spans="1:10" hidden="1" x14ac:dyDescent="0.35">
      <c r="A2449" s="2">
        <v>45534</v>
      </c>
      <c r="B2449" t="s">
        <v>99</v>
      </c>
      <c r="C2449" t="s">
        <v>92</v>
      </c>
      <c r="E2449">
        <v>16</v>
      </c>
      <c r="F2449">
        <v>1</v>
      </c>
      <c r="G2449">
        <v>16</v>
      </c>
      <c r="H2449">
        <v>3</v>
      </c>
      <c r="I2449">
        <v>12</v>
      </c>
      <c r="J2449" s="52"/>
    </row>
    <row r="2450" spans="1:10" hidden="1" x14ac:dyDescent="0.35">
      <c r="A2450" s="2">
        <v>45534</v>
      </c>
      <c r="B2450" t="s">
        <v>98</v>
      </c>
      <c r="C2450" t="s">
        <v>94</v>
      </c>
      <c r="E2450">
        <v>36</v>
      </c>
      <c r="F2450">
        <v>2</v>
      </c>
      <c r="G2450">
        <v>26</v>
      </c>
      <c r="H2450">
        <v>5</v>
      </c>
      <c r="I2450">
        <v>10</v>
      </c>
      <c r="J2450" s="52"/>
    </row>
    <row r="2451" spans="1:10" hidden="1" x14ac:dyDescent="0.35">
      <c r="A2451" s="2">
        <v>45534</v>
      </c>
      <c r="B2451" t="s">
        <v>106</v>
      </c>
      <c r="C2451" t="s">
        <v>103</v>
      </c>
      <c r="E2451">
        <v>11</v>
      </c>
      <c r="F2451">
        <v>2</v>
      </c>
      <c r="G2451">
        <v>8</v>
      </c>
      <c r="H2451">
        <v>0</v>
      </c>
      <c r="I2451">
        <v>5</v>
      </c>
      <c r="J2451" s="52"/>
    </row>
    <row r="2452" spans="1:10" hidden="1" x14ac:dyDescent="0.35">
      <c r="A2452" s="2">
        <v>45534</v>
      </c>
      <c r="B2452" t="s">
        <v>108</v>
      </c>
      <c r="C2452" t="s">
        <v>109</v>
      </c>
      <c r="E2452">
        <v>4</v>
      </c>
      <c r="F2452">
        <v>0</v>
      </c>
      <c r="G2452">
        <v>7</v>
      </c>
      <c r="H2452">
        <v>5</v>
      </c>
      <c r="I2452">
        <v>1</v>
      </c>
      <c r="J2452" s="52"/>
    </row>
    <row r="2453" spans="1:10" hidden="1" x14ac:dyDescent="0.35">
      <c r="A2453" s="2">
        <v>45534</v>
      </c>
      <c r="B2453" t="s">
        <v>114</v>
      </c>
      <c r="C2453" t="s">
        <v>111</v>
      </c>
      <c r="E2453">
        <v>9</v>
      </c>
      <c r="F2453">
        <v>3</v>
      </c>
      <c r="G2453">
        <v>5</v>
      </c>
      <c r="H2453">
        <v>5</v>
      </c>
      <c r="I2453">
        <v>4</v>
      </c>
      <c r="J2453" s="52"/>
    </row>
    <row r="2454" spans="1:10" hidden="1" x14ac:dyDescent="0.35">
      <c r="A2454" s="2">
        <v>45565</v>
      </c>
      <c r="C2454" t="s">
        <v>24</v>
      </c>
      <c r="D2454">
        <v>358</v>
      </c>
      <c r="J2454" s="58">
        <v>138000</v>
      </c>
    </row>
    <row r="2455" spans="1:10" hidden="1" x14ac:dyDescent="0.35">
      <c r="A2455" s="2">
        <v>45565</v>
      </c>
      <c r="C2455" t="s">
        <v>9</v>
      </c>
      <c r="D2455">
        <v>418</v>
      </c>
      <c r="J2455" s="58">
        <v>104450</v>
      </c>
    </row>
    <row r="2456" spans="1:10" hidden="1" x14ac:dyDescent="0.35">
      <c r="A2456" s="2">
        <v>45565</v>
      </c>
      <c r="C2456" t="s">
        <v>37</v>
      </c>
      <c r="D2456">
        <v>471</v>
      </c>
      <c r="J2456" s="58">
        <v>307700</v>
      </c>
    </row>
    <row r="2457" spans="1:10" hidden="1" x14ac:dyDescent="0.35">
      <c r="A2457" s="2">
        <v>45565</v>
      </c>
      <c r="C2457" t="s">
        <v>23</v>
      </c>
      <c r="D2457">
        <v>284</v>
      </c>
      <c r="J2457" s="58">
        <v>50900</v>
      </c>
    </row>
    <row r="2458" spans="1:10" hidden="1" x14ac:dyDescent="0.35">
      <c r="A2458" s="2">
        <v>45565</v>
      </c>
      <c r="C2458" t="s">
        <v>27</v>
      </c>
      <c r="D2458">
        <v>420</v>
      </c>
      <c r="J2458" s="58">
        <v>404200</v>
      </c>
    </row>
    <row r="2459" spans="1:10" hidden="1" x14ac:dyDescent="0.35">
      <c r="A2459" s="2">
        <v>45565</v>
      </c>
      <c r="C2459" t="s">
        <v>26</v>
      </c>
      <c r="D2459">
        <v>272</v>
      </c>
      <c r="J2459" s="58">
        <v>127900</v>
      </c>
    </row>
    <row r="2460" spans="1:10" hidden="1" x14ac:dyDescent="0.35">
      <c r="A2460" s="2">
        <v>45565</v>
      </c>
      <c r="C2460" t="s">
        <v>20</v>
      </c>
      <c r="D2460">
        <v>407</v>
      </c>
      <c r="J2460" s="58">
        <v>434200</v>
      </c>
    </row>
    <row r="2461" spans="1:10" hidden="1" x14ac:dyDescent="0.35">
      <c r="A2461" s="2">
        <v>45565</v>
      </c>
      <c r="C2461" t="s">
        <v>25</v>
      </c>
      <c r="D2461">
        <v>196</v>
      </c>
      <c r="J2461" s="58">
        <v>54450</v>
      </c>
    </row>
    <row r="2462" spans="1:10" hidden="1" x14ac:dyDescent="0.35">
      <c r="A2462" s="2">
        <v>45565</v>
      </c>
      <c r="C2462" t="s">
        <v>19</v>
      </c>
      <c r="D2462">
        <v>436</v>
      </c>
      <c r="J2462" s="58">
        <v>271350</v>
      </c>
    </row>
    <row r="2463" spans="1:10" hidden="1" x14ac:dyDescent="0.35">
      <c r="A2463" s="2">
        <v>45565</v>
      </c>
      <c r="C2463" t="s">
        <v>21</v>
      </c>
      <c r="D2463">
        <v>366</v>
      </c>
      <c r="J2463" s="58">
        <v>28350</v>
      </c>
    </row>
    <row r="2464" spans="1:10" hidden="1" x14ac:dyDescent="0.35">
      <c r="A2464" s="2">
        <v>45565</v>
      </c>
      <c r="C2464" t="s">
        <v>18</v>
      </c>
      <c r="D2464">
        <v>637</v>
      </c>
      <c r="J2464" s="58">
        <v>332500</v>
      </c>
    </row>
    <row r="2465" spans="1:10" hidden="1" x14ac:dyDescent="0.35">
      <c r="A2465" s="2">
        <v>45565</v>
      </c>
      <c r="C2465" t="s">
        <v>22</v>
      </c>
      <c r="D2465">
        <v>405</v>
      </c>
      <c r="J2465" s="58">
        <v>224000</v>
      </c>
    </row>
    <row r="2466" spans="1:10" hidden="1" x14ac:dyDescent="0.35">
      <c r="A2466" s="2">
        <v>45565</v>
      </c>
      <c r="C2466" t="s">
        <v>54</v>
      </c>
      <c r="D2466">
        <v>341</v>
      </c>
      <c r="J2466" s="58">
        <v>134600</v>
      </c>
    </row>
    <row r="2467" spans="1:10" hidden="1" x14ac:dyDescent="0.35">
      <c r="A2467" s="2">
        <v>45565</v>
      </c>
      <c r="C2467" t="s">
        <v>55</v>
      </c>
      <c r="D2467">
        <v>353</v>
      </c>
      <c r="J2467" s="58">
        <v>148970</v>
      </c>
    </row>
    <row r="2468" spans="1:10" hidden="1" x14ac:dyDescent="0.35">
      <c r="A2468" s="2">
        <v>45565</v>
      </c>
      <c r="C2468" t="s">
        <v>58</v>
      </c>
      <c r="D2468">
        <v>428</v>
      </c>
      <c r="J2468" s="58">
        <v>138850</v>
      </c>
    </row>
    <row r="2469" spans="1:10" hidden="1" x14ac:dyDescent="0.35">
      <c r="A2469" s="2">
        <v>45565</v>
      </c>
      <c r="C2469" t="s">
        <v>62</v>
      </c>
      <c r="D2469">
        <v>314</v>
      </c>
      <c r="J2469" s="58">
        <v>52000</v>
      </c>
    </row>
    <row r="2470" spans="1:10" hidden="1" x14ac:dyDescent="0.35">
      <c r="A2470" s="2">
        <v>45565</v>
      </c>
      <c r="C2470" t="s">
        <v>61</v>
      </c>
      <c r="D2470">
        <v>215</v>
      </c>
      <c r="J2470" s="58">
        <v>148500</v>
      </c>
    </row>
    <row r="2471" spans="1:10" hidden="1" x14ac:dyDescent="0.35">
      <c r="A2471" s="2">
        <v>45565</v>
      </c>
      <c r="C2471" t="s">
        <v>63</v>
      </c>
      <c r="D2471">
        <v>184</v>
      </c>
      <c r="J2471" s="58">
        <v>154500</v>
      </c>
    </row>
    <row r="2472" spans="1:10" hidden="1" x14ac:dyDescent="0.35">
      <c r="A2472" s="2">
        <v>45565</v>
      </c>
      <c r="C2472" t="s">
        <v>73</v>
      </c>
      <c r="D2472">
        <v>319</v>
      </c>
      <c r="J2472" s="58">
        <v>89950</v>
      </c>
    </row>
    <row r="2473" spans="1:10" hidden="1" x14ac:dyDescent="0.35">
      <c r="A2473" s="2">
        <v>45565</v>
      </c>
      <c r="C2473" t="s">
        <v>76</v>
      </c>
      <c r="D2473">
        <v>195</v>
      </c>
      <c r="J2473" s="58">
        <v>36000</v>
      </c>
    </row>
    <row r="2474" spans="1:10" hidden="1" x14ac:dyDescent="0.35">
      <c r="A2474" s="2">
        <v>45565</v>
      </c>
      <c r="C2474" t="s">
        <v>81</v>
      </c>
      <c r="D2474">
        <v>238</v>
      </c>
      <c r="J2474" s="58">
        <v>53000</v>
      </c>
    </row>
    <row r="2475" spans="1:10" hidden="1" x14ac:dyDescent="0.35">
      <c r="A2475" s="2">
        <v>45565</v>
      </c>
      <c r="C2475" t="s">
        <v>83</v>
      </c>
      <c r="D2475">
        <v>185</v>
      </c>
      <c r="J2475" s="58">
        <v>156899.99</v>
      </c>
    </row>
    <row r="2476" spans="1:10" hidden="1" x14ac:dyDescent="0.35">
      <c r="A2476" s="2">
        <v>45565</v>
      </c>
      <c r="C2476" t="s">
        <v>87</v>
      </c>
      <c r="D2476">
        <v>126</v>
      </c>
      <c r="J2476" s="58">
        <v>77000</v>
      </c>
    </row>
    <row r="2477" spans="1:10" hidden="1" x14ac:dyDescent="0.35">
      <c r="A2477" s="2">
        <v>45565</v>
      </c>
      <c r="C2477" t="s">
        <v>91</v>
      </c>
      <c r="D2477">
        <v>242</v>
      </c>
      <c r="J2477" s="58">
        <v>63900</v>
      </c>
    </row>
    <row r="2478" spans="1:10" hidden="1" x14ac:dyDescent="0.35">
      <c r="A2478" s="2">
        <v>45565</v>
      </c>
      <c r="C2478" t="s">
        <v>92</v>
      </c>
      <c r="D2478">
        <v>263</v>
      </c>
      <c r="J2478" s="58">
        <v>107600</v>
      </c>
    </row>
    <row r="2479" spans="1:10" hidden="1" x14ac:dyDescent="0.35">
      <c r="A2479" s="2">
        <v>45565</v>
      </c>
      <c r="C2479" t="s">
        <v>94</v>
      </c>
      <c r="D2479">
        <v>239</v>
      </c>
      <c r="J2479" s="58">
        <v>155450</v>
      </c>
    </row>
    <row r="2480" spans="1:10" hidden="1" x14ac:dyDescent="0.35">
      <c r="A2480" s="2">
        <v>45565</v>
      </c>
      <c r="C2480" t="s">
        <v>103</v>
      </c>
      <c r="D2480">
        <v>53</v>
      </c>
      <c r="J2480" s="58">
        <v>0</v>
      </c>
    </row>
    <row r="2481" spans="1:10" hidden="1" x14ac:dyDescent="0.35">
      <c r="A2481" s="2">
        <v>45565</v>
      </c>
      <c r="C2481" t="s">
        <v>111</v>
      </c>
      <c r="D2481">
        <v>187</v>
      </c>
      <c r="J2481" s="58">
        <v>26600</v>
      </c>
    </row>
    <row r="2482" spans="1:10" hidden="1" x14ac:dyDescent="0.35">
      <c r="A2482" s="2">
        <v>45565</v>
      </c>
      <c r="C2482" t="s">
        <v>115</v>
      </c>
      <c r="D2482">
        <v>263</v>
      </c>
      <c r="J2482" s="58">
        <v>78400</v>
      </c>
    </row>
    <row r="2483" spans="1:10" hidden="1" x14ac:dyDescent="0.35">
      <c r="A2483" s="2">
        <v>45565</v>
      </c>
      <c r="B2483" t="s">
        <v>36</v>
      </c>
      <c r="C2483" t="s">
        <v>20</v>
      </c>
      <c r="E2483">
        <v>48</v>
      </c>
      <c r="F2483">
        <v>12</v>
      </c>
      <c r="G2483">
        <v>78</v>
      </c>
      <c r="H2483">
        <v>4</v>
      </c>
      <c r="I2483">
        <v>23</v>
      </c>
      <c r="J2483" s="52"/>
    </row>
    <row r="2484" spans="1:10" hidden="1" x14ac:dyDescent="0.35">
      <c r="A2484" s="2">
        <v>45565</v>
      </c>
      <c r="B2484" t="s">
        <v>110</v>
      </c>
      <c r="C2484" t="s">
        <v>20</v>
      </c>
      <c r="E2484">
        <v>6</v>
      </c>
      <c r="F2484">
        <v>1</v>
      </c>
      <c r="G2484">
        <v>18</v>
      </c>
      <c r="H2484">
        <v>1</v>
      </c>
      <c r="I2484">
        <v>7</v>
      </c>
      <c r="J2484" s="52"/>
    </row>
    <row r="2485" spans="1:10" hidden="1" x14ac:dyDescent="0.35">
      <c r="A2485" s="2">
        <v>45565</v>
      </c>
      <c r="B2485" t="s">
        <v>113</v>
      </c>
      <c r="C2485" t="s">
        <v>26</v>
      </c>
      <c r="E2485">
        <v>23</v>
      </c>
      <c r="F2485">
        <v>0</v>
      </c>
      <c r="G2485">
        <v>50</v>
      </c>
      <c r="H2485">
        <v>16</v>
      </c>
      <c r="I2485">
        <v>10</v>
      </c>
      <c r="J2485" s="52"/>
    </row>
    <row r="2486" spans="1:10" hidden="1" x14ac:dyDescent="0.35">
      <c r="A2486" s="2">
        <v>45565</v>
      </c>
      <c r="B2486" t="s">
        <v>113</v>
      </c>
      <c r="C2486" t="s">
        <v>115</v>
      </c>
      <c r="E2486">
        <v>22</v>
      </c>
      <c r="F2486">
        <v>2</v>
      </c>
      <c r="G2486">
        <v>12</v>
      </c>
      <c r="H2486">
        <v>2</v>
      </c>
      <c r="I2486">
        <v>6</v>
      </c>
      <c r="J2486" s="52"/>
    </row>
    <row r="2487" spans="1:10" hidden="1" x14ac:dyDescent="0.35">
      <c r="A2487" s="2">
        <v>45565</v>
      </c>
      <c r="B2487" t="s">
        <v>38</v>
      </c>
      <c r="C2487" t="s">
        <v>18</v>
      </c>
      <c r="E2487">
        <v>7</v>
      </c>
      <c r="F2487">
        <v>10</v>
      </c>
      <c r="G2487">
        <v>6</v>
      </c>
      <c r="H2487">
        <v>6</v>
      </c>
      <c r="I2487">
        <v>8</v>
      </c>
      <c r="J2487" s="52"/>
    </row>
    <row r="2488" spans="1:10" hidden="1" x14ac:dyDescent="0.35">
      <c r="A2488" s="2">
        <v>45565</v>
      </c>
      <c r="B2488" t="s">
        <v>116</v>
      </c>
      <c r="C2488" t="s">
        <v>18</v>
      </c>
      <c r="E2488">
        <v>36</v>
      </c>
      <c r="F2488">
        <v>17</v>
      </c>
      <c r="G2488">
        <v>24</v>
      </c>
      <c r="H2488">
        <v>16</v>
      </c>
      <c r="I2488">
        <v>16</v>
      </c>
      <c r="J2488" s="52"/>
    </row>
    <row r="2489" spans="1:10" hidden="1" x14ac:dyDescent="0.35">
      <c r="A2489" s="2">
        <v>45565</v>
      </c>
      <c r="B2489" t="s">
        <v>122</v>
      </c>
      <c r="C2489" t="s">
        <v>25</v>
      </c>
      <c r="E2489">
        <v>48</v>
      </c>
      <c r="F2489">
        <v>0</v>
      </c>
      <c r="G2489">
        <v>21</v>
      </c>
      <c r="H2489">
        <v>0</v>
      </c>
      <c r="I2489">
        <v>4</v>
      </c>
      <c r="J2489" s="52"/>
    </row>
    <row r="2490" spans="1:10" hidden="1" x14ac:dyDescent="0.35">
      <c r="A2490" s="2">
        <v>45565</v>
      </c>
      <c r="B2490" t="s">
        <v>104</v>
      </c>
      <c r="C2490" t="s">
        <v>23</v>
      </c>
      <c r="E2490">
        <v>9</v>
      </c>
      <c r="F2490">
        <v>0</v>
      </c>
      <c r="G2490">
        <v>11</v>
      </c>
      <c r="H2490">
        <v>5</v>
      </c>
      <c r="I2490">
        <v>2</v>
      </c>
      <c r="J2490" s="52"/>
    </row>
    <row r="2491" spans="1:10" hidden="1" x14ac:dyDescent="0.35">
      <c r="A2491" s="2">
        <v>45565</v>
      </c>
      <c r="B2491" t="s">
        <v>122</v>
      </c>
      <c r="C2491" t="s">
        <v>23</v>
      </c>
      <c r="E2491">
        <v>16</v>
      </c>
      <c r="F2491">
        <v>0</v>
      </c>
      <c r="G2491">
        <v>4</v>
      </c>
      <c r="H2491">
        <v>0</v>
      </c>
      <c r="I2491">
        <v>2</v>
      </c>
      <c r="J2491" s="52"/>
    </row>
    <row r="2492" spans="1:10" hidden="1" x14ac:dyDescent="0.35">
      <c r="A2492" s="2">
        <v>45565</v>
      </c>
      <c r="B2492" t="s">
        <v>102</v>
      </c>
      <c r="C2492" t="s">
        <v>24</v>
      </c>
      <c r="E2492">
        <v>1</v>
      </c>
      <c r="F2492">
        <v>0</v>
      </c>
      <c r="G2492">
        <v>1</v>
      </c>
      <c r="H2492">
        <v>0</v>
      </c>
      <c r="I2492">
        <v>1</v>
      </c>
      <c r="J2492" s="52"/>
    </row>
    <row r="2493" spans="1:10" hidden="1" x14ac:dyDescent="0.35">
      <c r="A2493" s="2">
        <v>45565</v>
      </c>
      <c r="B2493" t="s">
        <v>96</v>
      </c>
      <c r="C2493" t="s">
        <v>24</v>
      </c>
      <c r="E2493">
        <v>23</v>
      </c>
      <c r="F2493">
        <v>4</v>
      </c>
      <c r="G2493">
        <v>14</v>
      </c>
      <c r="H2493">
        <v>6</v>
      </c>
      <c r="I2493">
        <v>8</v>
      </c>
      <c r="J2493" s="52"/>
    </row>
    <row r="2494" spans="1:10" hidden="1" x14ac:dyDescent="0.35">
      <c r="A2494" s="2">
        <v>45565</v>
      </c>
      <c r="B2494" t="s">
        <v>101</v>
      </c>
      <c r="C2494" t="s">
        <v>24</v>
      </c>
      <c r="E2494">
        <v>2</v>
      </c>
      <c r="F2494">
        <v>0</v>
      </c>
      <c r="G2494">
        <v>0</v>
      </c>
      <c r="H2494">
        <v>0</v>
      </c>
      <c r="I2494">
        <v>2</v>
      </c>
      <c r="J2494" s="52"/>
    </row>
    <row r="2495" spans="1:10" hidden="1" x14ac:dyDescent="0.35">
      <c r="A2495" s="2">
        <v>45565</v>
      </c>
      <c r="B2495" t="s">
        <v>96</v>
      </c>
      <c r="C2495" t="s">
        <v>37</v>
      </c>
      <c r="E2495">
        <v>3</v>
      </c>
      <c r="F2495">
        <v>0</v>
      </c>
      <c r="G2495">
        <v>4</v>
      </c>
      <c r="H2495">
        <v>1</v>
      </c>
      <c r="I2495">
        <v>3</v>
      </c>
      <c r="J2495" s="52"/>
    </row>
    <row r="2496" spans="1:10" hidden="1" x14ac:dyDescent="0.35">
      <c r="A2496" s="2">
        <v>45565</v>
      </c>
      <c r="B2496" t="s">
        <v>101</v>
      </c>
      <c r="C2496" t="s">
        <v>37</v>
      </c>
      <c r="E2496">
        <v>11</v>
      </c>
      <c r="F2496">
        <v>1</v>
      </c>
      <c r="G2496">
        <v>8</v>
      </c>
      <c r="H2496">
        <v>0</v>
      </c>
      <c r="I2496">
        <v>1</v>
      </c>
      <c r="J2496" s="52"/>
    </row>
    <row r="2497" spans="1:10" hidden="1" x14ac:dyDescent="0.35">
      <c r="A2497" s="2">
        <v>45565</v>
      </c>
      <c r="B2497" t="s">
        <v>102</v>
      </c>
      <c r="C2497" t="s">
        <v>37</v>
      </c>
      <c r="E2497">
        <v>42</v>
      </c>
      <c r="F2497">
        <v>20</v>
      </c>
      <c r="G2497">
        <v>23</v>
      </c>
      <c r="H2497">
        <v>4</v>
      </c>
      <c r="I2497">
        <v>18</v>
      </c>
      <c r="J2497" s="52"/>
    </row>
    <row r="2498" spans="1:10" hidden="1" x14ac:dyDescent="0.35">
      <c r="A2498" s="2">
        <v>45565</v>
      </c>
      <c r="B2498" t="s">
        <v>17</v>
      </c>
      <c r="C2498" t="s">
        <v>37</v>
      </c>
      <c r="E2498">
        <v>0</v>
      </c>
      <c r="F2498">
        <v>0</v>
      </c>
      <c r="G2498">
        <v>0</v>
      </c>
      <c r="H2498">
        <v>0</v>
      </c>
      <c r="I2498">
        <v>2</v>
      </c>
      <c r="J2498" s="52"/>
    </row>
    <row r="2499" spans="1:10" hidden="1" x14ac:dyDescent="0.35">
      <c r="A2499" s="2">
        <v>45565</v>
      </c>
      <c r="B2499" t="s">
        <v>112</v>
      </c>
      <c r="C2499" t="s">
        <v>19</v>
      </c>
      <c r="E2499">
        <v>34</v>
      </c>
      <c r="F2499">
        <v>4</v>
      </c>
      <c r="G2499">
        <v>39</v>
      </c>
      <c r="H2499">
        <v>4</v>
      </c>
      <c r="I2499">
        <v>12</v>
      </c>
      <c r="J2499" s="52"/>
    </row>
    <row r="2500" spans="1:10" hidden="1" x14ac:dyDescent="0.35">
      <c r="A2500" s="2">
        <v>45565</v>
      </c>
      <c r="B2500" t="s">
        <v>40</v>
      </c>
      <c r="C2500" t="s">
        <v>19</v>
      </c>
      <c r="E2500">
        <v>29</v>
      </c>
      <c r="F2500">
        <v>7</v>
      </c>
      <c r="G2500">
        <v>27</v>
      </c>
      <c r="H2500">
        <v>4</v>
      </c>
      <c r="I2500">
        <v>8</v>
      </c>
      <c r="J2500" s="52"/>
    </row>
    <row r="2501" spans="1:10" hidden="1" x14ac:dyDescent="0.35">
      <c r="A2501" s="2">
        <v>45565</v>
      </c>
      <c r="B2501" t="s">
        <v>121</v>
      </c>
      <c r="C2501" t="s">
        <v>22</v>
      </c>
      <c r="E2501">
        <v>43</v>
      </c>
      <c r="F2501">
        <v>25</v>
      </c>
      <c r="G2501">
        <v>25</v>
      </c>
      <c r="H2501">
        <v>10</v>
      </c>
      <c r="I2501">
        <v>17</v>
      </c>
      <c r="J2501" s="52"/>
    </row>
    <row r="2502" spans="1:10" hidden="1" x14ac:dyDescent="0.35">
      <c r="A2502" s="2">
        <v>45565</v>
      </c>
      <c r="B2502" t="s">
        <v>43</v>
      </c>
      <c r="C2502" t="s">
        <v>27</v>
      </c>
      <c r="E2502">
        <v>22</v>
      </c>
      <c r="F2502">
        <v>0</v>
      </c>
      <c r="G2502">
        <v>23</v>
      </c>
      <c r="H2502">
        <v>0</v>
      </c>
      <c r="I2502">
        <v>13</v>
      </c>
      <c r="J2502" s="52"/>
    </row>
    <row r="2503" spans="1:10" hidden="1" x14ac:dyDescent="0.35">
      <c r="A2503" s="2">
        <v>45565</v>
      </c>
      <c r="B2503" t="s">
        <v>84</v>
      </c>
      <c r="C2503" t="s">
        <v>27</v>
      </c>
      <c r="E2503">
        <v>28</v>
      </c>
      <c r="F2503">
        <v>0</v>
      </c>
      <c r="G2503">
        <v>21</v>
      </c>
      <c r="H2503">
        <v>0</v>
      </c>
      <c r="I2503">
        <v>12</v>
      </c>
      <c r="J2503" s="52"/>
    </row>
    <row r="2504" spans="1:10" hidden="1" x14ac:dyDescent="0.35">
      <c r="A2504" s="2">
        <v>45565</v>
      </c>
      <c r="B2504" t="s">
        <v>101</v>
      </c>
      <c r="C2504" t="s">
        <v>9</v>
      </c>
      <c r="E2504">
        <v>10</v>
      </c>
      <c r="F2504">
        <v>6</v>
      </c>
      <c r="G2504">
        <v>12</v>
      </c>
      <c r="H2504">
        <v>4</v>
      </c>
      <c r="I2504">
        <v>8</v>
      </c>
      <c r="J2504" s="52"/>
    </row>
    <row r="2505" spans="1:10" hidden="1" x14ac:dyDescent="0.35">
      <c r="A2505" s="2">
        <v>45565</v>
      </c>
      <c r="B2505" t="s">
        <v>75</v>
      </c>
      <c r="C2505" t="s">
        <v>21</v>
      </c>
      <c r="E2505">
        <v>18</v>
      </c>
      <c r="F2505">
        <v>5</v>
      </c>
      <c r="G2505">
        <v>21</v>
      </c>
      <c r="H2505">
        <v>3</v>
      </c>
      <c r="I2505">
        <v>1</v>
      </c>
      <c r="J2505" s="52"/>
    </row>
    <row r="2506" spans="1:10" hidden="1" x14ac:dyDescent="0.35">
      <c r="A2506" s="2">
        <v>45565</v>
      </c>
      <c r="B2506" t="s">
        <v>120</v>
      </c>
      <c r="C2506" t="s">
        <v>21</v>
      </c>
      <c r="E2506">
        <v>13</v>
      </c>
      <c r="F2506">
        <v>2</v>
      </c>
      <c r="G2506">
        <v>0</v>
      </c>
      <c r="H2506">
        <v>0</v>
      </c>
      <c r="I2506">
        <v>1</v>
      </c>
      <c r="J2506" s="52"/>
    </row>
    <row r="2507" spans="1:10" hidden="1" x14ac:dyDescent="0.35">
      <c r="A2507" s="2">
        <v>45565</v>
      </c>
      <c r="B2507" t="s">
        <v>117</v>
      </c>
      <c r="C2507" t="s">
        <v>54</v>
      </c>
      <c r="E2507">
        <v>8</v>
      </c>
      <c r="F2507">
        <v>9</v>
      </c>
      <c r="G2507">
        <v>12</v>
      </c>
      <c r="H2507">
        <v>8</v>
      </c>
      <c r="I2507">
        <v>10</v>
      </c>
      <c r="J2507" s="52"/>
    </row>
    <row r="2508" spans="1:10" hidden="1" x14ac:dyDescent="0.35">
      <c r="A2508" s="2">
        <v>45565</v>
      </c>
      <c r="B2508" t="s">
        <v>57</v>
      </c>
      <c r="C2508" t="s">
        <v>55</v>
      </c>
      <c r="E2508">
        <v>27</v>
      </c>
      <c r="F2508">
        <v>10</v>
      </c>
      <c r="G2508">
        <v>29</v>
      </c>
      <c r="H2508">
        <v>3</v>
      </c>
      <c r="I2508">
        <v>12</v>
      </c>
      <c r="J2508" s="52"/>
    </row>
    <row r="2509" spans="1:10" hidden="1" x14ac:dyDescent="0.35">
      <c r="A2509" s="2">
        <v>45565</v>
      </c>
      <c r="B2509" t="s">
        <v>107</v>
      </c>
      <c r="C2509" t="s">
        <v>58</v>
      </c>
      <c r="E2509">
        <v>29</v>
      </c>
      <c r="F2509">
        <v>23</v>
      </c>
      <c r="G2509">
        <v>16</v>
      </c>
      <c r="H2509">
        <v>12</v>
      </c>
      <c r="I2509">
        <v>10</v>
      </c>
      <c r="J2509" s="52"/>
    </row>
    <row r="2510" spans="1:10" hidden="1" x14ac:dyDescent="0.35">
      <c r="A2510" s="2">
        <v>45565</v>
      </c>
      <c r="B2510" t="s">
        <v>64</v>
      </c>
      <c r="C2510" t="s">
        <v>62</v>
      </c>
      <c r="E2510">
        <v>14</v>
      </c>
      <c r="F2510">
        <v>5</v>
      </c>
      <c r="G2510">
        <v>14</v>
      </c>
      <c r="H2510">
        <v>15</v>
      </c>
      <c r="I2510">
        <v>4</v>
      </c>
      <c r="J2510" s="52"/>
    </row>
    <row r="2511" spans="1:10" hidden="1" x14ac:dyDescent="0.35">
      <c r="A2511" s="2">
        <v>45565</v>
      </c>
      <c r="B2511" t="s">
        <v>97</v>
      </c>
      <c r="C2511" t="s">
        <v>61</v>
      </c>
      <c r="E2511">
        <v>28</v>
      </c>
      <c r="F2511">
        <v>0</v>
      </c>
      <c r="G2511">
        <v>7</v>
      </c>
      <c r="H2511">
        <v>0</v>
      </c>
      <c r="I2511">
        <v>12</v>
      </c>
      <c r="J2511" s="52"/>
    </row>
    <row r="2512" spans="1:10" hidden="1" x14ac:dyDescent="0.35">
      <c r="A2512" s="2">
        <v>45565</v>
      </c>
      <c r="B2512" t="s">
        <v>118</v>
      </c>
      <c r="C2512" t="s">
        <v>61</v>
      </c>
      <c r="E2512">
        <v>3</v>
      </c>
      <c r="F2512">
        <v>1</v>
      </c>
      <c r="G2512">
        <v>0</v>
      </c>
      <c r="H2512">
        <v>0</v>
      </c>
      <c r="I2512">
        <v>0</v>
      </c>
      <c r="J2512" s="52"/>
    </row>
    <row r="2513" spans="1:10" hidden="1" x14ac:dyDescent="0.35">
      <c r="A2513" s="2">
        <v>45565</v>
      </c>
      <c r="B2513" t="s">
        <v>118</v>
      </c>
      <c r="C2513" t="s">
        <v>91</v>
      </c>
      <c r="E2513">
        <v>18</v>
      </c>
      <c r="F2513">
        <v>7</v>
      </c>
      <c r="G2513">
        <v>7</v>
      </c>
      <c r="H2513">
        <v>4</v>
      </c>
      <c r="I2513">
        <v>5</v>
      </c>
      <c r="J2513" s="52"/>
    </row>
    <row r="2514" spans="1:10" hidden="1" x14ac:dyDescent="0.35">
      <c r="A2514" s="2">
        <v>45565</v>
      </c>
      <c r="B2514" t="s">
        <v>119</v>
      </c>
      <c r="C2514" t="s">
        <v>63</v>
      </c>
      <c r="E2514">
        <v>36</v>
      </c>
      <c r="F2514">
        <v>11</v>
      </c>
      <c r="G2514">
        <v>18</v>
      </c>
      <c r="H2514">
        <v>4</v>
      </c>
      <c r="I2514">
        <v>13</v>
      </c>
      <c r="J2514" s="52"/>
    </row>
    <row r="2515" spans="1:10" hidden="1" x14ac:dyDescent="0.35">
      <c r="A2515" s="2">
        <v>45565</v>
      </c>
      <c r="B2515" t="s">
        <v>77</v>
      </c>
      <c r="C2515" t="s">
        <v>73</v>
      </c>
      <c r="E2515">
        <v>10</v>
      </c>
      <c r="F2515">
        <v>16</v>
      </c>
      <c r="G2515">
        <v>15</v>
      </c>
      <c r="H2515">
        <v>11</v>
      </c>
      <c r="I2515">
        <v>7</v>
      </c>
      <c r="J2515" s="52"/>
    </row>
    <row r="2516" spans="1:10" hidden="1" x14ac:dyDescent="0.35">
      <c r="A2516" s="2">
        <v>45565</v>
      </c>
      <c r="B2516" t="s">
        <v>110</v>
      </c>
      <c r="C2516" t="s">
        <v>81</v>
      </c>
      <c r="E2516">
        <v>7</v>
      </c>
      <c r="F2516">
        <v>0</v>
      </c>
      <c r="G2516">
        <v>15</v>
      </c>
      <c r="H2516">
        <v>0</v>
      </c>
      <c r="I2516">
        <v>4</v>
      </c>
      <c r="J2516" s="52"/>
    </row>
    <row r="2517" spans="1:10" hidden="1" x14ac:dyDescent="0.35">
      <c r="A2517" s="2">
        <v>45565</v>
      </c>
      <c r="B2517" t="s">
        <v>85</v>
      </c>
      <c r="C2517" t="s">
        <v>83</v>
      </c>
      <c r="E2517">
        <v>11</v>
      </c>
      <c r="F2517">
        <v>2</v>
      </c>
      <c r="G2517">
        <v>20</v>
      </c>
      <c r="H2517">
        <v>4</v>
      </c>
      <c r="I2517">
        <v>12</v>
      </c>
      <c r="J2517" s="52"/>
    </row>
    <row r="2518" spans="1:10" hidden="1" x14ac:dyDescent="0.35">
      <c r="A2518" s="2">
        <v>45565</v>
      </c>
      <c r="B2518" t="s">
        <v>88</v>
      </c>
      <c r="C2518" t="s">
        <v>76</v>
      </c>
      <c r="E2518">
        <v>13</v>
      </c>
      <c r="F2518">
        <v>0</v>
      </c>
      <c r="G2518">
        <v>10</v>
      </c>
      <c r="H2518">
        <v>0</v>
      </c>
      <c r="I2518">
        <v>3</v>
      </c>
      <c r="J2518" s="52"/>
    </row>
    <row r="2519" spans="1:10" hidden="1" x14ac:dyDescent="0.35">
      <c r="A2519" s="2">
        <v>45565</v>
      </c>
      <c r="B2519" t="s">
        <v>89</v>
      </c>
      <c r="C2519" t="s">
        <v>87</v>
      </c>
      <c r="E2519">
        <v>10</v>
      </c>
      <c r="F2519">
        <v>0</v>
      </c>
      <c r="G2519">
        <v>13</v>
      </c>
      <c r="H2519">
        <v>3</v>
      </c>
      <c r="I2519">
        <v>6</v>
      </c>
      <c r="J2519" s="52"/>
    </row>
    <row r="2520" spans="1:10" hidden="1" x14ac:dyDescent="0.35">
      <c r="A2520" s="2">
        <v>45565</v>
      </c>
      <c r="B2520" t="s">
        <v>99</v>
      </c>
      <c r="C2520" t="s">
        <v>92</v>
      </c>
      <c r="E2520">
        <v>0</v>
      </c>
      <c r="F2520">
        <v>0</v>
      </c>
      <c r="G2520">
        <v>29</v>
      </c>
      <c r="H2520">
        <v>4</v>
      </c>
      <c r="I2520">
        <v>8</v>
      </c>
      <c r="J2520" s="52"/>
    </row>
    <row r="2521" spans="1:10" hidden="1" x14ac:dyDescent="0.35">
      <c r="A2521" s="2">
        <v>45565</v>
      </c>
      <c r="B2521" t="s">
        <v>98</v>
      </c>
      <c r="C2521" t="s">
        <v>94</v>
      </c>
      <c r="E2521">
        <v>27</v>
      </c>
      <c r="F2521">
        <v>3</v>
      </c>
      <c r="G2521">
        <v>22</v>
      </c>
      <c r="H2521">
        <v>0</v>
      </c>
      <c r="I2521">
        <v>11</v>
      </c>
      <c r="J2521" s="52"/>
    </row>
    <row r="2522" spans="1:10" hidden="1" x14ac:dyDescent="0.35">
      <c r="A2522" s="2">
        <v>45565</v>
      </c>
      <c r="B2522" t="s">
        <v>106</v>
      </c>
      <c r="C2522" t="s">
        <v>103</v>
      </c>
      <c r="E2522">
        <v>11</v>
      </c>
      <c r="F2522">
        <v>1</v>
      </c>
      <c r="G2522">
        <v>12</v>
      </c>
      <c r="H2522">
        <v>0</v>
      </c>
      <c r="I2522">
        <v>0</v>
      </c>
      <c r="J2522" s="52"/>
    </row>
    <row r="2523" spans="1:10" hidden="1" x14ac:dyDescent="0.35">
      <c r="A2523" s="2">
        <v>45565</v>
      </c>
      <c r="B2523" t="s">
        <v>114</v>
      </c>
      <c r="C2523" t="s">
        <v>111</v>
      </c>
      <c r="E2523">
        <v>14</v>
      </c>
      <c r="F2523">
        <v>8</v>
      </c>
      <c r="G2523">
        <v>7</v>
      </c>
      <c r="H2523">
        <v>4</v>
      </c>
      <c r="I2523">
        <v>2</v>
      </c>
      <c r="J2523" s="52"/>
    </row>
    <row r="2524" spans="1:10" hidden="1" x14ac:dyDescent="0.35">
      <c r="A2524" s="2">
        <v>45595</v>
      </c>
      <c r="C2524" t="s">
        <v>24</v>
      </c>
      <c r="D2524">
        <v>528</v>
      </c>
      <c r="J2524" s="58">
        <v>13000</v>
      </c>
    </row>
    <row r="2525" spans="1:10" hidden="1" x14ac:dyDescent="0.35">
      <c r="A2525" s="2">
        <v>45595</v>
      </c>
      <c r="C2525" t="s">
        <v>9</v>
      </c>
      <c r="D2525">
        <v>412</v>
      </c>
      <c r="J2525" s="58">
        <v>102900</v>
      </c>
    </row>
    <row r="2526" spans="1:10" hidden="1" x14ac:dyDescent="0.35">
      <c r="A2526" s="2">
        <v>45595</v>
      </c>
      <c r="C2526" t="s">
        <v>37</v>
      </c>
      <c r="D2526">
        <v>564</v>
      </c>
      <c r="J2526" s="58">
        <v>306700</v>
      </c>
    </row>
    <row r="2527" spans="1:10" hidden="1" x14ac:dyDescent="0.35">
      <c r="A2527" s="2">
        <v>45595</v>
      </c>
      <c r="C2527" t="s">
        <v>23</v>
      </c>
      <c r="D2527">
        <v>394</v>
      </c>
      <c r="J2527" s="58">
        <v>95000</v>
      </c>
    </row>
    <row r="2528" spans="1:10" hidden="1" x14ac:dyDescent="0.35">
      <c r="A2528" s="2">
        <v>45595</v>
      </c>
      <c r="C2528" t="s">
        <v>27</v>
      </c>
      <c r="D2528">
        <v>423</v>
      </c>
      <c r="J2528" s="58">
        <v>512200</v>
      </c>
    </row>
    <row r="2529" spans="1:10" hidden="1" x14ac:dyDescent="0.35">
      <c r="A2529" s="2">
        <v>45595</v>
      </c>
      <c r="C2529" t="s">
        <v>26</v>
      </c>
      <c r="D2529">
        <v>241</v>
      </c>
      <c r="J2529" s="58">
        <v>141000</v>
      </c>
    </row>
    <row r="2530" spans="1:10" hidden="1" x14ac:dyDescent="0.35">
      <c r="A2530" s="2">
        <v>45595</v>
      </c>
      <c r="C2530" t="s">
        <v>20</v>
      </c>
      <c r="D2530">
        <v>438</v>
      </c>
      <c r="J2530" s="58">
        <v>522650</v>
      </c>
    </row>
    <row r="2531" spans="1:10" hidden="1" x14ac:dyDescent="0.35">
      <c r="A2531" s="2">
        <v>45595</v>
      </c>
      <c r="C2531" t="s">
        <v>25</v>
      </c>
      <c r="D2531">
        <v>253</v>
      </c>
      <c r="J2531" s="81">
        <v>67400</v>
      </c>
    </row>
    <row r="2532" spans="1:10" hidden="1" x14ac:dyDescent="0.35">
      <c r="A2532" s="2">
        <v>45595</v>
      </c>
      <c r="C2532" t="s">
        <v>19</v>
      </c>
      <c r="D2532">
        <v>518</v>
      </c>
      <c r="J2532" s="58">
        <v>340950</v>
      </c>
    </row>
    <row r="2533" spans="1:10" hidden="1" x14ac:dyDescent="0.35">
      <c r="A2533" s="2">
        <v>45595</v>
      </c>
      <c r="C2533" t="s">
        <v>21</v>
      </c>
      <c r="D2533">
        <v>509</v>
      </c>
      <c r="J2533" s="58">
        <v>137495</v>
      </c>
    </row>
    <row r="2534" spans="1:10" hidden="1" x14ac:dyDescent="0.35">
      <c r="A2534" s="2">
        <v>45595</v>
      </c>
      <c r="C2534" t="s">
        <v>18</v>
      </c>
      <c r="D2534">
        <v>591</v>
      </c>
      <c r="J2534" s="58">
        <v>281600</v>
      </c>
    </row>
    <row r="2535" spans="1:10" hidden="1" x14ac:dyDescent="0.35">
      <c r="A2535" s="2">
        <v>45595</v>
      </c>
      <c r="C2535" t="s">
        <v>22</v>
      </c>
      <c r="D2535">
        <v>474</v>
      </c>
      <c r="J2535" s="58">
        <v>274250</v>
      </c>
    </row>
    <row r="2536" spans="1:10" hidden="1" x14ac:dyDescent="0.35">
      <c r="A2536" s="2">
        <v>45595</v>
      </c>
      <c r="C2536" t="s">
        <v>54</v>
      </c>
      <c r="D2536">
        <v>378</v>
      </c>
      <c r="J2536" s="58">
        <v>135700</v>
      </c>
    </row>
    <row r="2537" spans="1:10" hidden="1" x14ac:dyDescent="0.35">
      <c r="A2537" s="2">
        <v>45595</v>
      </c>
      <c r="C2537" t="s">
        <v>55</v>
      </c>
      <c r="D2537">
        <v>316</v>
      </c>
      <c r="J2537" s="58">
        <v>54490</v>
      </c>
    </row>
    <row r="2538" spans="1:10" hidden="1" x14ac:dyDescent="0.35">
      <c r="A2538" s="2">
        <v>45595</v>
      </c>
      <c r="C2538" t="s">
        <v>58</v>
      </c>
      <c r="D2538">
        <v>474</v>
      </c>
      <c r="J2538" s="58">
        <v>248650</v>
      </c>
    </row>
    <row r="2539" spans="1:10" hidden="1" x14ac:dyDescent="0.35">
      <c r="A2539" s="2">
        <v>45595</v>
      </c>
      <c r="C2539" t="s">
        <v>62</v>
      </c>
      <c r="D2539">
        <v>488</v>
      </c>
      <c r="J2539" s="58">
        <v>54000</v>
      </c>
    </row>
    <row r="2540" spans="1:10" hidden="1" x14ac:dyDescent="0.35">
      <c r="A2540" s="2">
        <v>45595</v>
      </c>
      <c r="C2540" t="s">
        <v>61</v>
      </c>
      <c r="D2540">
        <v>197</v>
      </c>
      <c r="J2540" s="58">
        <v>123500</v>
      </c>
    </row>
    <row r="2541" spans="1:10" hidden="1" x14ac:dyDescent="0.35">
      <c r="A2541" s="2">
        <v>45595</v>
      </c>
      <c r="C2541" t="s">
        <v>63</v>
      </c>
      <c r="D2541">
        <v>216</v>
      </c>
      <c r="J2541" s="58">
        <v>159501</v>
      </c>
    </row>
    <row r="2542" spans="1:10" hidden="1" x14ac:dyDescent="0.35">
      <c r="A2542" s="2">
        <v>45595</v>
      </c>
      <c r="C2542" t="s">
        <v>73</v>
      </c>
      <c r="D2542">
        <v>404</v>
      </c>
      <c r="J2542" s="58">
        <v>146450</v>
      </c>
    </row>
    <row r="2543" spans="1:10" hidden="1" x14ac:dyDescent="0.35">
      <c r="A2543" s="2">
        <v>45595</v>
      </c>
      <c r="C2543" t="s">
        <v>76</v>
      </c>
      <c r="D2543">
        <v>33</v>
      </c>
      <c r="J2543" s="58">
        <v>36000</v>
      </c>
    </row>
    <row r="2544" spans="1:10" hidden="1" x14ac:dyDescent="0.35">
      <c r="A2544" s="2">
        <v>45595</v>
      </c>
      <c r="C2544" t="s">
        <v>81</v>
      </c>
      <c r="D2544">
        <v>375</v>
      </c>
      <c r="J2544" s="58">
        <v>130500</v>
      </c>
    </row>
    <row r="2545" spans="1:10" hidden="1" x14ac:dyDescent="0.35">
      <c r="A2545" s="2">
        <v>45595</v>
      </c>
      <c r="C2545" t="s">
        <v>83</v>
      </c>
      <c r="D2545">
        <v>267</v>
      </c>
      <c r="J2545" s="58">
        <v>174349.99</v>
      </c>
    </row>
    <row r="2546" spans="1:10" hidden="1" x14ac:dyDescent="0.35">
      <c r="A2546" s="2">
        <v>45595</v>
      </c>
      <c r="C2546" t="s">
        <v>87</v>
      </c>
      <c r="D2546">
        <v>166</v>
      </c>
      <c r="J2546" s="58">
        <v>93300</v>
      </c>
    </row>
    <row r="2547" spans="1:10" hidden="1" x14ac:dyDescent="0.35">
      <c r="A2547" s="2">
        <v>45595</v>
      </c>
      <c r="C2547" t="s">
        <v>91</v>
      </c>
      <c r="D2547">
        <v>224</v>
      </c>
      <c r="J2547" s="58">
        <v>76400</v>
      </c>
    </row>
    <row r="2548" spans="1:10" hidden="1" x14ac:dyDescent="0.35">
      <c r="A2548" s="2">
        <v>45595</v>
      </c>
      <c r="C2548" t="s">
        <v>92</v>
      </c>
      <c r="D2548">
        <v>195</v>
      </c>
      <c r="J2548" s="58">
        <v>14000</v>
      </c>
    </row>
    <row r="2549" spans="1:10" hidden="1" x14ac:dyDescent="0.35">
      <c r="A2549" s="2">
        <v>45595</v>
      </c>
      <c r="C2549" t="s">
        <v>94</v>
      </c>
      <c r="D2549">
        <v>157</v>
      </c>
      <c r="J2549" s="58">
        <v>147500</v>
      </c>
    </row>
    <row r="2550" spans="1:10" hidden="1" x14ac:dyDescent="0.35">
      <c r="A2550" s="2">
        <v>45595</v>
      </c>
      <c r="C2550" t="s">
        <v>103</v>
      </c>
      <c r="D2550">
        <v>160</v>
      </c>
      <c r="J2550" s="58">
        <v>49100</v>
      </c>
    </row>
    <row r="2551" spans="1:10" hidden="1" x14ac:dyDescent="0.35">
      <c r="A2551" s="2">
        <v>45595</v>
      </c>
      <c r="C2551" t="s">
        <v>111</v>
      </c>
      <c r="D2551">
        <v>196</v>
      </c>
      <c r="J2551" s="58">
        <v>28400</v>
      </c>
    </row>
    <row r="2552" spans="1:10" hidden="1" x14ac:dyDescent="0.35">
      <c r="A2552" s="2">
        <v>45595</v>
      </c>
      <c r="C2552" t="s">
        <v>115</v>
      </c>
      <c r="D2552">
        <v>259</v>
      </c>
      <c r="J2552" s="58">
        <v>114500</v>
      </c>
    </row>
    <row r="2553" spans="1:10" hidden="1" x14ac:dyDescent="0.35">
      <c r="A2553" s="2">
        <v>45595</v>
      </c>
      <c r="B2553" t="s">
        <v>36</v>
      </c>
      <c r="C2553" t="s">
        <v>20</v>
      </c>
      <c r="E2553">
        <v>31</v>
      </c>
      <c r="F2553">
        <v>13</v>
      </c>
      <c r="G2553">
        <v>50</v>
      </c>
      <c r="H2553">
        <v>6</v>
      </c>
      <c r="I2553">
        <v>22</v>
      </c>
      <c r="J2553" s="52"/>
    </row>
    <row r="2554" spans="1:10" hidden="1" x14ac:dyDescent="0.35">
      <c r="A2554" s="2">
        <v>45595</v>
      </c>
      <c r="B2554" t="s">
        <v>110</v>
      </c>
      <c r="C2554" t="s">
        <v>20</v>
      </c>
      <c r="E2554">
        <v>26</v>
      </c>
      <c r="F2554">
        <v>7</v>
      </c>
      <c r="G2554">
        <v>25</v>
      </c>
      <c r="H2554">
        <v>2</v>
      </c>
      <c r="I2554">
        <v>14</v>
      </c>
      <c r="J2554" s="52"/>
    </row>
    <row r="2555" spans="1:10" hidden="1" x14ac:dyDescent="0.35">
      <c r="A2555" s="2">
        <v>45595</v>
      </c>
      <c r="B2555" t="s">
        <v>113</v>
      </c>
      <c r="C2555" t="s">
        <v>26</v>
      </c>
      <c r="E2555">
        <v>23</v>
      </c>
      <c r="F2555">
        <v>2</v>
      </c>
      <c r="G2555">
        <v>37</v>
      </c>
      <c r="H2555">
        <v>15</v>
      </c>
      <c r="I2555">
        <v>11</v>
      </c>
      <c r="J2555" s="52"/>
    </row>
    <row r="2556" spans="1:10" hidden="1" x14ac:dyDescent="0.35">
      <c r="A2556" s="2">
        <v>45595</v>
      </c>
      <c r="B2556" t="s">
        <v>113</v>
      </c>
      <c r="C2556" t="s">
        <v>115</v>
      </c>
      <c r="E2556">
        <v>24</v>
      </c>
      <c r="F2556">
        <v>0</v>
      </c>
      <c r="G2556">
        <v>17</v>
      </c>
      <c r="H2556">
        <v>0</v>
      </c>
      <c r="I2556">
        <v>9</v>
      </c>
      <c r="J2556" s="52"/>
    </row>
    <row r="2557" spans="1:10" hidden="1" x14ac:dyDescent="0.35">
      <c r="A2557" s="2">
        <v>45595</v>
      </c>
      <c r="B2557" t="s">
        <v>38</v>
      </c>
      <c r="C2557" t="s">
        <v>18</v>
      </c>
      <c r="E2557">
        <v>31</v>
      </c>
      <c r="F2557">
        <v>15</v>
      </c>
      <c r="G2557">
        <v>59</v>
      </c>
      <c r="H2557">
        <v>17</v>
      </c>
      <c r="I2557">
        <v>18</v>
      </c>
      <c r="J2557" s="52"/>
    </row>
    <row r="2558" spans="1:10" hidden="1" x14ac:dyDescent="0.35">
      <c r="A2558" s="2">
        <v>45595</v>
      </c>
      <c r="B2558" t="s">
        <v>116</v>
      </c>
      <c r="C2558" t="s">
        <v>18</v>
      </c>
      <c r="E2558">
        <v>13</v>
      </c>
      <c r="F2558">
        <v>9</v>
      </c>
      <c r="G2558">
        <v>13</v>
      </c>
      <c r="H2558">
        <v>9</v>
      </c>
      <c r="I2558">
        <v>2</v>
      </c>
      <c r="J2558" s="52"/>
    </row>
    <row r="2559" spans="1:10" hidden="1" x14ac:dyDescent="0.35">
      <c r="A2559" s="2">
        <v>45595</v>
      </c>
      <c r="B2559" t="s">
        <v>122</v>
      </c>
      <c r="C2559" t="s">
        <v>25</v>
      </c>
      <c r="E2559">
        <v>43</v>
      </c>
      <c r="F2559">
        <v>0</v>
      </c>
      <c r="G2559">
        <v>18</v>
      </c>
      <c r="H2559">
        <v>0</v>
      </c>
      <c r="I2559">
        <v>5</v>
      </c>
      <c r="J2559" s="52"/>
    </row>
    <row r="2560" spans="1:10" hidden="1" x14ac:dyDescent="0.35">
      <c r="A2560" s="2">
        <v>45595</v>
      </c>
      <c r="B2560" t="s">
        <v>104</v>
      </c>
      <c r="C2560" t="s">
        <v>23</v>
      </c>
      <c r="E2560">
        <v>0</v>
      </c>
      <c r="F2560">
        <v>2</v>
      </c>
      <c r="G2560">
        <v>0</v>
      </c>
      <c r="H2560">
        <v>1</v>
      </c>
      <c r="I2560">
        <v>2</v>
      </c>
      <c r="J2560" s="52"/>
    </row>
    <row r="2561" spans="1:10" hidden="1" x14ac:dyDescent="0.35">
      <c r="A2561" s="2">
        <v>45595</v>
      </c>
      <c r="B2561" t="s">
        <v>122</v>
      </c>
      <c r="C2561" t="s">
        <v>23</v>
      </c>
      <c r="E2561">
        <v>21</v>
      </c>
      <c r="F2561">
        <v>0</v>
      </c>
      <c r="G2561">
        <v>5</v>
      </c>
      <c r="H2561">
        <v>0</v>
      </c>
      <c r="I2561">
        <v>6</v>
      </c>
      <c r="J2561" s="52"/>
    </row>
    <row r="2562" spans="1:10" hidden="1" x14ac:dyDescent="0.35">
      <c r="A2562" s="2">
        <v>45595</v>
      </c>
      <c r="B2562" t="s">
        <v>96</v>
      </c>
      <c r="C2562" t="s">
        <v>24</v>
      </c>
      <c r="E2562">
        <v>32</v>
      </c>
      <c r="F2562">
        <v>7</v>
      </c>
      <c r="G2562">
        <v>8</v>
      </c>
      <c r="H2562">
        <v>3</v>
      </c>
      <c r="I2562">
        <v>1</v>
      </c>
      <c r="J2562" s="52"/>
    </row>
    <row r="2563" spans="1:10" hidden="1" x14ac:dyDescent="0.35">
      <c r="A2563" s="2">
        <v>45595</v>
      </c>
      <c r="B2563" t="s">
        <v>96</v>
      </c>
      <c r="C2563" t="s">
        <v>37</v>
      </c>
      <c r="E2563">
        <v>1</v>
      </c>
      <c r="F2563">
        <v>1</v>
      </c>
      <c r="G2563">
        <v>2</v>
      </c>
      <c r="H2563">
        <v>5</v>
      </c>
      <c r="I2563">
        <v>0</v>
      </c>
      <c r="J2563" s="52"/>
    </row>
    <row r="2564" spans="1:10" hidden="1" x14ac:dyDescent="0.35">
      <c r="A2564" s="2">
        <v>45595</v>
      </c>
      <c r="B2564" t="s">
        <v>101</v>
      </c>
      <c r="C2564" t="s">
        <v>37</v>
      </c>
      <c r="E2564">
        <v>5</v>
      </c>
      <c r="F2564">
        <v>1</v>
      </c>
      <c r="G2564">
        <v>6</v>
      </c>
      <c r="H2564">
        <v>3</v>
      </c>
      <c r="I2564">
        <v>4</v>
      </c>
      <c r="J2564" s="52"/>
    </row>
    <row r="2565" spans="1:10" hidden="1" x14ac:dyDescent="0.35">
      <c r="A2565" s="2">
        <v>45595</v>
      </c>
      <c r="B2565" t="s">
        <v>102</v>
      </c>
      <c r="C2565" t="s">
        <v>37</v>
      </c>
      <c r="E2565">
        <v>55</v>
      </c>
      <c r="F2565">
        <v>10</v>
      </c>
      <c r="G2565">
        <v>40</v>
      </c>
      <c r="H2565">
        <v>8</v>
      </c>
      <c r="I2565">
        <v>18</v>
      </c>
      <c r="J2565" s="52"/>
    </row>
    <row r="2566" spans="1:10" hidden="1" x14ac:dyDescent="0.35">
      <c r="A2566" s="2">
        <v>45595</v>
      </c>
      <c r="B2566" t="s">
        <v>122</v>
      </c>
      <c r="C2566" t="s">
        <v>37</v>
      </c>
      <c r="E2566">
        <v>2</v>
      </c>
      <c r="F2566">
        <v>0</v>
      </c>
      <c r="G2566">
        <v>0</v>
      </c>
      <c r="H2566">
        <v>0</v>
      </c>
      <c r="I2566">
        <v>0</v>
      </c>
      <c r="J2566" s="52"/>
    </row>
    <row r="2567" spans="1:10" hidden="1" x14ac:dyDescent="0.35">
      <c r="A2567" s="2">
        <v>45595</v>
      </c>
      <c r="B2567" t="s">
        <v>50</v>
      </c>
      <c r="C2567" t="s">
        <v>37</v>
      </c>
      <c r="E2567">
        <v>1</v>
      </c>
      <c r="F2567">
        <v>0</v>
      </c>
      <c r="G2567">
        <v>0</v>
      </c>
      <c r="H2567">
        <v>0</v>
      </c>
      <c r="I2567">
        <v>1</v>
      </c>
      <c r="J2567" s="52"/>
    </row>
    <row r="2568" spans="1:10" hidden="1" x14ac:dyDescent="0.35">
      <c r="A2568" s="2">
        <v>45595</v>
      </c>
      <c r="B2568" t="s">
        <v>112</v>
      </c>
      <c r="C2568" t="s">
        <v>19</v>
      </c>
      <c r="E2568">
        <v>47</v>
      </c>
      <c r="F2568">
        <v>5</v>
      </c>
      <c r="G2568">
        <v>46</v>
      </c>
      <c r="H2568">
        <v>5</v>
      </c>
      <c r="I2568">
        <v>13</v>
      </c>
      <c r="J2568" s="52"/>
    </row>
    <row r="2569" spans="1:10" hidden="1" x14ac:dyDescent="0.35">
      <c r="A2569" s="2">
        <v>45595</v>
      </c>
      <c r="B2569" t="s">
        <v>40</v>
      </c>
      <c r="C2569" t="s">
        <v>19</v>
      </c>
      <c r="E2569">
        <v>26</v>
      </c>
      <c r="F2569">
        <v>1</v>
      </c>
      <c r="G2569">
        <v>29</v>
      </c>
      <c r="H2569">
        <v>3</v>
      </c>
      <c r="I2569">
        <v>12</v>
      </c>
      <c r="J2569" s="52"/>
    </row>
    <row r="2570" spans="1:10" hidden="1" x14ac:dyDescent="0.35">
      <c r="A2570" s="2">
        <v>45595</v>
      </c>
      <c r="B2570" t="s">
        <v>121</v>
      </c>
      <c r="C2570" t="s">
        <v>22</v>
      </c>
      <c r="E2570">
        <v>33</v>
      </c>
      <c r="F2570">
        <v>19</v>
      </c>
      <c r="G2570">
        <v>25</v>
      </c>
      <c r="H2570">
        <v>8</v>
      </c>
      <c r="I2570">
        <v>15</v>
      </c>
      <c r="J2570" s="52"/>
    </row>
    <row r="2571" spans="1:10" hidden="1" x14ac:dyDescent="0.35">
      <c r="A2571" s="2">
        <v>45595</v>
      </c>
      <c r="B2571" t="s">
        <v>95</v>
      </c>
      <c r="C2571" t="s">
        <v>22</v>
      </c>
      <c r="E2571">
        <v>14</v>
      </c>
      <c r="F2571">
        <v>9</v>
      </c>
      <c r="G2571">
        <v>19</v>
      </c>
      <c r="H2571">
        <v>5</v>
      </c>
      <c r="I2571">
        <v>6</v>
      </c>
      <c r="J2571" s="52"/>
    </row>
    <row r="2572" spans="1:10" hidden="1" x14ac:dyDescent="0.35">
      <c r="A2572" s="2">
        <v>45595</v>
      </c>
      <c r="B2572" t="s">
        <v>43</v>
      </c>
      <c r="C2572" t="s">
        <v>27</v>
      </c>
      <c r="E2572">
        <v>30</v>
      </c>
      <c r="F2572">
        <v>0</v>
      </c>
      <c r="G2572">
        <v>38</v>
      </c>
      <c r="H2572">
        <v>0</v>
      </c>
      <c r="I2572">
        <v>20</v>
      </c>
      <c r="J2572" s="52"/>
    </row>
    <row r="2573" spans="1:10" hidden="1" x14ac:dyDescent="0.35">
      <c r="A2573" s="2">
        <v>45595</v>
      </c>
      <c r="B2573" t="s">
        <v>84</v>
      </c>
      <c r="C2573" t="s">
        <v>27</v>
      </c>
      <c r="E2573">
        <v>26</v>
      </c>
      <c r="F2573">
        <v>0</v>
      </c>
      <c r="G2573">
        <v>29</v>
      </c>
      <c r="H2573">
        <v>0</v>
      </c>
      <c r="I2573">
        <v>12</v>
      </c>
      <c r="J2573" s="52"/>
    </row>
    <row r="2574" spans="1:10" hidden="1" x14ac:dyDescent="0.35">
      <c r="A2574" s="2">
        <v>45595</v>
      </c>
      <c r="B2574" t="s">
        <v>101</v>
      </c>
      <c r="C2574" t="s">
        <v>9</v>
      </c>
      <c r="E2574">
        <v>39</v>
      </c>
      <c r="F2574">
        <v>2</v>
      </c>
      <c r="G2574">
        <v>26</v>
      </c>
      <c r="H2574">
        <v>1</v>
      </c>
      <c r="I2574">
        <v>7</v>
      </c>
      <c r="J2574" s="52"/>
    </row>
    <row r="2575" spans="1:10" hidden="1" x14ac:dyDescent="0.35">
      <c r="A2575" s="2">
        <v>45595</v>
      </c>
      <c r="B2575" t="s">
        <v>122</v>
      </c>
      <c r="C2575" t="s">
        <v>9</v>
      </c>
      <c r="E2575">
        <v>1</v>
      </c>
      <c r="F2575">
        <v>0</v>
      </c>
      <c r="G2575">
        <v>0</v>
      </c>
      <c r="H2575">
        <v>0</v>
      </c>
      <c r="I2575">
        <v>1</v>
      </c>
      <c r="J2575" s="52"/>
    </row>
    <row r="2576" spans="1:10" hidden="1" x14ac:dyDescent="0.35">
      <c r="A2576" s="2">
        <v>45595</v>
      </c>
      <c r="B2576" t="s">
        <v>75</v>
      </c>
      <c r="C2576" t="s">
        <v>21</v>
      </c>
      <c r="E2576">
        <v>14</v>
      </c>
      <c r="F2576">
        <v>12</v>
      </c>
      <c r="G2576">
        <v>14</v>
      </c>
      <c r="H2576">
        <v>4</v>
      </c>
      <c r="I2576">
        <v>6</v>
      </c>
      <c r="J2576" s="52"/>
    </row>
    <row r="2577" spans="1:10" hidden="1" x14ac:dyDescent="0.35">
      <c r="A2577" s="2">
        <v>45595</v>
      </c>
      <c r="B2577" t="s">
        <v>120</v>
      </c>
      <c r="C2577" t="s">
        <v>21</v>
      </c>
      <c r="E2577">
        <v>12</v>
      </c>
      <c r="F2577">
        <v>9</v>
      </c>
      <c r="G2577">
        <v>1</v>
      </c>
      <c r="H2577">
        <v>0</v>
      </c>
      <c r="I2577">
        <v>4</v>
      </c>
      <c r="J2577" s="52"/>
    </row>
    <row r="2578" spans="1:10" hidden="1" x14ac:dyDescent="0.35">
      <c r="A2578" s="2">
        <v>45595</v>
      </c>
      <c r="B2578" t="s">
        <v>117</v>
      </c>
      <c r="C2578" t="s">
        <v>54</v>
      </c>
      <c r="E2578">
        <v>21</v>
      </c>
      <c r="F2578">
        <v>12</v>
      </c>
      <c r="G2578">
        <v>24</v>
      </c>
      <c r="H2578">
        <v>5</v>
      </c>
      <c r="I2578">
        <v>10</v>
      </c>
      <c r="J2578" s="52"/>
    </row>
    <row r="2579" spans="1:10" hidden="1" x14ac:dyDescent="0.35">
      <c r="A2579" s="2">
        <v>45595</v>
      </c>
      <c r="B2579" t="s">
        <v>57</v>
      </c>
      <c r="C2579" t="s">
        <v>55</v>
      </c>
      <c r="E2579">
        <v>6</v>
      </c>
      <c r="F2579">
        <v>0</v>
      </c>
      <c r="G2579">
        <v>8</v>
      </c>
      <c r="H2579">
        <v>4</v>
      </c>
      <c r="I2579">
        <v>2</v>
      </c>
      <c r="J2579" s="52"/>
    </row>
    <row r="2580" spans="1:10" hidden="1" x14ac:dyDescent="0.35">
      <c r="A2580" s="2">
        <v>45595</v>
      </c>
      <c r="B2580" t="s">
        <v>123</v>
      </c>
      <c r="C2580" t="s">
        <v>55</v>
      </c>
      <c r="E2580">
        <v>19</v>
      </c>
      <c r="F2580">
        <v>2</v>
      </c>
      <c r="G2580">
        <v>14</v>
      </c>
      <c r="H2580">
        <v>2</v>
      </c>
      <c r="I2580">
        <v>3</v>
      </c>
      <c r="J2580" s="52"/>
    </row>
    <row r="2581" spans="1:10" hidden="1" x14ac:dyDescent="0.35">
      <c r="A2581" s="2">
        <v>45595</v>
      </c>
      <c r="B2581" t="s">
        <v>107</v>
      </c>
      <c r="C2581" t="s">
        <v>58</v>
      </c>
      <c r="E2581">
        <v>54</v>
      </c>
      <c r="F2581">
        <v>12</v>
      </c>
      <c r="G2581">
        <v>24</v>
      </c>
      <c r="H2581">
        <v>14</v>
      </c>
      <c r="I2581">
        <v>18</v>
      </c>
      <c r="J2581" s="52"/>
    </row>
    <row r="2582" spans="1:10" hidden="1" x14ac:dyDescent="0.35">
      <c r="A2582" s="2">
        <v>45595</v>
      </c>
      <c r="B2582" t="s">
        <v>64</v>
      </c>
      <c r="C2582" t="s">
        <v>62</v>
      </c>
      <c r="E2582">
        <v>19</v>
      </c>
      <c r="F2582">
        <v>4</v>
      </c>
      <c r="G2582">
        <v>20</v>
      </c>
      <c r="H2582">
        <v>14</v>
      </c>
      <c r="I2582">
        <v>4</v>
      </c>
      <c r="J2582" s="52"/>
    </row>
    <row r="2583" spans="1:10" hidden="1" x14ac:dyDescent="0.35">
      <c r="A2583" s="2">
        <v>45595</v>
      </c>
      <c r="B2583" t="s">
        <v>97</v>
      </c>
      <c r="C2583" t="s">
        <v>61</v>
      </c>
      <c r="E2583">
        <v>32</v>
      </c>
      <c r="F2583">
        <v>4</v>
      </c>
      <c r="G2583">
        <v>11</v>
      </c>
      <c r="H2583">
        <v>3</v>
      </c>
      <c r="I2583">
        <v>9</v>
      </c>
      <c r="J2583" s="52"/>
    </row>
    <row r="2584" spans="1:10" hidden="1" x14ac:dyDescent="0.35">
      <c r="A2584" s="2">
        <v>45595</v>
      </c>
      <c r="B2584" t="s">
        <v>118</v>
      </c>
      <c r="C2584" t="s">
        <v>61</v>
      </c>
      <c r="E2584">
        <v>4</v>
      </c>
      <c r="F2584">
        <v>0</v>
      </c>
      <c r="G2584">
        <v>0</v>
      </c>
      <c r="H2584">
        <v>0</v>
      </c>
      <c r="I2584">
        <v>1</v>
      </c>
      <c r="J2584" s="52"/>
    </row>
    <row r="2585" spans="1:10" hidden="1" x14ac:dyDescent="0.35">
      <c r="A2585" s="2">
        <v>45595</v>
      </c>
      <c r="B2585" t="s">
        <v>118</v>
      </c>
      <c r="C2585" t="s">
        <v>91</v>
      </c>
      <c r="E2585">
        <v>21</v>
      </c>
      <c r="F2585">
        <v>6</v>
      </c>
      <c r="G2585">
        <v>12</v>
      </c>
      <c r="H2585">
        <v>2</v>
      </c>
      <c r="I2585">
        <v>6</v>
      </c>
      <c r="J2585" s="52"/>
    </row>
    <row r="2586" spans="1:10" hidden="1" x14ac:dyDescent="0.35">
      <c r="A2586" s="2">
        <v>45595</v>
      </c>
      <c r="B2586" t="s">
        <v>119</v>
      </c>
      <c r="C2586" t="s">
        <v>63</v>
      </c>
      <c r="E2586">
        <v>16</v>
      </c>
      <c r="F2586">
        <v>12</v>
      </c>
      <c r="G2586">
        <v>17</v>
      </c>
      <c r="H2586">
        <v>1</v>
      </c>
      <c r="I2586">
        <v>13</v>
      </c>
      <c r="J2586" s="52"/>
    </row>
    <row r="2587" spans="1:10" hidden="1" x14ac:dyDescent="0.35">
      <c r="A2587" s="2">
        <v>45595</v>
      </c>
      <c r="B2587" t="s">
        <v>77</v>
      </c>
      <c r="C2587" t="s">
        <v>73</v>
      </c>
      <c r="E2587">
        <v>11</v>
      </c>
      <c r="F2587">
        <v>13</v>
      </c>
      <c r="G2587">
        <v>18</v>
      </c>
      <c r="H2587">
        <v>16</v>
      </c>
      <c r="I2587">
        <v>11</v>
      </c>
      <c r="J2587" s="52"/>
    </row>
    <row r="2588" spans="1:10" hidden="1" x14ac:dyDescent="0.35">
      <c r="A2588" s="2">
        <v>45595</v>
      </c>
      <c r="B2588" t="s">
        <v>110</v>
      </c>
      <c r="C2588" t="s">
        <v>81</v>
      </c>
      <c r="E2588">
        <v>23</v>
      </c>
      <c r="F2588">
        <v>0</v>
      </c>
      <c r="G2588">
        <v>25</v>
      </c>
      <c r="H2588">
        <v>1</v>
      </c>
      <c r="I2588">
        <v>10</v>
      </c>
      <c r="J2588" s="52"/>
    </row>
    <row r="2589" spans="1:10" hidden="1" x14ac:dyDescent="0.35">
      <c r="A2589" s="2">
        <v>45595</v>
      </c>
      <c r="B2589" t="s">
        <v>85</v>
      </c>
      <c r="C2589" t="s">
        <v>83</v>
      </c>
      <c r="E2589">
        <v>35</v>
      </c>
      <c r="F2589">
        <v>4</v>
      </c>
      <c r="G2589">
        <v>39</v>
      </c>
      <c r="H2589">
        <v>5</v>
      </c>
      <c r="I2589">
        <v>13</v>
      </c>
      <c r="J2589" s="52"/>
    </row>
    <row r="2590" spans="1:10" hidden="1" x14ac:dyDescent="0.35">
      <c r="A2590" s="2">
        <v>45595</v>
      </c>
      <c r="B2590" t="s">
        <v>88</v>
      </c>
      <c r="C2590" t="s">
        <v>76</v>
      </c>
      <c r="E2590">
        <v>0</v>
      </c>
      <c r="F2590">
        <v>0</v>
      </c>
      <c r="G2590">
        <v>37</v>
      </c>
      <c r="H2590">
        <v>3</v>
      </c>
      <c r="I2590">
        <v>3</v>
      </c>
      <c r="J2590" s="52"/>
    </row>
    <row r="2591" spans="1:10" hidden="1" x14ac:dyDescent="0.35">
      <c r="A2591" s="2">
        <v>45595</v>
      </c>
      <c r="B2591" t="s">
        <v>89</v>
      </c>
      <c r="C2591" t="s">
        <v>87</v>
      </c>
      <c r="E2591">
        <v>10</v>
      </c>
      <c r="F2591">
        <v>3</v>
      </c>
      <c r="G2591">
        <v>13</v>
      </c>
      <c r="H2591">
        <v>2</v>
      </c>
      <c r="I2591">
        <v>7</v>
      </c>
      <c r="J2591" s="52"/>
    </row>
    <row r="2592" spans="1:10" hidden="1" x14ac:dyDescent="0.35">
      <c r="A2592" s="2">
        <v>45595</v>
      </c>
      <c r="B2592" t="s">
        <v>99</v>
      </c>
      <c r="C2592" t="s">
        <v>92</v>
      </c>
      <c r="E2592">
        <v>0</v>
      </c>
      <c r="F2592">
        <v>0</v>
      </c>
      <c r="G2592">
        <v>2</v>
      </c>
      <c r="H2592">
        <v>0</v>
      </c>
      <c r="I2592">
        <v>1</v>
      </c>
      <c r="J2592" s="52"/>
    </row>
    <row r="2593" spans="1:10" hidden="1" x14ac:dyDescent="0.35">
      <c r="A2593" s="2">
        <v>45595</v>
      </c>
      <c r="B2593" t="s">
        <v>98</v>
      </c>
      <c r="C2593" t="s">
        <v>94</v>
      </c>
      <c r="E2593">
        <v>14</v>
      </c>
      <c r="F2593">
        <v>2</v>
      </c>
      <c r="G2593">
        <v>16</v>
      </c>
      <c r="H2593">
        <v>3</v>
      </c>
      <c r="I2593">
        <v>10</v>
      </c>
      <c r="J2593" s="52"/>
    </row>
    <row r="2594" spans="1:10" hidden="1" x14ac:dyDescent="0.35">
      <c r="A2594" s="2">
        <v>45596</v>
      </c>
      <c r="B2594" t="s">
        <v>102</v>
      </c>
      <c r="C2594" t="s">
        <v>94</v>
      </c>
      <c r="E2594">
        <v>2</v>
      </c>
      <c r="F2594">
        <v>0</v>
      </c>
      <c r="G2594">
        <v>0</v>
      </c>
      <c r="H2594">
        <v>0</v>
      </c>
      <c r="I2594">
        <v>0</v>
      </c>
      <c r="J2594" s="52"/>
    </row>
    <row r="2595" spans="1:10" hidden="1" x14ac:dyDescent="0.35">
      <c r="A2595" s="2">
        <v>45595</v>
      </c>
      <c r="B2595" t="s">
        <v>106</v>
      </c>
      <c r="C2595" t="s">
        <v>103</v>
      </c>
      <c r="E2595">
        <v>7</v>
      </c>
      <c r="F2595">
        <v>5</v>
      </c>
      <c r="G2595">
        <v>11</v>
      </c>
      <c r="H2595">
        <v>3</v>
      </c>
      <c r="I2595">
        <v>4</v>
      </c>
      <c r="J2595" s="52"/>
    </row>
    <row r="2596" spans="1:10" hidden="1" x14ac:dyDescent="0.35">
      <c r="A2596" s="2">
        <v>45595</v>
      </c>
      <c r="B2596" t="s">
        <v>114</v>
      </c>
      <c r="C2596" t="s">
        <v>111</v>
      </c>
      <c r="E2596">
        <v>15</v>
      </c>
      <c r="F2596">
        <v>11</v>
      </c>
      <c r="G2596">
        <v>8</v>
      </c>
      <c r="H2596">
        <v>2</v>
      </c>
      <c r="I2596">
        <v>2</v>
      </c>
      <c r="J2596" s="52"/>
    </row>
    <row r="2597" spans="1:10" hidden="1" x14ac:dyDescent="0.35">
      <c r="A2597" s="2">
        <v>45626</v>
      </c>
      <c r="C2597" t="s">
        <v>24</v>
      </c>
      <c r="D2597">
        <v>323</v>
      </c>
      <c r="J2597" s="58">
        <v>90900</v>
      </c>
    </row>
    <row r="2598" spans="1:10" hidden="1" x14ac:dyDescent="0.35">
      <c r="A2598" s="2">
        <v>45626</v>
      </c>
      <c r="C2598" t="s">
        <v>9</v>
      </c>
      <c r="D2598">
        <v>265</v>
      </c>
      <c r="J2598" s="58">
        <v>78950</v>
      </c>
    </row>
    <row r="2599" spans="1:10" hidden="1" x14ac:dyDescent="0.35">
      <c r="A2599" s="2">
        <v>45626</v>
      </c>
      <c r="C2599" t="s">
        <v>37</v>
      </c>
      <c r="D2599">
        <v>510</v>
      </c>
      <c r="J2599" s="58">
        <v>274600</v>
      </c>
    </row>
    <row r="2600" spans="1:10" hidden="1" x14ac:dyDescent="0.35">
      <c r="A2600" s="2">
        <v>45626</v>
      </c>
      <c r="C2600" t="s">
        <v>23</v>
      </c>
      <c r="D2600">
        <v>297</v>
      </c>
      <c r="J2600" s="58">
        <v>99000</v>
      </c>
    </row>
    <row r="2601" spans="1:10" hidden="1" x14ac:dyDescent="0.35">
      <c r="A2601" s="2">
        <v>45626</v>
      </c>
      <c r="C2601" t="s">
        <v>27</v>
      </c>
      <c r="D2601">
        <v>380</v>
      </c>
      <c r="J2601" s="58">
        <v>429600</v>
      </c>
    </row>
    <row r="2602" spans="1:10" hidden="1" x14ac:dyDescent="0.35">
      <c r="A2602" s="2">
        <v>45626</v>
      </c>
      <c r="C2602" t="s">
        <v>26</v>
      </c>
      <c r="D2602">
        <v>206</v>
      </c>
      <c r="J2602" s="58">
        <v>154000</v>
      </c>
    </row>
    <row r="2603" spans="1:10" hidden="1" x14ac:dyDescent="0.35">
      <c r="A2603" s="2">
        <v>45626</v>
      </c>
      <c r="C2603" t="s">
        <v>20</v>
      </c>
      <c r="D2603">
        <v>287</v>
      </c>
      <c r="J2603" s="58">
        <v>388100</v>
      </c>
    </row>
    <row r="2604" spans="1:10" hidden="1" x14ac:dyDescent="0.35">
      <c r="A2604" s="2">
        <v>45626</v>
      </c>
      <c r="C2604" t="s">
        <v>25</v>
      </c>
      <c r="D2604">
        <v>215</v>
      </c>
      <c r="J2604" s="58">
        <v>81450</v>
      </c>
    </row>
    <row r="2605" spans="1:10" hidden="1" x14ac:dyDescent="0.35">
      <c r="A2605" s="2">
        <v>45626</v>
      </c>
      <c r="C2605" t="s">
        <v>19</v>
      </c>
      <c r="D2605">
        <v>434</v>
      </c>
      <c r="J2605" s="58">
        <v>197949.99</v>
      </c>
    </row>
    <row r="2606" spans="1:10" hidden="1" x14ac:dyDescent="0.35">
      <c r="A2606" s="2">
        <v>45626</v>
      </c>
      <c r="C2606" t="s">
        <v>21</v>
      </c>
      <c r="D2606">
        <v>357</v>
      </c>
      <c r="J2606" s="58">
        <v>66700</v>
      </c>
    </row>
    <row r="2607" spans="1:10" hidden="1" x14ac:dyDescent="0.35">
      <c r="A2607" s="2">
        <v>45626</v>
      </c>
      <c r="C2607" t="s">
        <v>18</v>
      </c>
      <c r="D2607">
        <v>556</v>
      </c>
      <c r="J2607" s="58">
        <v>435700</v>
      </c>
    </row>
    <row r="2608" spans="1:10" hidden="1" x14ac:dyDescent="0.35">
      <c r="A2608" s="2">
        <v>45626</v>
      </c>
      <c r="C2608" t="s">
        <v>22</v>
      </c>
      <c r="D2608">
        <v>388</v>
      </c>
      <c r="J2608" s="58">
        <v>246000</v>
      </c>
    </row>
    <row r="2609" spans="1:10" hidden="1" x14ac:dyDescent="0.35">
      <c r="A2609" s="2">
        <v>45626</v>
      </c>
      <c r="C2609" t="s">
        <v>54</v>
      </c>
      <c r="D2609">
        <v>441</v>
      </c>
      <c r="J2609" s="58">
        <v>123400</v>
      </c>
    </row>
    <row r="2610" spans="1:10" hidden="1" x14ac:dyDescent="0.35">
      <c r="A2610" s="2">
        <v>45626</v>
      </c>
      <c r="C2610" t="s">
        <v>55</v>
      </c>
      <c r="D2610">
        <v>244</v>
      </c>
      <c r="J2610" s="58">
        <v>122990</v>
      </c>
    </row>
    <row r="2611" spans="1:10" hidden="1" x14ac:dyDescent="0.35">
      <c r="A2611" s="2">
        <v>45626</v>
      </c>
      <c r="C2611" t="s">
        <v>58</v>
      </c>
      <c r="D2611">
        <v>398</v>
      </c>
      <c r="J2611" s="58">
        <v>220500</v>
      </c>
    </row>
    <row r="2612" spans="1:10" hidden="1" x14ac:dyDescent="0.35">
      <c r="A2612" s="2">
        <v>45626</v>
      </c>
      <c r="C2612" t="s">
        <v>62</v>
      </c>
      <c r="D2612">
        <v>342</v>
      </c>
      <c r="J2612" s="58">
        <v>80400</v>
      </c>
    </row>
    <row r="2613" spans="1:10" hidden="1" x14ac:dyDescent="0.35">
      <c r="A2613" s="2">
        <v>45626</v>
      </c>
      <c r="C2613" t="s">
        <v>61</v>
      </c>
      <c r="D2613">
        <v>198</v>
      </c>
      <c r="J2613" s="58">
        <v>197500</v>
      </c>
    </row>
    <row r="2614" spans="1:10" hidden="1" x14ac:dyDescent="0.35">
      <c r="A2614" s="2">
        <v>45626</v>
      </c>
      <c r="C2614" t="s">
        <v>63</v>
      </c>
      <c r="D2614">
        <v>166</v>
      </c>
      <c r="J2614" s="58">
        <v>183900</v>
      </c>
    </row>
    <row r="2615" spans="1:10" hidden="1" x14ac:dyDescent="0.35">
      <c r="A2615" s="2">
        <v>45626</v>
      </c>
      <c r="C2615" t="s">
        <v>73</v>
      </c>
      <c r="D2615">
        <v>264</v>
      </c>
      <c r="J2615" s="58">
        <v>93900</v>
      </c>
    </row>
    <row r="2616" spans="1:10" hidden="1" x14ac:dyDescent="0.35">
      <c r="A2616" s="2">
        <v>45626</v>
      </c>
      <c r="C2616" t="s">
        <v>81</v>
      </c>
      <c r="D2616">
        <v>207</v>
      </c>
      <c r="J2616" s="58">
        <v>66000</v>
      </c>
    </row>
    <row r="2617" spans="1:10" hidden="1" x14ac:dyDescent="0.35">
      <c r="A2617" s="2">
        <v>45626</v>
      </c>
      <c r="C2617" t="s">
        <v>83</v>
      </c>
      <c r="D2617">
        <v>212</v>
      </c>
      <c r="J2617" s="58">
        <v>146450</v>
      </c>
    </row>
    <row r="2618" spans="1:10" hidden="1" x14ac:dyDescent="0.35">
      <c r="A2618" s="2">
        <v>45626</v>
      </c>
      <c r="C2618" t="s">
        <v>87</v>
      </c>
      <c r="D2618">
        <v>143</v>
      </c>
      <c r="J2618" s="58">
        <v>105899</v>
      </c>
    </row>
    <row r="2619" spans="1:10" hidden="1" x14ac:dyDescent="0.35">
      <c r="A2619" s="2">
        <v>45626</v>
      </c>
      <c r="C2619" t="s">
        <v>91</v>
      </c>
      <c r="D2619">
        <v>181</v>
      </c>
      <c r="J2619" s="58">
        <v>49500</v>
      </c>
    </row>
    <row r="2620" spans="1:10" hidden="1" x14ac:dyDescent="0.35">
      <c r="A2620" s="2">
        <v>45626</v>
      </c>
      <c r="C2620" t="s">
        <v>94</v>
      </c>
      <c r="D2620">
        <v>150</v>
      </c>
      <c r="J2620" s="58">
        <v>143050</v>
      </c>
    </row>
    <row r="2621" spans="1:10" hidden="1" x14ac:dyDescent="0.35">
      <c r="A2621" s="2">
        <v>45626</v>
      </c>
      <c r="C2621" t="s">
        <v>103</v>
      </c>
      <c r="D2621">
        <v>254</v>
      </c>
      <c r="J2621" s="58">
        <v>24000</v>
      </c>
    </row>
    <row r="2622" spans="1:10" hidden="1" x14ac:dyDescent="0.35">
      <c r="A2622" s="2">
        <v>45626</v>
      </c>
      <c r="C2622" t="s">
        <v>111</v>
      </c>
      <c r="D2622">
        <v>103</v>
      </c>
      <c r="J2622" s="58">
        <v>27000</v>
      </c>
    </row>
    <row r="2623" spans="1:10" hidden="1" x14ac:dyDescent="0.35">
      <c r="A2623" s="2">
        <v>45626</v>
      </c>
      <c r="C2623" t="s">
        <v>115</v>
      </c>
      <c r="D2623">
        <v>191</v>
      </c>
      <c r="J2623" s="58">
        <v>75400</v>
      </c>
    </row>
    <row r="2624" spans="1:10" hidden="1" x14ac:dyDescent="0.35">
      <c r="A2624" s="2">
        <v>45626</v>
      </c>
      <c r="B2624" t="s">
        <v>36</v>
      </c>
      <c r="C2624" t="s">
        <v>20</v>
      </c>
      <c r="E2624">
        <v>35</v>
      </c>
      <c r="F2624">
        <v>13</v>
      </c>
      <c r="G2624">
        <v>59</v>
      </c>
      <c r="H2624">
        <v>8</v>
      </c>
      <c r="I2624">
        <v>18</v>
      </c>
      <c r="J2624" s="52"/>
    </row>
    <row r="2625" spans="1:10" hidden="1" x14ac:dyDescent="0.35">
      <c r="A2625" s="2">
        <v>45626</v>
      </c>
      <c r="B2625" t="s">
        <v>110</v>
      </c>
      <c r="C2625" t="s">
        <v>20</v>
      </c>
      <c r="E2625">
        <v>23</v>
      </c>
      <c r="F2625">
        <v>4</v>
      </c>
      <c r="G2625">
        <v>29</v>
      </c>
      <c r="H2625">
        <v>1</v>
      </c>
      <c r="I2625">
        <v>10</v>
      </c>
      <c r="J2625" s="52"/>
    </row>
    <row r="2626" spans="1:10" hidden="1" x14ac:dyDescent="0.35">
      <c r="A2626" s="2">
        <v>45626</v>
      </c>
      <c r="B2626" t="s">
        <v>113</v>
      </c>
      <c r="C2626" t="s">
        <v>26</v>
      </c>
      <c r="E2626">
        <v>21</v>
      </c>
      <c r="F2626">
        <v>1</v>
      </c>
      <c r="G2626">
        <v>46</v>
      </c>
      <c r="H2626">
        <v>7</v>
      </c>
      <c r="I2626">
        <v>12</v>
      </c>
      <c r="J2626" s="52"/>
    </row>
    <row r="2627" spans="1:10" hidden="1" x14ac:dyDescent="0.35">
      <c r="A2627" s="2">
        <v>45626</v>
      </c>
      <c r="B2627" t="s">
        <v>113</v>
      </c>
      <c r="C2627" t="s">
        <v>115</v>
      </c>
      <c r="E2627">
        <v>29</v>
      </c>
      <c r="F2627">
        <v>3</v>
      </c>
      <c r="G2627">
        <v>19</v>
      </c>
      <c r="H2627">
        <v>1</v>
      </c>
      <c r="I2627">
        <v>6</v>
      </c>
      <c r="J2627" s="52"/>
    </row>
    <row r="2628" spans="1:10" hidden="1" x14ac:dyDescent="0.35">
      <c r="A2628" s="2">
        <v>45626</v>
      </c>
      <c r="B2628" t="s">
        <v>38</v>
      </c>
      <c r="C2628" t="s">
        <v>18</v>
      </c>
      <c r="E2628">
        <v>22</v>
      </c>
      <c r="F2628">
        <v>19</v>
      </c>
      <c r="G2628">
        <v>43</v>
      </c>
      <c r="H2628">
        <v>10</v>
      </c>
      <c r="I2628">
        <v>18</v>
      </c>
      <c r="J2628" s="52"/>
    </row>
    <row r="2629" spans="1:10" hidden="1" x14ac:dyDescent="0.35">
      <c r="A2629" s="2">
        <v>45626</v>
      </c>
      <c r="B2629" t="s">
        <v>116</v>
      </c>
      <c r="C2629" t="s">
        <v>18</v>
      </c>
      <c r="E2629">
        <v>29</v>
      </c>
      <c r="F2629">
        <v>17</v>
      </c>
      <c r="G2629">
        <v>23</v>
      </c>
      <c r="H2629">
        <v>9</v>
      </c>
      <c r="I2629">
        <v>15</v>
      </c>
      <c r="J2629" s="52"/>
    </row>
    <row r="2630" spans="1:10" hidden="1" x14ac:dyDescent="0.35">
      <c r="A2630" s="2">
        <v>45626</v>
      </c>
      <c r="B2630" t="s">
        <v>122</v>
      </c>
      <c r="C2630" t="s">
        <v>25</v>
      </c>
      <c r="E2630">
        <v>36</v>
      </c>
      <c r="F2630">
        <v>0</v>
      </c>
      <c r="G2630">
        <v>14</v>
      </c>
      <c r="H2630">
        <v>1</v>
      </c>
      <c r="I2630">
        <v>6</v>
      </c>
      <c r="J2630" s="52"/>
    </row>
    <row r="2631" spans="1:10" hidden="1" x14ac:dyDescent="0.35">
      <c r="A2631" s="2">
        <v>45626</v>
      </c>
      <c r="B2631" t="s">
        <v>104</v>
      </c>
      <c r="C2631" t="s">
        <v>23</v>
      </c>
      <c r="E2631">
        <v>9</v>
      </c>
      <c r="F2631">
        <v>3</v>
      </c>
      <c r="G2631">
        <v>10</v>
      </c>
      <c r="H2631">
        <v>7</v>
      </c>
      <c r="I2631">
        <v>3</v>
      </c>
      <c r="J2631" s="52"/>
    </row>
    <row r="2632" spans="1:10" hidden="1" x14ac:dyDescent="0.35">
      <c r="A2632" s="2">
        <v>45626</v>
      </c>
      <c r="B2632" t="s">
        <v>122</v>
      </c>
      <c r="C2632" t="s">
        <v>23</v>
      </c>
      <c r="E2632">
        <v>23</v>
      </c>
      <c r="F2632">
        <v>7</v>
      </c>
      <c r="G2632">
        <v>13</v>
      </c>
      <c r="H2632">
        <v>2</v>
      </c>
      <c r="I2632">
        <v>5</v>
      </c>
      <c r="J2632" s="52"/>
    </row>
    <row r="2633" spans="1:10" hidden="1" x14ac:dyDescent="0.35">
      <c r="A2633" s="2">
        <v>45626</v>
      </c>
      <c r="B2633" t="s">
        <v>96</v>
      </c>
      <c r="C2633" t="s">
        <v>24</v>
      </c>
      <c r="E2633">
        <v>27</v>
      </c>
      <c r="F2633">
        <v>2</v>
      </c>
      <c r="G2633">
        <v>10</v>
      </c>
      <c r="H2633">
        <v>0</v>
      </c>
      <c r="I2633">
        <v>6</v>
      </c>
      <c r="J2633" s="52"/>
    </row>
    <row r="2634" spans="1:10" hidden="1" x14ac:dyDescent="0.35">
      <c r="A2634" s="2">
        <v>45626</v>
      </c>
      <c r="B2634" t="s">
        <v>102</v>
      </c>
      <c r="C2634" t="s">
        <v>24</v>
      </c>
      <c r="E2634">
        <v>1</v>
      </c>
      <c r="F2634">
        <v>0</v>
      </c>
      <c r="G2634">
        <v>4</v>
      </c>
      <c r="H2634">
        <v>0</v>
      </c>
      <c r="I2634">
        <v>1</v>
      </c>
      <c r="J2634" s="52"/>
    </row>
    <row r="2635" spans="1:10" hidden="1" x14ac:dyDescent="0.35">
      <c r="A2635" s="2">
        <v>45626</v>
      </c>
      <c r="B2635" t="s">
        <v>96</v>
      </c>
      <c r="C2635" t="s">
        <v>37</v>
      </c>
      <c r="E2635">
        <v>5</v>
      </c>
      <c r="F2635">
        <v>0</v>
      </c>
      <c r="G2635">
        <v>8</v>
      </c>
      <c r="H2635">
        <v>0</v>
      </c>
      <c r="I2635">
        <v>2</v>
      </c>
      <c r="J2635" s="52"/>
    </row>
    <row r="2636" spans="1:10" hidden="1" x14ac:dyDescent="0.35">
      <c r="A2636" s="2">
        <v>45626</v>
      </c>
      <c r="B2636" t="s">
        <v>101</v>
      </c>
      <c r="C2636" t="s">
        <v>37</v>
      </c>
      <c r="E2636">
        <v>11</v>
      </c>
      <c r="F2636">
        <v>3</v>
      </c>
      <c r="G2636">
        <v>5</v>
      </c>
      <c r="H2636">
        <v>1</v>
      </c>
      <c r="I2636">
        <v>4</v>
      </c>
      <c r="J2636" s="52"/>
    </row>
    <row r="2637" spans="1:10" hidden="1" x14ac:dyDescent="0.35">
      <c r="A2637" s="2">
        <v>45626</v>
      </c>
      <c r="B2637" t="s">
        <v>102</v>
      </c>
      <c r="C2637" t="s">
        <v>37</v>
      </c>
      <c r="E2637">
        <v>39</v>
      </c>
      <c r="F2637">
        <v>7</v>
      </c>
      <c r="G2637">
        <v>34</v>
      </c>
      <c r="H2637">
        <v>3</v>
      </c>
      <c r="I2637">
        <v>14</v>
      </c>
      <c r="J2637" s="52"/>
    </row>
    <row r="2638" spans="1:10" hidden="1" x14ac:dyDescent="0.35">
      <c r="A2638" s="2">
        <v>45626</v>
      </c>
      <c r="B2638" t="s">
        <v>50</v>
      </c>
      <c r="C2638" t="s">
        <v>37</v>
      </c>
      <c r="E2638">
        <v>1</v>
      </c>
      <c r="F2638">
        <v>0</v>
      </c>
      <c r="G2638">
        <v>0</v>
      </c>
      <c r="H2638">
        <v>0</v>
      </c>
      <c r="I2638">
        <v>1</v>
      </c>
      <c r="J2638" s="52"/>
    </row>
    <row r="2639" spans="1:10" hidden="1" x14ac:dyDescent="0.35">
      <c r="A2639" s="2">
        <v>45626</v>
      </c>
      <c r="B2639" t="s">
        <v>112</v>
      </c>
      <c r="C2639" t="s">
        <v>19</v>
      </c>
      <c r="E2639">
        <v>50</v>
      </c>
      <c r="F2639">
        <v>5</v>
      </c>
      <c r="G2639">
        <v>40</v>
      </c>
      <c r="H2639">
        <v>4</v>
      </c>
      <c r="I2639">
        <v>8</v>
      </c>
      <c r="J2639" s="52"/>
    </row>
    <row r="2640" spans="1:10" hidden="1" x14ac:dyDescent="0.35">
      <c r="A2640" s="2">
        <v>45626</v>
      </c>
      <c r="B2640" t="s">
        <v>40</v>
      </c>
      <c r="C2640" t="s">
        <v>19</v>
      </c>
      <c r="E2640">
        <v>22</v>
      </c>
      <c r="F2640">
        <v>6</v>
      </c>
      <c r="G2640">
        <v>26</v>
      </c>
      <c r="H2640">
        <v>3</v>
      </c>
      <c r="I2640">
        <v>7</v>
      </c>
      <c r="J2640" s="52"/>
    </row>
    <row r="2641" spans="1:10" hidden="1" x14ac:dyDescent="0.35">
      <c r="A2641" s="2">
        <v>45626</v>
      </c>
      <c r="B2641" t="s">
        <v>121</v>
      </c>
      <c r="C2641" t="s">
        <v>22</v>
      </c>
      <c r="E2641">
        <v>38</v>
      </c>
      <c r="F2641">
        <v>26</v>
      </c>
      <c r="G2641">
        <v>39</v>
      </c>
      <c r="H2641">
        <v>7</v>
      </c>
      <c r="I2641">
        <v>14</v>
      </c>
      <c r="J2641" s="52"/>
    </row>
    <row r="2642" spans="1:10" hidden="1" x14ac:dyDescent="0.35">
      <c r="A2642" s="2">
        <v>45626</v>
      </c>
      <c r="B2642" t="s">
        <v>95</v>
      </c>
      <c r="C2642" t="s">
        <v>22</v>
      </c>
      <c r="E2642">
        <v>9</v>
      </c>
      <c r="F2642">
        <v>4</v>
      </c>
      <c r="G2642">
        <v>15</v>
      </c>
      <c r="H2642">
        <v>4</v>
      </c>
      <c r="I2642">
        <v>5</v>
      </c>
      <c r="J2642" s="52"/>
    </row>
    <row r="2643" spans="1:10" hidden="1" x14ac:dyDescent="0.35">
      <c r="A2643" s="2">
        <v>45626</v>
      </c>
      <c r="B2643" t="s">
        <v>43</v>
      </c>
      <c r="C2643" t="s">
        <v>27</v>
      </c>
      <c r="E2643">
        <v>24</v>
      </c>
      <c r="F2643">
        <v>0</v>
      </c>
      <c r="G2643">
        <v>21</v>
      </c>
      <c r="H2643">
        <v>0</v>
      </c>
      <c r="I2643">
        <v>19</v>
      </c>
      <c r="J2643" s="52"/>
    </row>
    <row r="2644" spans="1:10" hidden="1" x14ac:dyDescent="0.35">
      <c r="A2644" s="2">
        <v>45626</v>
      </c>
      <c r="B2644" t="s">
        <v>84</v>
      </c>
      <c r="C2644" t="s">
        <v>27</v>
      </c>
      <c r="E2644">
        <v>30</v>
      </c>
      <c r="F2644">
        <v>0</v>
      </c>
      <c r="G2644">
        <v>26</v>
      </c>
      <c r="H2644">
        <v>0</v>
      </c>
      <c r="I2644">
        <v>8</v>
      </c>
      <c r="J2644" s="52"/>
    </row>
    <row r="2645" spans="1:10" hidden="1" x14ac:dyDescent="0.35">
      <c r="A2645" s="2">
        <v>45626</v>
      </c>
      <c r="B2645" t="s">
        <v>101</v>
      </c>
      <c r="C2645" t="s">
        <v>9</v>
      </c>
      <c r="E2645">
        <v>31</v>
      </c>
      <c r="F2645">
        <v>1</v>
      </c>
      <c r="G2645">
        <v>18</v>
      </c>
      <c r="H2645">
        <v>0</v>
      </c>
      <c r="I2645">
        <v>6</v>
      </c>
      <c r="J2645" s="52"/>
    </row>
    <row r="2646" spans="1:10" hidden="1" x14ac:dyDescent="0.35">
      <c r="A2646" s="2">
        <v>45626</v>
      </c>
      <c r="B2646" t="s">
        <v>75</v>
      </c>
      <c r="C2646" t="s">
        <v>21</v>
      </c>
      <c r="E2646">
        <v>17</v>
      </c>
      <c r="F2646">
        <v>10</v>
      </c>
      <c r="G2646">
        <v>21</v>
      </c>
      <c r="H2646">
        <v>2</v>
      </c>
      <c r="I2646">
        <v>2</v>
      </c>
      <c r="J2646" s="52"/>
    </row>
    <row r="2647" spans="1:10" hidden="1" x14ac:dyDescent="0.35">
      <c r="A2647" s="2">
        <v>45626</v>
      </c>
      <c r="B2647" t="s">
        <v>120</v>
      </c>
      <c r="C2647" t="s">
        <v>21</v>
      </c>
      <c r="E2647">
        <v>13</v>
      </c>
      <c r="F2647">
        <v>6</v>
      </c>
      <c r="G2647">
        <v>2</v>
      </c>
      <c r="H2647">
        <v>2</v>
      </c>
      <c r="I2647">
        <v>3</v>
      </c>
      <c r="J2647" s="52"/>
    </row>
    <row r="2648" spans="1:10" hidden="1" x14ac:dyDescent="0.35">
      <c r="A2648" s="2">
        <v>45626</v>
      </c>
      <c r="B2648" t="s">
        <v>117</v>
      </c>
      <c r="C2648" t="s">
        <v>54</v>
      </c>
      <c r="E2648">
        <v>30</v>
      </c>
      <c r="F2648">
        <v>7</v>
      </c>
      <c r="G2648">
        <v>28</v>
      </c>
      <c r="H2648">
        <v>4</v>
      </c>
      <c r="I2648">
        <v>9</v>
      </c>
      <c r="J2648" s="52"/>
    </row>
    <row r="2649" spans="1:10" hidden="1" x14ac:dyDescent="0.35">
      <c r="A2649" s="2">
        <v>45626</v>
      </c>
      <c r="B2649" t="s">
        <v>57</v>
      </c>
      <c r="C2649" t="s">
        <v>55</v>
      </c>
      <c r="E2649">
        <v>0</v>
      </c>
      <c r="F2649">
        <v>2</v>
      </c>
      <c r="G2649">
        <v>0</v>
      </c>
      <c r="H2649">
        <v>9</v>
      </c>
      <c r="I2649">
        <v>0</v>
      </c>
      <c r="J2649" s="52"/>
    </row>
    <row r="2650" spans="1:10" hidden="1" x14ac:dyDescent="0.35">
      <c r="A2650" s="2">
        <v>45626</v>
      </c>
      <c r="B2650" t="s">
        <v>123</v>
      </c>
      <c r="C2650" t="s">
        <v>55</v>
      </c>
      <c r="E2650">
        <v>10</v>
      </c>
      <c r="F2650">
        <v>11</v>
      </c>
      <c r="G2650">
        <v>5</v>
      </c>
      <c r="H2650">
        <v>4</v>
      </c>
      <c r="I2650">
        <v>10</v>
      </c>
      <c r="J2650" s="52"/>
    </row>
    <row r="2651" spans="1:10" hidden="1" x14ac:dyDescent="0.35">
      <c r="A2651" s="2">
        <v>45626</v>
      </c>
      <c r="B2651" t="s">
        <v>107</v>
      </c>
      <c r="C2651" t="s">
        <v>58</v>
      </c>
      <c r="E2651">
        <v>44</v>
      </c>
      <c r="F2651">
        <v>15</v>
      </c>
      <c r="G2651">
        <v>25</v>
      </c>
      <c r="H2651">
        <v>10</v>
      </c>
      <c r="I2651">
        <v>17</v>
      </c>
      <c r="J2651" s="52"/>
    </row>
    <row r="2652" spans="1:10" hidden="1" x14ac:dyDescent="0.35">
      <c r="A2652" s="2">
        <v>45626</v>
      </c>
      <c r="B2652" t="s">
        <v>64</v>
      </c>
      <c r="C2652" t="s">
        <v>62</v>
      </c>
      <c r="E2652">
        <v>21</v>
      </c>
      <c r="F2652">
        <v>12</v>
      </c>
      <c r="G2652">
        <v>19</v>
      </c>
      <c r="H2652">
        <v>5</v>
      </c>
      <c r="I2652">
        <v>6</v>
      </c>
      <c r="J2652" s="52"/>
    </row>
    <row r="2653" spans="1:10" hidden="1" x14ac:dyDescent="0.35">
      <c r="A2653" s="2">
        <v>45626</v>
      </c>
      <c r="B2653" t="s">
        <v>97</v>
      </c>
      <c r="C2653" t="s">
        <v>61</v>
      </c>
      <c r="E2653">
        <v>25</v>
      </c>
      <c r="F2653">
        <v>1</v>
      </c>
      <c r="G2653">
        <v>11</v>
      </c>
      <c r="H2653">
        <v>0</v>
      </c>
      <c r="I2653">
        <v>13</v>
      </c>
      <c r="J2653" s="52"/>
    </row>
    <row r="2654" spans="1:10" hidden="1" x14ac:dyDescent="0.35">
      <c r="A2654" s="2">
        <v>45626</v>
      </c>
      <c r="B2654" t="s">
        <v>118</v>
      </c>
      <c r="C2654" t="s">
        <v>61</v>
      </c>
      <c r="E2654">
        <v>4</v>
      </c>
      <c r="F2654">
        <v>0</v>
      </c>
      <c r="G2654">
        <v>1</v>
      </c>
      <c r="H2654">
        <v>0</v>
      </c>
      <c r="I2654">
        <v>3</v>
      </c>
      <c r="J2654" s="52"/>
    </row>
    <row r="2655" spans="1:10" hidden="1" x14ac:dyDescent="0.35">
      <c r="A2655" s="2">
        <v>45626</v>
      </c>
      <c r="B2655" t="s">
        <v>118</v>
      </c>
      <c r="C2655" t="s">
        <v>91</v>
      </c>
      <c r="E2655">
        <v>23</v>
      </c>
      <c r="F2655">
        <v>10</v>
      </c>
      <c r="G2655">
        <v>8</v>
      </c>
      <c r="H2655">
        <v>2</v>
      </c>
      <c r="I2655">
        <v>3</v>
      </c>
      <c r="J2655" s="52"/>
    </row>
    <row r="2656" spans="1:10" hidden="1" x14ac:dyDescent="0.35">
      <c r="A2656" s="2">
        <v>45626</v>
      </c>
      <c r="B2656" t="s">
        <v>97</v>
      </c>
      <c r="C2656" t="s">
        <v>91</v>
      </c>
      <c r="E2656">
        <v>1</v>
      </c>
      <c r="F2656">
        <v>0</v>
      </c>
      <c r="G2656">
        <v>0</v>
      </c>
      <c r="H2656">
        <v>0</v>
      </c>
      <c r="I2656">
        <v>1</v>
      </c>
      <c r="J2656" s="52"/>
    </row>
    <row r="2657" spans="1:10" hidden="1" x14ac:dyDescent="0.35">
      <c r="A2657" s="2">
        <v>45626</v>
      </c>
      <c r="B2657" t="s">
        <v>119</v>
      </c>
      <c r="C2657" t="s">
        <v>63</v>
      </c>
      <c r="E2657">
        <v>24</v>
      </c>
      <c r="F2657">
        <v>7</v>
      </c>
      <c r="G2657">
        <v>23</v>
      </c>
      <c r="H2657">
        <v>4</v>
      </c>
      <c r="I2657">
        <v>15</v>
      </c>
      <c r="J2657" s="52"/>
    </row>
    <row r="2658" spans="1:10" hidden="1" x14ac:dyDescent="0.35">
      <c r="A2658" s="2">
        <v>45626</v>
      </c>
      <c r="B2658" t="s">
        <v>77</v>
      </c>
      <c r="C2658" t="s">
        <v>73</v>
      </c>
      <c r="E2658">
        <v>16</v>
      </c>
      <c r="F2658">
        <v>7</v>
      </c>
      <c r="G2658">
        <v>11</v>
      </c>
      <c r="H2658">
        <v>13</v>
      </c>
      <c r="I2658">
        <v>7</v>
      </c>
      <c r="J2658" s="52"/>
    </row>
    <row r="2659" spans="1:10" hidden="1" x14ac:dyDescent="0.35">
      <c r="A2659" s="2">
        <v>45626</v>
      </c>
      <c r="B2659" t="s">
        <v>110</v>
      </c>
      <c r="C2659" t="s">
        <v>81</v>
      </c>
      <c r="E2659">
        <v>20</v>
      </c>
      <c r="F2659">
        <v>0</v>
      </c>
      <c r="G2659">
        <v>18</v>
      </c>
      <c r="H2659">
        <v>1</v>
      </c>
      <c r="I2659">
        <v>5</v>
      </c>
      <c r="J2659" s="52"/>
    </row>
    <row r="2660" spans="1:10" hidden="1" x14ac:dyDescent="0.35">
      <c r="A2660" s="2">
        <v>45626</v>
      </c>
      <c r="B2660" t="s">
        <v>85</v>
      </c>
      <c r="C2660" t="s">
        <v>83</v>
      </c>
      <c r="E2660">
        <v>20</v>
      </c>
      <c r="F2660">
        <v>5</v>
      </c>
      <c r="G2660">
        <v>30</v>
      </c>
      <c r="H2660">
        <v>4</v>
      </c>
      <c r="I2660">
        <v>11</v>
      </c>
      <c r="J2660" s="52"/>
    </row>
    <row r="2661" spans="1:10" hidden="1" x14ac:dyDescent="0.35">
      <c r="A2661" s="2">
        <v>45626</v>
      </c>
      <c r="B2661" t="s">
        <v>89</v>
      </c>
      <c r="C2661" t="s">
        <v>87</v>
      </c>
      <c r="E2661">
        <v>11</v>
      </c>
      <c r="F2661">
        <v>3</v>
      </c>
      <c r="G2661">
        <v>15</v>
      </c>
      <c r="H2661">
        <v>0</v>
      </c>
      <c r="I2661">
        <v>8</v>
      </c>
      <c r="J2661" s="52"/>
    </row>
    <row r="2662" spans="1:10" hidden="1" x14ac:dyDescent="0.35">
      <c r="A2662" s="2">
        <v>45626</v>
      </c>
      <c r="B2662" t="s">
        <v>98</v>
      </c>
      <c r="C2662" t="s">
        <v>94</v>
      </c>
      <c r="E2662">
        <v>11</v>
      </c>
      <c r="F2662">
        <v>1</v>
      </c>
      <c r="G2662">
        <v>14</v>
      </c>
      <c r="H2662">
        <v>1</v>
      </c>
      <c r="I2662">
        <v>9</v>
      </c>
      <c r="J2662" s="52"/>
    </row>
    <row r="2663" spans="1:10" hidden="1" x14ac:dyDescent="0.35">
      <c r="A2663" s="2">
        <v>45626</v>
      </c>
      <c r="B2663" t="s">
        <v>104</v>
      </c>
      <c r="C2663" t="s">
        <v>94</v>
      </c>
      <c r="E2663">
        <v>1</v>
      </c>
      <c r="F2663">
        <v>0</v>
      </c>
      <c r="G2663">
        <v>0</v>
      </c>
      <c r="H2663">
        <v>0</v>
      </c>
      <c r="I2663">
        <v>1</v>
      </c>
      <c r="J2663" s="52"/>
    </row>
    <row r="2664" spans="1:10" hidden="1" x14ac:dyDescent="0.35">
      <c r="A2664" s="2">
        <v>45626</v>
      </c>
      <c r="B2664" t="s">
        <v>106</v>
      </c>
      <c r="C2664" t="s">
        <v>103</v>
      </c>
      <c r="E2664">
        <v>6</v>
      </c>
      <c r="F2664">
        <v>3</v>
      </c>
      <c r="G2664">
        <v>6</v>
      </c>
      <c r="H2664">
        <v>6</v>
      </c>
      <c r="I2664">
        <v>2</v>
      </c>
      <c r="J2664" s="52"/>
    </row>
    <row r="2665" spans="1:10" hidden="1" x14ac:dyDescent="0.35">
      <c r="A2665" s="2">
        <v>45626</v>
      </c>
      <c r="B2665" t="s">
        <v>114</v>
      </c>
      <c r="C2665" t="s">
        <v>111</v>
      </c>
      <c r="E2665">
        <v>5</v>
      </c>
      <c r="F2665">
        <v>5</v>
      </c>
      <c r="G2665">
        <v>3</v>
      </c>
      <c r="H2665">
        <v>1</v>
      </c>
      <c r="I2665">
        <v>2</v>
      </c>
      <c r="J2665" s="52"/>
    </row>
    <row r="2666" spans="1:10" hidden="1" x14ac:dyDescent="0.35">
      <c r="A2666" s="2">
        <v>45656</v>
      </c>
      <c r="C2666" t="s">
        <v>24</v>
      </c>
      <c r="D2666">
        <v>178</v>
      </c>
      <c r="J2666" s="58">
        <v>127500</v>
      </c>
    </row>
    <row r="2667" spans="1:10" hidden="1" x14ac:dyDescent="0.35">
      <c r="A2667" s="2">
        <v>45656</v>
      </c>
      <c r="C2667" t="s">
        <v>9</v>
      </c>
      <c r="D2667">
        <v>106</v>
      </c>
      <c r="J2667" s="58">
        <v>114050</v>
      </c>
    </row>
    <row r="2668" spans="1:10" hidden="1" x14ac:dyDescent="0.35">
      <c r="A2668" s="2">
        <v>45656</v>
      </c>
      <c r="C2668" t="s">
        <v>37</v>
      </c>
      <c r="D2668">
        <v>303</v>
      </c>
      <c r="J2668" s="58">
        <v>203400</v>
      </c>
    </row>
    <row r="2669" spans="1:10" hidden="1" x14ac:dyDescent="0.35">
      <c r="A2669" s="2">
        <v>45656</v>
      </c>
      <c r="C2669" t="s">
        <v>23</v>
      </c>
      <c r="D2669">
        <v>132</v>
      </c>
      <c r="J2669" s="58">
        <v>47000</v>
      </c>
    </row>
    <row r="2670" spans="1:10" hidden="1" x14ac:dyDescent="0.35">
      <c r="A2670" s="2">
        <v>45656</v>
      </c>
      <c r="C2670" t="s">
        <v>27</v>
      </c>
      <c r="D2670">
        <v>218</v>
      </c>
      <c r="J2670" s="58">
        <v>289100</v>
      </c>
    </row>
    <row r="2671" spans="1:10" hidden="1" x14ac:dyDescent="0.35">
      <c r="A2671" s="2">
        <v>45656</v>
      </c>
      <c r="C2671" t="s">
        <v>26</v>
      </c>
      <c r="D2671">
        <v>107</v>
      </c>
      <c r="J2671" s="58">
        <v>85000</v>
      </c>
    </row>
    <row r="2672" spans="1:10" hidden="1" x14ac:dyDescent="0.35">
      <c r="A2672" s="2">
        <v>45656</v>
      </c>
      <c r="C2672" t="s">
        <v>20</v>
      </c>
      <c r="D2672">
        <v>161</v>
      </c>
      <c r="J2672" s="58">
        <v>380490</v>
      </c>
    </row>
    <row r="2673" spans="1:10" hidden="1" x14ac:dyDescent="0.35">
      <c r="A2673" s="2">
        <v>45656</v>
      </c>
      <c r="C2673" t="s">
        <v>25</v>
      </c>
      <c r="D2673">
        <v>137</v>
      </c>
      <c r="J2673" s="58">
        <v>163150</v>
      </c>
    </row>
    <row r="2674" spans="1:10" hidden="1" x14ac:dyDescent="0.35">
      <c r="A2674" s="2">
        <v>45656</v>
      </c>
      <c r="C2674" t="s">
        <v>19</v>
      </c>
      <c r="D2674">
        <v>244</v>
      </c>
      <c r="J2674" s="58">
        <v>329600</v>
      </c>
    </row>
    <row r="2675" spans="1:10" hidden="1" x14ac:dyDescent="0.35">
      <c r="A2675" s="2">
        <v>45656</v>
      </c>
      <c r="C2675" t="s">
        <v>21</v>
      </c>
      <c r="D2675">
        <v>184</v>
      </c>
      <c r="J2675" s="58">
        <v>121650</v>
      </c>
    </row>
    <row r="2676" spans="1:10" hidden="1" x14ac:dyDescent="0.35">
      <c r="A2676" s="2">
        <v>45656</v>
      </c>
      <c r="C2676" t="s">
        <v>18</v>
      </c>
      <c r="D2676">
        <v>222</v>
      </c>
      <c r="J2676" s="58">
        <v>355350</v>
      </c>
    </row>
    <row r="2677" spans="1:10" hidden="1" x14ac:dyDescent="0.35">
      <c r="A2677" s="2">
        <v>45656</v>
      </c>
      <c r="C2677" t="s">
        <v>22</v>
      </c>
      <c r="D2677">
        <v>172</v>
      </c>
      <c r="J2677" s="58">
        <v>224400</v>
      </c>
    </row>
    <row r="2678" spans="1:10" hidden="1" x14ac:dyDescent="0.35">
      <c r="A2678" s="2">
        <v>45656</v>
      </c>
      <c r="C2678" t="s">
        <v>54</v>
      </c>
      <c r="D2678">
        <v>188</v>
      </c>
      <c r="J2678" s="58">
        <v>93300</v>
      </c>
    </row>
    <row r="2679" spans="1:10" hidden="1" x14ac:dyDescent="0.35">
      <c r="A2679" s="2">
        <v>45656</v>
      </c>
      <c r="C2679" t="s">
        <v>55</v>
      </c>
      <c r="D2679">
        <v>144</v>
      </c>
      <c r="J2679" s="58">
        <v>109500</v>
      </c>
    </row>
    <row r="2680" spans="1:10" hidden="1" x14ac:dyDescent="0.35">
      <c r="A2680" s="2">
        <v>45656</v>
      </c>
      <c r="C2680" t="s">
        <v>58</v>
      </c>
      <c r="D2680">
        <v>226</v>
      </c>
      <c r="J2680" s="58">
        <v>144450</v>
      </c>
    </row>
    <row r="2681" spans="1:10" hidden="1" x14ac:dyDescent="0.35">
      <c r="A2681" s="2">
        <v>45656</v>
      </c>
      <c r="C2681" t="s">
        <v>62</v>
      </c>
      <c r="D2681">
        <v>128</v>
      </c>
      <c r="J2681" s="58">
        <v>82350</v>
      </c>
    </row>
    <row r="2682" spans="1:10" hidden="1" x14ac:dyDescent="0.35">
      <c r="A2682" s="2">
        <v>45656</v>
      </c>
      <c r="C2682" t="s">
        <v>61</v>
      </c>
      <c r="D2682">
        <v>113</v>
      </c>
      <c r="J2682" s="58">
        <v>37500</v>
      </c>
    </row>
    <row r="2683" spans="1:10" hidden="1" x14ac:dyDescent="0.35">
      <c r="A2683" s="2">
        <v>45656</v>
      </c>
      <c r="C2683" t="s">
        <v>63</v>
      </c>
      <c r="D2683">
        <v>85</v>
      </c>
      <c r="J2683" s="58">
        <v>189300</v>
      </c>
    </row>
    <row r="2684" spans="1:10" hidden="1" x14ac:dyDescent="0.35">
      <c r="A2684" s="2">
        <v>45656</v>
      </c>
      <c r="C2684" t="s">
        <v>73</v>
      </c>
      <c r="D2684">
        <v>112</v>
      </c>
      <c r="J2684" s="58">
        <v>133900</v>
      </c>
    </row>
    <row r="2685" spans="1:10" hidden="1" x14ac:dyDescent="0.35">
      <c r="A2685" s="2">
        <v>45656</v>
      </c>
      <c r="C2685" t="s">
        <v>81</v>
      </c>
      <c r="D2685">
        <v>95</v>
      </c>
      <c r="J2685" s="58">
        <v>127500</v>
      </c>
    </row>
    <row r="2686" spans="1:10" hidden="1" x14ac:dyDescent="0.35">
      <c r="A2686" s="2">
        <v>45656</v>
      </c>
      <c r="C2686" t="s">
        <v>83</v>
      </c>
      <c r="D2686">
        <v>114</v>
      </c>
      <c r="J2686" s="58">
        <v>131950</v>
      </c>
    </row>
    <row r="2687" spans="1:10" hidden="1" x14ac:dyDescent="0.35">
      <c r="A2687" s="2">
        <v>45656</v>
      </c>
      <c r="C2687" t="s">
        <v>87</v>
      </c>
      <c r="D2687">
        <v>81</v>
      </c>
      <c r="J2687" s="58">
        <v>103400</v>
      </c>
    </row>
    <row r="2688" spans="1:10" hidden="1" x14ac:dyDescent="0.35">
      <c r="A2688" s="2">
        <v>45656</v>
      </c>
      <c r="C2688" t="s">
        <v>91</v>
      </c>
      <c r="D2688">
        <v>83</v>
      </c>
      <c r="J2688" s="58">
        <v>76000</v>
      </c>
    </row>
    <row r="2689" spans="1:10" hidden="1" x14ac:dyDescent="0.35">
      <c r="A2689" s="2">
        <v>45656</v>
      </c>
      <c r="C2689" t="s">
        <v>94</v>
      </c>
      <c r="D2689">
        <v>110</v>
      </c>
      <c r="J2689" s="58">
        <v>112250</v>
      </c>
    </row>
    <row r="2690" spans="1:10" hidden="1" x14ac:dyDescent="0.35">
      <c r="A2690" s="2">
        <v>45656</v>
      </c>
      <c r="C2690" t="s">
        <v>103</v>
      </c>
      <c r="D2690">
        <v>41</v>
      </c>
      <c r="J2690" s="58">
        <v>38300</v>
      </c>
    </row>
    <row r="2691" spans="1:10" hidden="1" x14ac:dyDescent="0.35">
      <c r="A2691" s="2">
        <v>45656</v>
      </c>
      <c r="C2691" t="s">
        <v>111</v>
      </c>
      <c r="D2691">
        <v>69</v>
      </c>
      <c r="J2691" s="58">
        <v>65350</v>
      </c>
    </row>
    <row r="2692" spans="1:10" hidden="1" x14ac:dyDescent="0.35">
      <c r="A2692" s="2">
        <v>45656</v>
      </c>
      <c r="C2692" t="s">
        <v>115</v>
      </c>
      <c r="D2692">
        <v>148</v>
      </c>
      <c r="J2692" s="58">
        <v>50000</v>
      </c>
    </row>
    <row r="2693" spans="1:10" hidden="1" x14ac:dyDescent="0.35">
      <c r="A2693" s="2">
        <v>45656</v>
      </c>
      <c r="B2693" t="s">
        <v>36</v>
      </c>
      <c r="C2693" t="s">
        <v>20</v>
      </c>
      <c r="E2693">
        <v>23</v>
      </c>
      <c r="F2693">
        <v>4</v>
      </c>
      <c r="G2693">
        <v>57</v>
      </c>
      <c r="H2693">
        <v>4</v>
      </c>
      <c r="I2693">
        <v>20</v>
      </c>
      <c r="J2693" s="52"/>
    </row>
    <row r="2694" spans="1:10" hidden="1" x14ac:dyDescent="0.35">
      <c r="A2694" s="2">
        <v>45656</v>
      </c>
      <c r="B2694" t="s">
        <v>110</v>
      </c>
      <c r="C2694" t="s">
        <v>20</v>
      </c>
      <c r="E2694">
        <v>16</v>
      </c>
      <c r="F2694">
        <v>2</v>
      </c>
      <c r="G2694">
        <v>23</v>
      </c>
      <c r="H2694">
        <v>2</v>
      </c>
      <c r="I2694">
        <v>8</v>
      </c>
      <c r="J2694" s="52"/>
    </row>
    <row r="2695" spans="1:10" hidden="1" x14ac:dyDescent="0.35">
      <c r="A2695" s="2">
        <v>45656</v>
      </c>
      <c r="B2695" t="s">
        <v>113</v>
      </c>
      <c r="C2695" t="s">
        <v>26</v>
      </c>
      <c r="E2695">
        <v>15</v>
      </c>
      <c r="F2695">
        <v>2</v>
      </c>
      <c r="G2695">
        <v>47</v>
      </c>
      <c r="H2695">
        <v>3</v>
      </c>
      <c r="I2695">
        <v>7</v>
      </c>
      <c r="J2695" s="52"/>
    </row>
    <row r="2696" spans="1:10" hidden="1" x14ac:dyDescent="0.35">
      <c r="A2696" s="2">
        <v>45656</v>
      </c>
      <c r="B2696" t="s">
        <v>113</v>
      </c>
      <c r="C2696" t="s">
        <v>115</v>
      </c>
      <c r="E2696">
        <v>17</v>
      </c>
      <c r="F2696">
        <v>1</v>
      </c>
      <c r="G2696">
        <v>17</v>
      </c>
      <c r="H2696">
        <v>1</v>
      </c>
      <c r="I2696">
        <v>4</v>
      </c>
      <c r="J2696" s="52"/>
    </row>
    <row r="2697" spans="1:10" hidden="1" x14ac:dyDescent="0.35">
      <c r="A2697" s="2">
        <v>45656</v>
      </c>
      <c r="B2697" t="s">
        <v>38</v>
      </c>
      <c r="C2697" t="s">
        <v>18</v>
      </c>
      <c r="E2697">
        <v>8</v>
      </c>
      <c r="F2697">
        <v>9</v>
      </c>
      <c r="G2697">
        <v>26</v>
      </c>
      <c r="H2697">
        <v>18</v>
      </c>
      <c r="I2697">
        <v>12</v>
      </c>
      <c r="J2697" s="52"/>
    </row>
    <row r="2698" spans="1:10" hidden="1" x14ac:dyDescent="0.35">
      <c r="A2698" s="2">
        <v>45656</v>
      </c>
      <c r="B2698" t="s">
        <v>116</v>
      </c>
      <c r="C2698" t="s">
        <v>18</v>
      </c>
      <c r="E2698">
        <v>20</v>
      </c>
      <c r="F2698">
        <v>15</v>
      </c>
      <c r="G2698">
        <v>26</v>
      </c>
      <c r="H2698">
        <v>8</v>
      </c>
      <c r="I2698">
        <v>14</v>
      </c>
      <c r="J2698" s="52"/>
    </row>
    <row r="2699" spans="1:10" hidden="1" x14ac:dyDescent="0.35">
      <c r="A2699" s="2">
        <v>45656</v>
      </c>
      <c r="B2699" t="s">
        <v>122</v>
      </c>
      <c r="C2699" t="s">
        <v>25</v>
      </c>
      <c r="E2699">
        <v>37</v>
      </c>
      <c r="F2699">
        <v>0</v>
      </c>
      <c r="G2699">
        <v>10</v>
      </c>
      <c r="H2699">
        <v>0</v>
      </c>
      <c r="I2699">
        <v>12</v>
      </c>
      <c r="J2699" s="52"/>
    </row>
    <row r="2700" spans="1:10" hidden="1" x14ac:dyDescent="0.35">
      <c r="A2700" s="2">
        <v>45656</v>
      </c>
      <c r="B2700" t="s">
        <v>104</v>
      </c>
      <c r="C2700" t="s">
        <v>23</v>
      </c>
      <c r="E2700">
        <v>2</v>
      </c>
      <c r="F2700">
        <v>0</v>
      </c>
      <c r="G2700">
        <v>8</v>
      </c>
      <c r="H2700">
        <v>3</v>
      </c>
      <c r="I2700">
        <v>1</v>
      </c>
      <c r="J2700" s="52"/>
    </row>
    <row r="2701" spans="1:10" hidden="1" x14ac:dyDescent="0.35">
      <c r="A2701" s="2">
        <v>45656</v>
      </c>
      <c r="B2701" t="s">
        <v>122</v>
      </c>
      <c r="C2701" t="s">
        <v>23</v>
      </c>
      <c r="E2701">
        <v>18</v>
      </c>
      <c r="F2701">
        <v>2</v>
      </c>
      <c r="G2701">
        <v>11</v>
      </c>
      <c r="H2701">
        <v>0</v>
      </c>
      <c r="I2701">
        <v>3</v>
      </c>
      <c r="J2701" s="52"/>
    </row>
    <row r="2702" spans="1:10" hidden="1" x14ac:dyDescent="0.35">
      <c r="A2702" s="2">
        <v>45656</v>
      </c>
      <c r="B2702" t="s">
        <v>96</v>
      </c>
      <c r="C2702" t="s">
        <v>24</v>
      </c>
      <c r="E2702">
        <v>14</v>
      </c>
      <c r="F2702">
        <v>2</v>
      </c>
      <c r="G2702">
        <v>8</v>
      </c>
      <c r="H2702">
        <v>2</v>
      </c>
      <c r="I2702">
        <v>7</v>
      </c>
      <c r="J2702" s="52"/>
    </row>
    <row r="2703" spans="1:10" hidden="1" x14ac:dyDescent="0.35">
      <c r="A2703" s="2">
        <v>45656</v>
      </c>
      <c r="B2703" t="s">
        <v>102</v>
      </c>
      <c r="C2703" t="s">
        <v>24</v>
      </c>
      <c r="E2703">
        <v>1</v>
      </c>
      <c r="F2703">
        <v>0</v>
      </c>
      <c r="G2703">
        <v>2</v>
      </c>
      <c r="H2703">
        <v>0</v>
      </c>
      <c r="I2703">
        <v>1</v>
      </c>
      <c r="J2703" s="52"/>
    </row>
    <row r="2704" spans="1:10" hidden="1" x14ac:dyDescent="0.35">
      <c r="A2704" s="2">
        <v>45656</v>
      </c>
      <c r="B2704" t="s">
        <v>101</v>
      </c>
      <c r="C2704" t="s">
        <v>24</v>
      </c>
      <c r="E2704">
        <v>2</v>
      </c>
      <c r="F2704">
        <v>0</v>
      </c>
      <c r="G2704">
        <v>0</v>
      </c>
      <c r="H2704">
        <v>0</v>
      </c>
      <c r="I2704">
        <v>2</v>
      </c>
      <c r="J2704" s="52"/>
    </row>
    <row r="2705" spans="1:10" hidden="1" x14ac:dyDescent="0.35">
      <c r="A2705" s="2">
        <v>45656</v>
      </c>
      <c r="B2705" t="s">
        <v>96</v>
      </c>
      <c r="C2705" t="s">
        <v>37</v>
      </c>
      <c r="E2705">
        <v>3</v>
      </c>
      <c r="F2705">
        <v>0</v>
      </c>
      <c r="G2705">
        <v>3</v>
      </c>
      <c r="H2705">
        <v>0</v>
      </c>
      <c r="I2705">
        <v>2</v>
      </c>
      <c r="J2705" s="52"/>
    </row>
    <row r="2706" spans="1:10" hidden="1" x14ac:dyDescent="0.35">
      <c r="A2706" s="2">
        <v>45656</v>
      </c>
      <c r="B2706" t="s">
        <v>101</v>
      </c>
      <c r="C2706" t="s">
        <v>37</v>
      </c>
      <c r="E2706">
        <v>11</v>
      </c>
      <c r="F2706">
        <v>4</v>
      </c>
      <c r="G2706">
        <v>7</v>
      </c>
      <c r="H2706">
        <v>0</v>
      </c>
      <c r="I2706">
        <v>4</v>
      </c>
      <c r="J2706" s="52"/>
    </row>
    <row r="2707" spans="1:10" hidden="1" x14ac:dyDescent="0.35">
      <c r="A2707" s="2">
        <v>45656</v>
      </c>
      <c r="B2707" t="s">
        <v>102</v>
      </c>
      <c r="C2707" t="s">
        <v>37</v>
      </c>
      <c r="E2707">
        <v>17</v>
      </c>
      <c r="F2707">
        <v>5</v>
      </c>
      <c r="G2707">
        <v>27</v>
      </c>
      <c r="H2707">
        <v>3</v>
      </c>
      <c r="I2707">
        <v>9</v>
      </c>
      <c r="J2707" s="52"/>
    </row>
    <row r="2708" spans="1:10" hidden="1" x14ac:dyDescent="0.35">
      <c r="A2708" s="2">
        <v>45656</v>
      </c>
      <c r="B2708" t="s">
        <v>112</v>
      </c>
      <c r="C2708" t="s">
        <v>19</v>
      </c>
      <c r="E2708">
        <v>27</v>
      </c>
      <c r="F2708">
        <v>7</v>
      </c>
      <c r="G2708">
        <v>38</v>
      </c>
      <c r="H2708">
        <v>5</v>
      </c>
      <c r="I2708">
        <v>14</v>
      </c>
      <c r="J2708" s="52"/>
    </row>
    <row r="2709" spans="1:10" hidden="1" x14ac:dyDescent="0.35">
      <c r="A2709" s="2">
        <v>45656</v>
      </c>
      <c r="B2709" t="s">
        <v>40</v>
      </c>
      <c r="C2709" t="s">
        <v>19</v>
      </c>
      <c r="E2709">
        <v>16</v>
      </c>
      <c r="F2709">
        <v>6</v>
      </c>
      <c r="G2709">
        <v>28</v>
      </c>
      <c r="H2709">
        <v>0</v>
      </c>
      <c r="I2709">
        <v>11</v>
      </c>
      <c r="J2709" s="52"/>
    </row>
    <row r="2710" spans="1:10" hidden="1" x14ac:dyDescent="0.35">
      <c r="A2710" s="2">
        <v>45656</v>
      </c>
      <c r="B2710" t="s">
        <v>121</v>
      </c>
      <c r="C2710" t="s">
        <v>22</v>
      </c>
      <c r="E2710">
        <v>28</v>
      </c>
      <c r="F2710">
        <v>15</v>
      </c>
      <c r="G2710">
        <v>25</v>
      </c>
      <c r="H2710">
        <v>6</v>
      </c>
      <c r="I2710">
        <v>13</v>
      </c>
      <c r="J2710" s="52"/>
    </row>
    <row r="2711" spans="1:10" hidden="1" x14ac:dyDescent="0.35">
      <c r="A2711" s="2">
        <v>45656</v>
      </c>
      <c r="B2711" t="s">
        <v>95</v>
      </c>
      <c r="C2711" t="s">
        <v>22</v>
      </c>
      <c r="E2711">
        <v>6</v>
      </c>
      <c r="F2711">
        <v>4</v>
      </c>
      <c r="G2711">
        <v>15</v>
      </c>
      <c r="H2711">
        <v>4</v>
      </c>
      <c r="I2711">
        <v>5</v>
      </c>
      <c r="J2711" s="52"/>
    </row>
    <row r="2712" spans="1:10" hidden="1" x14ac:dyDescent="0.35">
      <c r="A2712" s="2">
        <v>45656</v>
      </c>
      <c r="B2712" t="s">
        <v>43</v>
      </c>
      <c r="C2712" t="s">
        <v>27</v>
      </c>
      <c r="E2712">
        <v>11</v>
      </c>
      <c r="F2712">
        <v>0</v>
      </c>
      <c r="G2712">
        <v>19</v>
      </c>
      <c r="H2712">
        <v>0</v>
      </c>
      <c r="I2712">
        <v>9</v>
      </c>
      <c r="J2712" s="52"/>
    </row>
    <row r="2713" spans="1:10" hidden="1" x14ac:dyDescent="0.35">
      <c r="A2713" s="2">
        <v>45656</v>
      </c>
      <c r="B2713" t="s">
        <v>84</v>
      </c>
      <c r="C2713" t="s">
        <v>27</v>
      </c>
      <c r="E2713">
        <v>13</v>
      </c>
      <c r="F2713">
        <v>0</v>
      </c>
      <c r="G2713">
        <v>28</v>
      </c>
      <c r="H2713">
        <v>0</v>
      </c>
      <c r="I2713">
        <v>11</v>
      </c>
      <c r="J2713" s="52"/>
    </row>
    <row r="2714" spans="1:10" hidden="1" x14ac:dyDescent="0.35">
      <c r="A2714" s="2">
        <v>45656</v>
      </c>
      <c r="B2714" t="s">
        <v>101</v>
      </c>
      <c r="C2714" t="s">
        <v>9</v>
      </c>
      <c r="E2714">
        <v>21</v>
      </c>
      <c r="F2714">
        <v>0</v>
      </c>
      <c r="G2714">
        <v>8</v>
      </c>
      <c r="H2714">
        <v>1</v>
      </c>
      <c r="I2714">
        <v>9</v>
      </c>
      <c r="J2714" s="52"/>
    </row>
    <row r="2715" spans="1:10" hidden="1" x14ac:dyDescent="0.35">
      <c r="A2715" s="2">
        <v>45656</v>
      </c>
      <c r="B2715" t="s">
        <v>75</v>
      </c>
      <c r="C2715" t="s">
        <v>21</v>
      </c>
      <c r="E2715">
        <v>16</v>
      </c>
      <c r="F2715">
        <v>4</v>
      </c>
      <c r="G2715">
        <v>17</v>
      </c>
      <c r="H2715">
        <v>5</v>
      </c>
      <c r="I2715">
        <v>8</v>
      </c>
      <c r="J2715" s="52"/>
    </row>
    <row r="2716" spans="1:10" hidden="1" x14ac:dyDescent="0.35">
      <c r="A2716" s="2">
        <v>45656</v>
      </c>
      <c r="B2716" t="s">
        <v>120</v>
      </c>
      <c r="C2716" t="s">
        <v>21</v>
      </c>
      <c r="E2716">
        <v>0</v>
      </c>
      <c r="F2716">
        <v>1</v>
      </c>
      <c r="G2716">
        <v>0</v>
      </c>
      <c r="H2716">
        <v>0</v>
      </c>
      <c r="I2716">
        <v>1</v>
      </c>
      <c r="J2716" s="52"/>
    </row>
    <row r="2717" spans="1:10" hidden="1" x14ac:dyDescent="0.35">
      <c r="A2717" s="2">
        <v>45656</v>
      </c>
      <c r="B2717" t="s">
        <v>117</v>
      </c>
      <c r="C2717" t="s">
        <v>54</v>
      </c>
      <c r="E2717">
        <v>19</v>
      </c>
      <c r="F2717">
        <v>10</v>
      </c>
      <c r="G2717">
        <v>13</v>
      </c>
      <c r="H2717">
        <v>3</v>
      </c>
      <c r="I2717">
        <v>7</v>
      </c>
      <c r="J2717" s="52"/>
    </row>
    <row r="2718" spans="1:10" hidden="1" x14ac:dyDescent="0.35">
      <c r="A2718" s="2">
        <v>45656</v>
      </c>
      <c r="B2718" t="s">
        <v>57</v>
      </c>
      <c r="C2718" t="s">
        <v>55</v>
      </c>
      <c r="E2718">
        <v>0</v>
      </c>
      <c r="F2718">
        <v>3</v>
      </c>
      <c r="G2718">
        <v>0</v>
      </c>
      <c r="H2718">
        <v>0</v>
      </c>
      <c r="I2718">
        <v>0</v>
      </c>
      <c r="J2718" s="52"/>
    </row>
    <row r="2719" spans="1:10" hidden="1" x14ac:dyDescent="0.35">
      <c r="A2719" s="2">
        <v>45656</v>
      </c>
      <c r="B2719" t="s">
        <v>123</v>
      </c>
      <c r="C2719" t="s">
        <v>55</v>
      </c>
      <c r="E2719">
        <v>25</v>
      </c>
      <c r="F2719">
        <v>2</v>
      </c>
      <c r="G2719">
        <v>14</v>
      </c>
      <c r="H2719">
        <v>1</v>
      </c>
      <c r="I2719">
        <v>9</v>
      </c>
      <c r="J2719" s="52"/>
    </row>
    <row r="2720" spans="1:10" hidden="1" x14ac:dyDescent="0.35">
      <c r="A2720" s="2">
        <v>45656</v>
      </c>
      <c r="B2720" t="s">
        <v>107</v>
      </c>
      <c r="C2720" t="s">
        <v>58</v>
      </c>
      <c r="E2720">
        <v>42</v>
      </c>
      <c r="F2720">
        <v>14</v>
      </c>
      <c r="G2720">
        <v>29</v>
      </c>
      <c r="H2720">
        <v>11</v>
      </c>
      <c r="I2720">
        <v>11</v>
      </c>
      <c r="J2720" s="52"/>
    </row>
    <row r="2721" spans="1:10" hidden="1" x14ac:dyDescent="0.35">
      <c r="A2721" s="2">
        <v>45656</v>
      </c>
      <c r="B2721" t="s">
        <v>64</v>
      </c>
      <c r="C2721" t="s">
        <v>62</v>
      </c>
      <c r="E2721">
        <v>9</v>
      </c>
      <c r="F2721">
        <v>1</v>
      </c>
      <c r="G2721">
        <v>13</v>
      </c>
      <c r="H2721">
        <v>9</v>
      </c>
      <c r="I2721">
        <v>6</v>
      </c>
      <c r="J2721" s="52"/>
    </row>
    <row r="2722" spans="1:10" hidden="1" x14ac:dyDescent="0.35">
      <c r="A2722" s="2">
        <v>45656</v>
      </c>
      <c r="B2722" t="s">
        <v>97</v>
      </c>
      <c r="C2722" t="s">
        <v>61</v>
      </c>
      <c r="E2722">
        <v>10</v>
      </c>
      <c r="F2722">
        <v>1</v>
      </c>
      <c r="G2722">
        <v>6</v>
      </c>
      <c r="H2722">
        <v>1</v>
      </c>
      <c r="I2722">
        <v>2</v>
      </c>
      <c r="J2722" s="52"/>
    </row>
    <row r="2723" spans="1:10" hidden="1" x14ac:dyDescent="0.35">
      <c r="A2723" s="2">
        <v>45656</v>
      </c>
      <c r="B2723" t="s">
        <v>118</v>
      </c>
      <c r="C2723" t="s">
        <v>61</v>
      </c>
      <c r="E2723">
        <v>15</v>
      </c>
      <c r="F2723">
        <v>0</v>
      </c>
      <c r="G2723">
        <v>4</v>
      </c>
      <c r="H2723">
        <v>0</v>
      </c>
      <c r="I2723">
        <v>1</v>
      </c>
      <c r="J2723" s="52"/>
    </row>
    <row r="2724" spans="1:10" hidden="1" x14ac:dyDescent="0.35">
      <c r="A2724" s="2">
        <v>45656</v>
      </c>
      <c r="B2724" t="s">
        <v>118</v>
      </c>
      <c r="C2724" t="s">
        <v>91</v>
      </c>
      <c r="E2724">
        <v>15</v>
      </c>
      <c r="F2724">
        <v>1</v>
      </c>
      <c r="G2724">
        <v>7</v>
      </c>
      <c r="H2724">
        <v>1</v>
      </c>
      <c r="I2724">
        <v>6</v>
      </c>
      <c r="J2724" s="52"/>
    </row>
    <row r="2725" spans="1:10" hidden="1" x14ac:dyDescent="0.35">
      <c r="A2725" s="2">
        <v>45656</v>
      </c>
      <c r="B2725" t="s">
        <v>97</v>
      </c>
      <c r="C2725" t="s">
        <v>91</v>
      </c>
      <c r="E2725">
        <v>1</v>
      </c>
      <c r="F2725">
        <v>0</v>
      </c>
      <c r="G2725">
        <v>0</v>
      </c>
      <c r="H2725">
        <v>0</v>
      </c>
      <c r="I2725">
        <v>0</v>
      </c>
      <c r="J2725" s="52"/>
    </row>
    <row r="2726" spans="1:10" hidden="1" x14ac:dyDescent="0.35">
      <c r="A2726" s="2">
        <v>45656</v>
      </c>
      <c r="B2726" t="s">
        <v>119</v>
      </c>
      <c r="C2726" t="s">
        <v>63</v>
      </c>
      <c r="E2726" s="44">
        <v>14</v>
      </c>
      <c r="F2726" s="44">
        <v>5</v>
      </c>
      <c r="G2726" s="44">
        <v>16</v>
      </c>
      <c r="H2726" s="44">
        <v>5</v>
      </c>
      <c r="I2726">
        <v>15</v>
      </c>
      <c r="J2726" s="52"/>
    </row>
    <row r="2727" spans="1:10" hidden="1" x14ac:dyDescent="0.35">
      <c r="A2727" s="2">
        <v>45656</v>
      </c>
      <c r="B2727" t="s">
        <v>77</v>
      </c>
      <c r="C2727" t="s">
        <v>73</v>
      </c>
      <c r="E2727">
        <v>9</v>
      </c>
      <c r="F2727">
        <v>10</v>
      </c>
      <c r="G2727">
        <v>15</v>
      </c>
      <c r="H2727">
        <v>10</v>
      </c>
      <c r="I2727">
        <v>10</v>
      </c>
      <c r="J2727" s="52"/>
    </row>
    <row r="2728" spans="1:10" hidden="1" x14ac:dyDescent="0.35">
      <c r="A2728" s="2">
        <v>45656</v>
      </c>
      <c r="B2728" t="s">
        <v>110</v>
      </c>
      <c r="C2728" t="s">
        <v>81</v>
      </c>
      <c r="E2728">
        <v>19</v>
      </c>
      <c r="F2728">
        <v>2</v>
      </c>
      <c r="G2728">
        <v>16</v>
      </c>
      <c r="H2728">
        <v>0</v>
      </c>
      <c r="I2728">
        <v>10</v>
      </c>
      <c r="J2728" s="52"/>
    </row>
    <row r="2729" spans="1:10" hidden="1" x14ac:dyDescent="0.35">
      <c r="A2729" s="2">
        <v>45656</v>
      </c>
      <c r="B2729" t="s">
        <v>85</v>
      </c>
      <c r="C2729" t="s">
        <v>83</v>
      </c>
      <c r="E2729">
        <v>18</v>
      </c>
      <c r="F2729">
        <v>3</v>
      </c>
      <c r="G2729">
        <v>15</v>
      </c>
      <c r="H2729">
        <v>4</v>
      </c>
      <c r="I2729">
        <v>10</v>
      </c>
      <c r="J2729" s="52"/>
    </row>
    <row r="2730" spans="1:10" hidden="1" x14ac:dyDescent="0.35">
      <c r="A2730" s="2">
        <v>45656</v>
      </c>
      <c r="B2730" t="s">
        <v>89</v>
      </c>
      <c r="C2730" t="s">
        <v>87</v>
      </c>
      <c r="E2730">
        <v>8</v>
      </c>
      <c r="F2730">
        <v>0</v>
      </c>
      <c r="G2730">
        <v>20</v>
      </c>
      <c r="H2730">
        <v>0</v>
      </c>
      <c r="I2730">
        <v>8</v>
      </c>
      <c r="J2730" s="52"/>
    </row>
    <row r="2731" spans="1:10" hidden="1" x14ac:dyDescent="0.35">
      <c r="A2731" s="2">
        <v>45656</v>
      </c>
      <c r="B2731" t="s">
        <v>98</v>
      </c>
      <c r="C2731" t="s">
        <v>94</v>
      </c>
      <c r="E2731">
        <v>22</v>
      </c>
      <c r="F2731">
        <v>2</v>
      </c>
      <c r="G2731">
        <v>23</v>
      </c>
      <c r="H2731">
        <v>2</v>
      </c>
      <c r="I2731">
        <v>8</v>
      </c>
      <c r="J2731" s="52"/>
    </row>
    <row r="2732" spans="1:10" hidden="1" x14ac:dyDescent="0.35">
      <c r="A2732" s="2">
        <v>45656</v>
      </c>
      <c r="B2732" t="s">
        <v>106</v>
      </c>
      <c r="C2732" t="s">
        <v>103</v>
      </c>
      <c r="E2732">
        <v>3</v>
      </c>
      <c r="F2732">
        <v>0</v>
      </c>
      <c r="G2732">
        <v>2</v>
      </c>
      <c r="H2732">
        <v>0</v>
      </c>
      <c r="I2732">
        <v>3</v>
      </c>
      <c r="J2732" s="52"/>
    </row>
    <row r="2733" spans="1:10" hidden="1" x14ac:dyDescent="0.35">
      <c r="A2733" s="2">
        <v>45656</v>
      </c>
      <c r="B2733" t="s">
        <v>114</v>
      </c>
      <c r="C2733" t="s">
        <v>111</v>
      </c>
      <c r="E2733">
        <v>11</v>
      </c>
      <c r="F2733">
        <v>2</v>
      </c>
      <c r="G2733">
        <v>8</v>
      </c>
      <c r="H2733">
        <v>5</v>
      </c>
      <c r="I2733">
        <v>5</v>
      </c>
      <c r="J2733" s="52"/>
    </row>
    <row r="2734" spans="1:10" hidden="1" x14ac:dyDescent="0.35">
      <c r="A2734" s="2">
        <v>45687</v>
      </c>
      <c r="C2734" t="s">
        <v>24</v>
      </c>
      <c r="D2734">
        <v>237</v>
      </c>
      <c r="J2734" s="58">
        <v>81900</v>
      </c>
    </row>
    <row r="2735" spans="1:10" hidden="1" x14ac:dyDescent="0.35">
      <c r="A2735" s="2">
        <v>45687</v>
      </c>
      <c r="C2735" t="s">
        <v>9</v>
      </c>
      <c r="D2735">
        <v>170</v>
      </c>
      <c r="J2735" s="58">
        <v>139200</v>
      </c>
    </row>
    <row r="2736" spans="1:10" hidden="1" x14ac:dyDescent="0.35">
      <c r="A2736" s="2">
        <v>45687</v>
      </c>
      <c r="C2736" t="s">
        <v>37</v>
      </c>
      <c r="D2736">
        <v>400</v>
      </c>
      <c r="J2736" s="58">
        <v>357750</v>
      </c>
    </row>
    <row r="2737" spans="1:10" hidden="1" x14ac:dyDescent="0.35">
      <c r="A2737" s="2">
        <v>45687</v>
      </c>
      <c r="C2737" t="s">
        <v>23</v>
      </c>
      <c r="D2737">
        <v>167</v>
      </c>
      <c r="J2737" s="58">
        <v>136900</v>
      </c>
    </row>
    <row r="2738" spans="1:10" hidden="1" x14ac:dyDescent="0.35">
      <c r="A2738" s="2">
        <v>45687</v>
      </c>
      <c r="C2738" t="s">
        <v>27</v>
      </c>
      <c r="D2738">
        <v>414</v>
      </c>
      <c r="J2738" s="58">
        <v>493900</v>
      </c>
    </row>
    <row r="2739" spans="1:10" hidden="1" x14ac:dyDescent="0.35">
      <c r="A2739" s="2">
        <v>45687</v>
      </c>
      <c r="C2739" t="s">
        <v>26</v>
      </c>
      <c r="D2739">
        <v>119</v>
      </c>
      <c r="J2739" s="58">
        <v>171400</v>
      </c>
    </row>
    <row r="2740" spans="1:10" hidden="1" x14ac:dyDescent="0.35">
      <c r="A2740" s="2">
        <v>45687</v>
      </c>
      <c r="C2740" t="s">
        <v>20</v>
      </c>
      <c r="D2740">
        <v>250</v>
      </c>
      <c r="J2740" s="58">
        <v>459400</v>
      </c>
    </row>
    <row r="2741" spans="1:10" hidden="1" x14ac:dyDescent="0.35">
      <c r="A2741" s="2">
        <v>45687</v>
      </c>
      <c r="C2741" t="s">
        <v>25</v>
      </c>
      <c r="D2741">
        <v>153</v>
      </c>
      <c r="J2741" s="58">
        <v>107400</v>
      </c>
    </row>
    <row r="2742" spans="1:10" hidden="1" x14ac:dyDescent="0.35">
      <c r="A2742" s="2">
        <v>45687</v>
      </c>
      <c r="C2742" t="s">
        <v>19</v>
      </c>
      <c r="D2742">
        <v>292</v>
      </c>
      <c r="J2742" s="58">
        <v>400250</v>
      </c>
    </row>
    <row r="2743" spans="1:10" hidden="1" x14ac:dyDescent="0.35">
      <c r="A2743" s="2">
        <v>45687</v>
      </c>
      <c r="C2743" t="s">
        <v>21</v>
      </c>
      <c r="D2743">
        <v>366</v>
      </c>
      <c r="J2743" s="58">
        <v>96850</v>
      </c>
    </row>
    <row r="2744" spans="1:10" hidden="1" x14ac:dyDescent="0.35">
      <c r="A2744" s="2">
        <v>45687</v>
      </c>
      <c r="C2744" t="s">
        <v>18</v>
      </c>
      <c r="D2744">
        <v>448</v>
      </c>
      <c r="J2744" s="58">
        <v>546300</v>
      </c>
    </row>
    <row r="2745" spans="1:10" hidden="1" x14ac:dyDescent="0.35">
      <c r="A2745" s="2">
        <v>45687</v>
      </c>
      <c r="C2745" t="s">
        <v>22</v>
      </c>
      <c r="D2745">
        <v>280</v>
      </c>
      <c r="J2745" s="58">
        <v>406100</v>
      </c>
    </row>
    <row r="2746" spans="1:10" hidden="1" x14ac:dyDescent="0.35">
      <c r="A2746" s="2">
        <v>45687</v>
      </c>
      <c r="C2746" t="s">
        <v>54</v>
      </c>
      <c r="D2746">
        <v>180</v>
      </c>
      <c r="J2746" s="58">
        <v>138200</v>
      </c>
    </row>
    <row r="2747" spans="1:10" hidden="1" x14ac:dyDescent="0.35">
      <c r="A2747" s="2">
        <v>45687</v>
      </c>
      <c r="C2747" t="s">
        <v>55</v>
      </c>
      <c r="D2747">
        <v>169</v>
      </c>
      <c r="J2747" s="58">
        <v>249950</v>
      </c>
    </row>
    <row r="2748" spans="1:10" hidden="1" x14ac:dyDescent="0.35">
      <c r="A2748" s="2">
        <v>45687</v>
      </c>
      <c r="C2748" t="s">
        <v>58</v>
      </c>
      <c r="D2748">
        <v>303</v>
      </c>
      <c r="J2748" s="58">
        <v>216300</v>
      </c>
    </row>
    <row r="2749" spans="1:10" hidden="1" x14ac:dyDescent="0.35">
      <c r="A2749" s="2">
        <v>45687</v>
      </c>
      <c r="C2749" t="s">
        <v>62</v>
      </c>
      <c r="D2749">
        <v>127</v>
      </c>
      <c r="J2749" s="58">
        <v>93850</v>
      </c>
    </row>
    <row r="2750" spans="1:10" hidden="1" x14ac:dyDescent="0.35">
      <c r="A2750" s="2">
        <v>45687</v>
      </c>
      <c r="C2750" t="s">
        <v>61</v>
      </c>
      <c r="D2750">
        <v>139</v>
      </c>
      <c r="J2750" s="58">
        <v>139490</v>
      </c>
    </row>
    <row r="2751" spans="1:10" hidden="1" x14ac:dyDescent="0.35">
      <c r="A2751" s="2">
        <v>45687</v>
      </c>
      <c r="C2751" t="s">
        <v>63</v>
      </c>
      <c r="D2751">
        <v>106</v>
      </c>
      <c r="J2751" s="58">
        <v>250700</v>
      </c>
    </row>
    <row r="2752" spans="1:10" hidden="1" x14ac:dyDescent="0.35">
      <c r="A2752" s="2">
        <v>45687</v>
      </c>
      <c r="C2752" t="s">
        <v>73</v>
      </c>
      <c r="D2752">
        <v>185</v>
      </c>
      <c r="J2752" s="58">
        <v>104500</v>
      </c>
    </row>
    <row r="2753" spans="1:10" hidden="1" x14ac:dyDescent="0.35">
      <c r="A2753" s="2">
        <v>45687</v>
      </c>
      <c r="C2753" t="s">
        <v>81</v>
      </c>
      <c r="D2753">
        <v>145</v>
      </c>
      <c r="J2753" s="58">
        <v>142500</v>
      </c>
    </row>
    <row r="2754" spans="1:10" hidden="1" x14ac:dyDescent="0.35">
      <c r="A2754" s="2">
        <v>45687</v>
      </c>
      <c r="C2754" t="s">
        <v>83</v>
      </c>
      <c r="D2754">
        <v>118</v>
      </c>
      <c r="J2754" s="58">
        <v>132600</v>
      </c>
    </row>
    <row r="2755" spans="1:10" hidden="1" x14ac:dyDescent="0.35">
      <c r="A2755" s="2">
        <v>45687</v>
      </c>
      <c r="C2755" t="s">
        <v>87</v>
      </c>
      <c r="D2755">
        <v>134</v>
      </c>
      <c r="J2755" s="58">
        <v>51500</v>
      </c>
    </row>
    <row r="2756" spans="1:10" hidden="1" x14ac:dyDescent="0.35">
      <c r="A2756" s="2">
        <v>45687</v>
      </c>
      <c r="C2756" t="s">
        <v>91</v>
      </c>
      <c r="D2756">
        <v>158</v>
      </c>
      <c r="J2756" s="58">
        <v>89900</v>
      </c>
    </row>
    <row r="2757" spans="1:10" hidden="1" x14ac:dyDescent="0.35">
      <c r="A2757" s="2">
        <v>45687</v>
      </c>
      <c r="C2757" t="s">
        <v>94</v>
      </c>
      <c r="D2757">
        <v>189</v>
      </c>
      <c r="J2757" s="58">
        <v>156750</v>
      </c>
    </row>
    <row r="2758" spans="1:10" hidden="1" x14ac:dyDescent="0.35">
      <c r="A2758" s="2">
        <v>45687</v>
      </c>
      <c r="C2758" t="s">
        <v>111</v>
      </c>
      <c r="D2758">
        <v>25</v>
      </c>
      <c r="J2758" s="58">
        <v>63000</v>
      </c>
    </row>
    <row r="2759" spans="1:10" hidden="1" x14ac:dyDescent="0.35">
      <c r="A2759" s="2">
        <v>45687</v>
      </c>
      <c r="C2759" t="s">
        <v>115</v>
      </c>
      <c r="D2759">
        <v>155</v>
      </c>
      <c r="J2759" s="58">
        <v>101400</v>
      </c>
    </row>
    <row r="2760" spans="1:10" hidden="1" x14ac:dyDescent="0.35">
      <c r="A2760" s="2">
        <v>45687</v>
      </c>
      <c r="B2760" t="s">
        <v>36</v>
      </c>
      <c r="C2760" t="s">
        <v>20</v>
      </c>
      <c r="E2760">
        <v>24</v>
      </c>
      <c r="F2760">
        <v>3</v>
      </c>
      <c r="G2760">
        <v>61</v>
      </c>
      <c r="H2760">
        <v>7</v>
      </c>
      <c r="I2760">
        <v>13</v>
      </c>
      <c r="J2760" s="52"/>
    </row>
    <row r="2761" spans="1:10" hidden="1" x14ac:dyDescent="0.35">
      <c r="A2761" s="2">
        <v>45687</v>
      </c>
      <c r="B2761" t="s">
        <v>110</v>
      </c>
      <c r="C2761" t="s">
        <v>20</v>
      </c>
      <c r="E2761">
        <v>39</v>
      </c>
      <c r="F2761">
        <v>2</v>
      </c>
      <c r="G2761">
        <v>17</v>
      </c>
      <c r="H2761">
        <v>2</v>
      </c>
      <c r="I2761">
        <v>18</v>
      </c>
      <c r="J2761" s="52"/>
    </row>
    <row r="2762" spans="1:10" hidden="1" x14ac:dyDescent="0.35">
      <c r="A2762" s="2">
        <v>45687</v>
      </c>
      <c r="B2762" t="s">
        <v>113</v>
      </c>
      <c r="C2762" t="s">
        <v>26</v>
      </c>
      <c r="E2762">
        <v>23</v>
      </c>
      <c r="F2762">
        <v>4</v>
      </c>
      <c r="G2762">
        <v>52</v>
      </c>
      <c r="H2762">
        <v>6</v>
      </c>
      <c r="I2762">
        <v>13</v>
      </c>
      <c r="J2762" s="52"/>
    </row>
    <row r="2763" spans="1:10" hidden="1" x14ac:dyDescent="0.35">
      <c r="A2763" s="2">
        <v>45687</v>
      </c>
      <c r="B2763" t="s">
        <v>113</v>
      </c>
      <c r="C2763" t="s">
        <v>115</v>
      </c>
      <c r="E2763">
        <v>10</v>
      </c>
      <c r="F2763">
        <v>1</v>
      </c>
      <c r="G2763">
        <v>12</v>
      </c>
      <c r="H2763">
        <v>1</v>
      </c>
      <c r="I2763">
        <v>8</v>
      </c>
      <c r="J2763" s="52"/>
    </row>
    <row r="2764" spans="1:10" hidden="1" x14ac:dyDescent="0.35">
      <c r="A2764" s="2">
        <v>45687</v>
      </c>
      <c r="B2764" t="s">
        <v>38</v>
      </c>
      <c r="C2764" t="s">
        <v>18</v>
      </c>
      <c r="E2764">
        <v>14</v>
      </c>
      <c r="F2764">
        <v>10</v>
      </c>
      <c r="G2764">
        <v>20</v>
      </c>
      <c r="H2764">
        <v>6</v>
      </c>
      <c r="I2764">
        <v>18</v>
      </c>
      <c r="J2764" s="52"/>
    </row>
    <row r="2765" spans="1:10" hidden="1" x14ac:dyDescent="0.35">
      <c r="A2765" s="2">
        <v>45687</v>
      </c>
      <c r="B2765" t="s">
        <v>116</v>
      </c>
      <c r="C2765" t="s">
        <v>18</v>
      </c>
      <c r="E2765">
        <v>26</v>
      </c>
      <c r="F2765">
        <v>25</v>
      </c>
      <c r="G2765">
        <v>28</v>
      </c>
      <c r="H2765">
        <v>6</v>
      </c>
      <c r="I2765">
        <v>22</v>
      </c>
      <c r="J2765" s="52"/>
    </row>
    <row r="2766" spans="1:10" hidden="1" x14ac:dyDescent="0.35">
      <c r="A2766" s="2">
        <v>45687</v>
      </c>
      <c r="B2766" t="s">
        <v>122</v>
      </c>
      <c r="C2766" t="s">
        <v>25</v>
      </c>
      <c r="E2766">
        <v>30</v>
      </c>
      <c r="F2766">
        <v>0</v>
      </c>
      <c r="G2766">
        <v>23</v>
      </c>
      <c r="H2766">
        <v>0</v>
      </c>
      <c r="I2766">
        <v>8</v>
      </c>
      <c r="J2766" s="52"/>
    </row>
    <row r="2767" spans="1:10" hidden="1" x14ac:dyDescent="0.35">
      <c r="A2767" s="2">
        <v>45687</v>
      </c>
      <c r="B2767" t="s">
        <v>104</v>
      </c>
      <c r="C2767" t="s">
        <v>23</v>
      </c>
      <c r="E2767">
        <v>6</v>
      </c>
      <c r="F2767">
        <v>0</v>
      </c>
      <c r="G2767">
        <v>5</v>
      </c>
      <c r="H2767">
        <v>0</v>
      </c>
      <c r="I2767">
        <v>1</v>
      </c>
      <c r="J2767" s="52"/>
    </row>
    <row r="2768" spans="1:10" hidden="1" x14ac:dyDescent="0.35">
      <c r="A2768" s="2">
        <v>45687</v>
      </c>
      <c r="B2768" t="s">
        <v>122</v>
      </c>
      <c r="C2768" t="s">
        <v>23</v>
      </c>
      <c r="E2768">
        <v>17</v>
      </c>
      <c r="F2768">
        <v>1</v>
      </c>
      <c r="G2768">
        <v>19</v>
      </c>
      <c r="H2768">
        <v>0</v>
      </c>
      <c r="I2768">
        <v>9</v>
      </c>
      <c r="J2768" s="52"/>
    </row>
    <row r="2769" spans="1:10" hidden="1" x14ac:dyDescent="0.35">
      <c r="A2769" s="2">
        <v>45687</v>
      </c>
      <c r="B2769" t="s">
        <v>101</v>
      </c>
      <c r="C2769" t="s">
        <v>23</v>
      </c>
      <c r="E2769">
        <v>1</v>
      </c>
      <c r="F2769">
        <v>0</v>
      </c>
      <c r="G2769">
        <v>0</v>
      </c>
      <c r="H2769">
        <v>0</v>
      </c>
      <c r="I2769">
        <v>1</v>
      </c>
      <c r="J2769" s="52"/>
    </row>
    <row r="2770" spans="1:10" hidden="1" x14ac:dyDescent="0.35">
      <c r="A2770" s="2">
        <v>45687</v>
      </c>
      <c r="B2770" t="s">
        <v>96</v>
      </c>
      <c r="C2770" t="s">
        <v>24</v>
      </c>
      <c r="E2770">
        <v>23</v>
      </c>
      <c r="F2770">
        <v>2</v>
      </c>
      <c r="G2770">
        <v>8</v>
      </c>
      <c r="H2770">
        <v>2</v>
      </c>
      <c r="I2770">
        <v>6</v>
      </c>
      <c r="J2770" s="52"/>
    </row>
    <row r="2771" spans="1:10" hidden="1" x14ac:dyDescent="0.35">
      <c r="A2771" s="2">
        <v>45687</v>
      </c>
      <c r="B2771" t="s">
        <v>96</v>
      </c>
      <c r="C2771" t="s">
        <v>37</v>
      </c>
      <c r="E2771">
        <v>2</v>
      </c>
      <c r="F2771">
        <v>0</v>
      </c>
      <c r="G2771">
        <v>1</v>
      </c>
      <c r="H2771">
        <v>1</v>
      </c>
      <c r="I2771">
        <v>2</v>
      </c>
      <c r="J2771" s="52"/>
    </row>
    <row r="2772" spans="1:10" hidden="1" x14ac:dyDescent="0.35">
      <c r="A2772" s="2">
        <v>45687</v>
      </c>
      <c r="B2772" t="s">
        <v>101</v>
      </c>
      <c r="C2772" t="s">
        <v>37</v>
      </c>
      <c r="E2772">
        <v>22</v>
      </c>
      <c r="F2772">
        <v>2</v>
      </c>
      <c r="G2772">
        <v>8</v>
      </c>
      <c r="H2772">
        <v>1</v>
      </c>
      <c r="I2772">
        <v>8</v>
      </c>
      <c r="J2772" s="52"/>
    </row>
    <row r="2773" spans="1:10" hidden="1" x14ac:dyDescent="0.35">
      <c r="A2773" s="2">
        <v>45687</v>
      </c>
      <c r="B2773" t="s">
        <v>102</v>
      </c>
      <c r="C2773" t="s">
        <v>37</v>
      </c>
      <c r="E2773">
        <v>19</v>
      </c>
      <c r="F2773">
        <v>4</v>
      </c>
      <c r="G2773">
        <v>37</v>
      </c>
      <c r="H2773">
        <v>3</v>
      </c>
      <c r="I2773">
        <v>16</v>
      </c>
      <c r="J2773" s="52"/>
    </row>
    <row r="2774" spans="1:10" hidden="1" x14ac:dyDescent="0.35">
      <c r="A2774" s="2">
        <v>45687</v>
      </c>
      <c r="B2774" t="s">
        <v>112</v>
      </c>
      <c r="C2774" t="s">
        <v>19</v>
      </c>
      <c r="E2774">
        <v>41</v>
      </c>
      <c r="F2774">
        <v>11</v>
      </c>
      <c r="G2774">
        <v>49</v>
      </c>
      <c r="H2774">
        <v>3</v>
      </c>
      <c r="I2774">
        <v>16</v>
      </c>
      <c r="J2774" s="52"/>
    </row>
    <row r="2775" spans="1:10" hidden="1" x14ac:dyDescent="0.35">
      <c r="A2775" s="2">
        <v>45687</v>
      </c>
      <c r="B2775" t="s">
        <v>40</v>
      </c>
      <c r="C2775" t="s">
        <v>19</v>
      </c>
      <c r="E2775">
        <v>37</v>
      </c>
      <c r="F2775">
        <v>1</v>
      </c>
      <c r="G2775">
        <v>37</v>
      </c>
      <c r="H2775">
        <v>0</v>
      </c>
      <c r="I2775">
        <v>14</v>
      </c>
      <c r="J2775" s="52"/>
    </row>
    <row r="2776" spans="1:10" hidden="1" x14ac:dyDescent="0.35">
      <c r="A2776" s="2">
        <v>45687</v>
      </c>
      <c r="B2776" t="s">
        <v>121</v>
      </c>
      <c r="C2776" t="s">
        <v>22</v>
      </c>
      <c r="E2776">
        <v>46</v>
      </c>
      <c r="F2776">
        <v>15</v>
      </c>
      <c r="G2776">
        <v>24</v>
      </c>
      <c r="H2776">
        <v>17</v>
      </c>
      <c r="I2776">
        <v>23</v>
      </c>
      <c r="J2776" s="52"/>
    </row>
    <row r="2777" spans="1:10" hidden="1" x14ac:dyDescent="0.35">
      <c r="A2777" s="2">
        <v>45687</v>
      </c>
      <c r="B2777" t="s">
        <v>95</v>
      </c>
      <c r="C2777" t="s">
        <v>22</v>
      </c>
      <c r="E2777">
        <v>15</v>
      </c>
      <c r="F2777">
        <v>5</v>
      </c>
      <c r="G2777">
        <v>20</v>
      </c>
      <c r="H2777">
        <v>9</v>
      </c>
      <c r="I2777">
        <v>7</v>
      </c>
      <c r="J2777" s="52"/>
    </row>
    <row r="2778" spans="1:10" hidden="1" x14ac:dyDescent="0.35">
      <c r="A2778" s="2">
        <v>45687</v>
      </c>
      <c r="B2778" t="s">
        <v>43</v>
      </c>
      <c r="C2778" t="s">
        <v>27</v>
      </c>
      <c r="E2778">
        <v>35</v>
      </c>
      <c r="F2778">
        <v>0</v>
      </c>
      <c r="G2778">
        <v>40</v>
      </c>
      <c r="H2778">
        <v>0</v>
      </c>
      <c r="I2778">
        <v>17</v>
      </c>
      <c r="J2778" s="52"/>
    </row>
    <row r="2779" spans="1:10" hidden="1" x14ac:dyDescent="0.35">
      <c r="A2779" s="2">
        <v>45687</v>
      </c>
      <c r="B2779" t="s">
        <v>84</v>
      </c>
      <c r="C2779" t="s">
        <v>27</v>
      </c>
      <c r="E2779">
        <v>22</v>
      </c>
      <c r="F2779">
        <v>0</v>
      </c>
      <c r="G2779">
        <v>28</v>
      </c>
      <c r="H2779">
        <v>0</v>
      </c>
      <c r="I2779">
        <v>14</v>
      </c>
      <c r="J2779" s="52"/>
    </row>
    <row r="2780" spans="1:10" hidden="1" x14ac:dyDescent="0.35">
      <c r="A2780" s="2">
        <v>45687</v>
      </c>
      <c r="B2780" t="s">
        <v>101</v>
      </c>
      <c r="C2780" t="s">
        <v>9</v>
      </c>
      <c r="E2780">
        <v>21</v>
      </c>
      <c r="F2780">
        <v>2</v>
      </c>
      <c r="G2780">
        <v>15</v>
      </c>
      <c r="H2780">
        <v>1</v>
      </c>
      <c r="I2780">
        <v>11</v>
      </c>
      <c r="J2780" s="52"/>
    </row>
    <row r="2781" spans="1:10" hidden="1" x14ac:dyDescent="0.35">
      <c r="A2781" s="2">
        <v>45687</v>
      </c>
      <c r="B2781" t="s">
        <v>75</v>
      </c>
      <c r="C2781" t="s">
        <v>21</v>
      </c>
      <c r="E2781">
        <v>29</v>
      </c>
      <c r="F2781">
        <v>10</v>
      </c>
      <c r="G2781">
        <v>10</v>
      </c>
      <c r="H2781">
        <v>8</v>
      </c>
      <c r="I2781">
        <v>7</v>
      </c>
      <c r="J2781" s="52"/>
    </row>
    <row r="2782" spans="1:10" hidden="1" x14ac:dyDescent="0.35">
      <c r="A2782" s="2">
        <v>45687</v>
      </c>
      <c r="B2782" t="s">
        <v>117</v>
      </c>
      <c r="C2782" t="s">
        <v>54</v>
      </c>
      <c r="E2782">
        <v>23</v>
      </c>
      <c r="F2782">
        <v>9</v>
      </c>
      <c r="G2782">
        <v>30</v>
      </c>
      <c r="H2782">
        <v>4</v>
      </c>
      <c r="I2782">
        <v>10</v>
      </c>
      <c r="J2782" s="52"/>
    </row>
    <row r="2783" spans="1:10" hidden="1" x14ac:dyDescent="0.35">
      <c r="A2783" s="2">
        <v>45687</v>
      </c>
      <c r="B2783" t="s">
        <v>57</v>
      </c>
      <c r="C2783" t="s">
        <v>55</v>
      </c>
      <c r="E2783">
        <v>3</v>
      </c>
      <c r="F2783">
        <v>1</v>
      </c>
      <c r="G2783">
        <v>6</v>
      </c>
      <c r="H2783">
        <v>2</v>
      </c>
      <c r="I2783">
        <v>5</v>
      </c>
      <c r="J2783" s="52"/>
    </row>
    <row r="2784" spans="1:10" hidden="1" x14ac:dyDescent="0.35">
      <c r="A2784" s="2">
        <v>45687</v>
      </c>
      <c r="B2784" t="s">
        <v>123</v>
      </c>
      <c r="C2784" t="s">
        <v>55</v>
      </c>
      <c r="E2784">
        <v>17</v>
      </c>
      <c r="F2784">
        <v>7</v>
      </c>
      <c r="G2784">
        <v>10</v>
      </c>
      <c r="H2784">
        <v>7</v>
      </c>
      <c r="I2784" s="44">
        <v>15</v>
      </c>
      <c r="J2784" s="52"/>
    </row>
    <row r="2785" spans="1:10" hidden="1" x14ac:dyDescent="0.35">
      <c r="A2785" s="2">
        <v>45687</v>
      </c>
      <c r="B2785" t="s">
        <v>107</v>
      </c>
      <c r="C2785" t="s">
        <v>58</v>
      </c>
      <c r="E2785">
        <v>24</v>
      </c>
      <c r="F2785">
        <v>16</v>
      </c>
      <c r="G2785">
        <v>23</v>
      </c>
      <c r="H2785">
        <v>19</v>
      </c>
      <c r="I2785">
        <v>16</v>
      </c>
      <c r="J2785" s="52"/>
    </row>
    <row r="2786" spans="1:10" hidden="1" x14ac:dyDescent="0.35">
      <c r="A2786" s="2">
        <v>45687</v>
      </c>
      <c r="B2786" t="s">
        <v>64</v>
      </c>
      <c r="C2786" t="s">
        <v>62</v>
      </c>
      <c r="E2786">
        <v>9</v>
      </c>
      <c r="F2786">
        <v>7</v>
      </c>
      <c r="G2786">
        <v>33</v>
      </c>
      <c r="H2786">
        <v>14</v>
      </c>
      <c r="I2786">
        <v>7</v>
      </c>
      <c r="J2786" s="52"/>
    </row>
    <row r="2787" spans="1:10" hidden="1" x14ac:dyDescent="0.35">
      <c r="A2787" s="2">
        <v>45687</v>
      </c>
      <c r="B2787" t="s">
        <v>97</v>
      </c>
      <c r="C2787" t="s">
        <v>61</v>
      </c>
      <c r="E2787">
        <v>15</v>
      </c>
      <c r="F2787">
        <v>4</v>
      </c>
      <c r="G2787">
        <v>5</v>
      </c>
      <c r="H2787">
        <v>0</v>
      </c>
      <c r="I2787">
        <v>8</v>
      </c>
      <c r="J2787" s="52"/>
    </row>
    <row r="2788" spans="1:10" hidden="1" x14ac:dyDescent="0.35">
      <c r="A2788" s="2">
        <v>45687</v>
      </c>
      <c r="B2788" t="s">
        <v>118</v>
      </c>
      <c r="C2788" t="s">
        <v>61</v>
      </c>
      <c r="E2788">
        <v>3</v>
      </c>
      <c r="F2788">
        <v>0</v>
      </c>
      <c r="G2788">
        <v>0</v>
      </c>
      <c r="H2788">
        <v>0</v>
      </c>
      <c r="I2788">
        <v>3</v>
      </c>
      <c r="J2788" s="52"/>
    </row>
    <row r="2789" spans="1:10" hidden="1" x14ac:dyDescent="0.35">
      <c r="A2789" s="2">
        <v>45687</v>
      </c>
      <c r="B2789" t="s">
        <v>118</v>
      </c>
      <c r="C2789" t="s">
        <v>91</v>
      </c>
      <c r="E2789">
        <v>17</v>
      </c>
      <c r="F2789">
        <v>2</v>
      </c>
      <c r="G2789">
        <v>21</v>
      </c>
      <c r="H2789">
        <v>4</v>
      </c>
      <c r="I2789">
        <v>5</v>
      </c>
      <c r="J2789" s="52"/>
    </row>
    <row r="2790" spans="1:10" hidden="1" x14ac:dyDescent="0.35">
      <c r="A2790" s="2">
        <v>45687</v>
      </c>
      <c r="B2790" t="s">
        <v>97</v>
      </c>
      <c r="C2790" t="s">
        <v>91</v>
      </c>
      <c r="E2790">
        <v>2</v>
      </c>
      <c r="F2790">
        <v>0</v>
      </c>
      <c r="G2790">
        <v>0</v>
      </c>
      <c r="H2790">
        <v>0</v>
      </c>
      <c r="I2790">
        <v>2</v>
      </c>
      <c r="J2790" s="52"/>
    </row>
    <row r="2791" spans="1:10" hidden="1" x14ac:dyDescent="0.35">
      <c r="A2791" s="2">
        <v>45687</v>
      </c>
      <c r="B2791" t="s">
        <v>119</v>
      </c>
      <c r="C2791" t="s">
        <v>63</v>
      </c>
      <c r="E2791">
        <v>21</v>
      </c>
      <c r="F2791">
        <v>6</v>
      </c>
      <c r="G2791">
        <v>24</v>
      </c>
      <c r="H2791">
        <v>2</v>
      </c>
      <c r="I2791">
        <v>20</v>
      </c>
      <c r="J2791" s="52"/>
    </row>
    <row r="2792" spans="1:10" hidden="1" x14ac:dyDescent="0.35">
      <c r="A2792" s="2">
        <v>45687</v>
      </c>
      <c r="B2792" t="s">
        <v>77</v>
      </c>
      <c r="C2792" t="s">
        <v>73</v>
      </c>
      <c r="E2792">
        <v>10</v>
      </c>
      <c r="F2792">
        <v>8</v>
      </c>
      <c r="G2792">
        <v>21</v>
      </c>
      <c r="H2792">
        <v>15</v>
      </c>
      <c r="I2792">
        <v>8</v>
      </c>
      <c r="J2792" s="52"/>
    </row>
    <row r="2793" spans="1:10" hidden="1" x14ac:dyDescent="0.35">
      <c r="A2793" s="2">
        <v>45687</v>
      </c>
      <c r="B2793" t="s">
        <v>110</v>
      </c>
      <c r="C2793" t="s">
        <v>81</v>
      </c>
      <c r="E2793">
        <v>23</v>
      </c>
      <c r="F2793">
        <v>2</v>
      </c>
      <c r="G2793">
        <v>29</v>
      </c>
      <c r="H2793">
        <v>1</v>
      </c>
      <c r="I2793">
        <v>11</v>
      </c>
      <c r="J2793" s="52"/>
    </row>
    <row r="2794" spans="1:10" hidden="1" x14ac:dyDescent="0.35">
      <c r="A2794" s="2">
        <v>45687</v>
      </c>
      <c r="B2794" t="s">
        <v>85</v>
      </c>
      <c r="C2794" t="s">
        <v>83</v>
      </c>
      <c r="E2794">
        <v>17</v>
      </c>
      <c r="F2794">
        <v>2</v>
      </c>
      <c r="G2794">
        <v>26</v>
      </c>
      <c r="H2794">
        <v>2</v>
      </c>
      <c r="I2794">
        <v>10</v>
      </c>
      <c r="J2794" s="52"/>
    </row>
    <row r="2795" spans="1:10" hidden="1" x14ac:dyDescent="0.35">
      <c r="A2795" s="2">
        <v>45687</v>
      </c>
      <c r="B2795" t="s">
        <v>89</v>
      </c>
      <c r="C2795" t="s">
        <v>87</v>
      </c>
      <c r="E2795">
        <v>12</v>
      </c>
      <c r="F2795">
        <v>3</v>
      </c>
      <c r="G2795">
        <v>20</v>
      </c>
      <c r="H2795">
        <v>4</v>
      </c>
      <c r="I2795">
        <v>4</v>
      </c>
      <c r="J2795" s="52"/>
    </row>
    <row r="2796" spans="1:10" hidden="1" x14ac:dyDescent="0.35">
      <c r="A2796" s="2">
        <v>45687</v>
      </c>
      <c r="B2796" t="s">
        <v>98</v>
      </c>
      <c r="C2796" t="s">
        <v>94</v>
      </c>
      <c r="E2796">
        <v>29</v>
      </c>
      <c r="F2796">
        <v>2</v>
      </c>
      <c r="G2796">
        <v>18</v>
      </c>
      <c r="H2796">
        <v>5</v>
      </c>
      <c r="I2796">
        <v>11</v>
      </c>
      <c r="J2796" s="52"/>
    </row>
    <row r="2797" spans="1:10" hidden="1" x14ac:dyDescent="0.35">
      <c r="A2797" s="2">
        <v>45687</v>
      </c>
      <c r="B2797" t="s">
        <v>114</v>
      </c>
      <c r="C2797" t="s">
        <v>111</v>
      </c>
      <c r="E2797">
        <v>6</v>
      </c>
      <c r="F2797">
        <v>2</v>
      </c>
      <c r="G2797">
        <v>14</v>
      </c>
      <c r="H2797">
        <v>4</v>
      </c>
      <c r="I2797">
        <v>5</v>
      </c>
      <c r="J2797" s="52"/>
    </row>
    <row r="2798" spans="1:10" hidden="1" x14ac:dyDescent="0.35">
      <c r="A2798" s="2">
        <v>45716</v>
      </c>
      <c r="C2798" t="s">
        <v>24</v>
      </c>
      <c r="D2798">
        <v>284</v>
      </c>
      <c r="J2798" s="58">
        <v>104300</v>
      </c>
    </row>
    <row r="2799" spans="1:10" hidden="1" x14ac:dyDescent="0.35">
      <c r="A2799" s="2">
        <v>45716</v>
      </c>
      <c r="C2799" t="s">
        <v>9</v>
      </c>
      <c r="D2799">
        <v>274</v>
      </c>
      <c r="J2799" s="58">
        <v>125400</v>
      </c>
    </row>
    <row r="2800" spans="1:10" hidden="1" x14ac:dyDescent="0.35">
      <c r="A2800" s="2">
        <v>45716</v>
      </c>
      <c r="C2800" t="s">
        <v>37</v>
      </c>
      <c r="D2800">
        <v>497</v>
      </c>
      <c r="J2800" s="58">
        <v>330350</v>
      </c>
    </row>
    <row r="2801" spans="1:10" hidden="1" x14ac:dyDescent="0.35">
      <c r="A2801" s="2">
        <v>45716</v>
      </c>
      <c r="C2801" t="s">
        <v>23</v>
      </c>
      <c r="D2801">
        <v>193</v>
      </c>
      <c r="J2801" s="58">
        <v>66000</v>
      </c>
    </row>
    <row r="2802" spans="1:10" hidden="1" x14ac:dyDescent="0.35">
      <c r="A2802" s="2">
        <v>45716</v>
      </c>
      <c r="C2802" t="s">
        <v>27</v>
      </c>
      <c r="D2802">
        <v>428</v>
      </c>
      <c r="J2802" s="58">
        <v>559300</v>
      </c>
    </row>
    <row r="2803" spans="1:10" hidden="1" x14ac:dyDescent="0.35">
      <c r="A2803" s="2">
        <v>45716</v>
      </c>
      <c r="C2803" t="s">
        <v>26</v>
      </c>
      <c r="D2803">
        <v>151</v>
      </c>
      <c r="J2803" s="58">
        <v>89450</v>
      </c>
    </row>
    <row r="2804" spans="1:10" hidden="1" x14ac:dyDescent="0.35">
      <c r="A2804" s="2">
        <v>45716</v>
      </c>
      <c r="C2804" t="s">
        <v>20</v>
      </c>
      <c r="D2804">
        <v>241</v>
      </c>
      <c r="J2804" s="58">
        <v>468000</v>
      </c>
    </row>
    <row r="2805" spans="1:10" hidden="1" x14ac:dyDescent="0.35">
      <c r="A2805" s="2">
        <v>45716</v>
      </c>
      <c r="C2805" t="s">
        <v>25</v>
      </c>
      <c r="D2805">
        <v>187</v>
      </c>
      <c r="J2805" s="58">
        <v>187000</v>
      </c>
    </row>
    <row r="2806" spans="1:10" hidden="1" x14ac:dyDescent="0.35">
      <c r="A2806" s="2">
        <v>45716</v>
      </c>
      <c r="C2806" t="s">
        <v>19</v>
      </c>
      <c r="D2806">
        <v>292</v>
      </c>
      <c r="J2806" s="58">
        <v>345650</v>
      </c>
    </row>
    <row r="2807" spans="1:10" hidden="1" x14ac:dyDescent="0.35">
      <c r="A2807" s="2">
        <v>45716</v>
      </c>
      <c r="C2807" t="s">
        <v>21</v>
      </c>
      <c r="D2807">
        <v>366</v>
      </c>
      <c r="J2807" s="58">
        <v>109800</v>
      </c>
    </row>
    <row r="2808" spans="1:10" hidden="1" x14ac:dyDescent="0.35">
      <c r="A2808" s="2">
        <v>45716</v>
      </c>
      <c r="C2808" t="s">
        <v>18</v>
      </c>
      <c r="D2808">
        <v>382</v>
      </c>
      <c r="J2808" s="58">
        <v>292150</v>
      </c>
    </row>
    <row r="2809" spans="1:10" hidden="1" x14ac:dyDescent="0.35">
      <c r="A2809" s="2">
        <v>45716</v>
      </c>
      <c r="C2809" t="s">
        <v>22</v>
      </c>
      <c r="D2809">
        <v>328</v>
      </c>
      <c r="J2809" s="58">
        <v>264800</v>
      </c>
    </row>
    <row r="2810" spans="1:10" hidden="1" x14ac:dyDescent="0.35">
      <c r="A2810" s="2">
        <v>45716</v>
      </c>
      <c r="C2810" t="s">
        <v>54</v>
      </c>
      <c r="D2810">
        <v>255</v>
      </c>
      <c r="J2810" s="58">
        <v>135300</v>
      </c>
    </row>
    <row r="2811" spans="1:10" hidden="1" x14ac:dyDescent="0.35">
      <c r="A2811" s="2">
        <v>45716</v>
      </c>
      <c r="C2811" t="s">
        <v>55</v>
      </c>
      <c r="D2811">
        <v>185</v>
      </c>
      <c r="J2811" s="58">
        <v>53870</v>
      </c>
    </row>
    <row r="2812" spans="1:10" hidden="1" x14ac:dyDescent="0.35">
      <c r="A2812" s="2">
        <v>45716</v>
      </c>
      <c r="C2812" t="s">
        <v>58</v>
      </c>
      <c r="D2812">
        <v>381</v>
      </c>
      <c r="J2812" s="58">
        <v>189800</v>
      </c>
    </row>
    <row r="2813" spans="1:10" hidden="1" x14ac:dyDescent="0.35">
      <c r="A2813" s="2">
        <v>45716</v>
      </c>
      <c r="C2813" t="s">
        <v>62</v>
      </c>
      <c r="D2813">
        <v>218</v>
      </c>
      <c r="J2813" s="58">
        <v>67800</v>
      </c>
    </row>
    <row r="2814" spans="1:10" hidden="1" x14ac:dyDescent="0.35">
      <c r="A2814" s="2">
        <v>45716</v>
      </c>
      <c r="C2814" t="s">
        <v>61</v>
      </c>
      <c r="D2814">
        <v>186</v>
      </c>
      <c r="J2814" s="58">
        <v>126920</v>
      </c>
    </row>
    <row r="2815" spans="1:10" hidden="1" x14ac:dyDescent="0.35">
      <c r="A2815" s="2">
        <v>45716</v>
      </c>
      <c r="C2815" t="s">
        <v>63</v>
      </c>
      <c r="D2815">
        <v>105</v>
      </c>
      <c r="J2815" s="58">
        <v>211200</v>
      </c>
    </row>
    <row r="2816" spans="1:10" hidden="1" x14ac:dyDescent="0.35">
      <c r="A2816" s="2">
        <v>45716</v>
      </c>
      <c r="C2816" t="s">
        <v>73</v>
      </c>
      <c r="D2816">
        <v>314</v>
      </c>
      <c r="J2816" s="58">
        <v>56400</v>
      </c>
    </row>
    <row r="2817" spans="1:10" hidden="1" x14ac:dyDescent="0.35">
      <c r="A2817" s="2">
        <v>45716</v>
      </c>
      <c r="C2817" t="s">
        <v>81</v>
      </c>
      <c r="D2817">
        <v>132</v>
      </c>
      <c r="J2817" s="58">
        <v>130500</v>
      </c>
    </row>
    <row r="2818" spans="1:10" hidden="1" x14ac:dyDescent="0.35">
      <c r="A2818" s="2">
        <v>45716</v>
      </c>
      <c r="C2818" t="s">
        <v>83</v>
      </c>
      <c r="D2818">
        <v>165</v>
      </c>
      <c r="J2818" s="58">
        <v>143400</v>
      </c>
    </row>
    <row r="2819" spans="1:10" hidden="1" x14ac:dyDescent="0.35">
      <c r="A2819" s="2">
        <v>45716</v>
      </c>
      <c r="C2819" t="s">
        <v>87</v>
      </c>
      <c r="D2819">
        <v>261</v>
      </c>
      <c r="J2819" s="58">
        <v>38900</v>
      </c>
    </row>
    <row r="2820" spans="1:10" hidden="1" x14ac:dyDescent="0.35">
      <c r="A2820" s="2">
        <v>45716</v>
      </c>
      <c r="C2820" t="s">
        <v>91</v>
      </c>
      <c r="D2820">
        <v>198</v>
      </c>
      <c r="J2820" s="58">
        <v>39500</v>
      </c>
    </row>
    <row r="2821" spans="1:10" hidden="1" x14ac:dyDescent="0.35">
      <c r="A2821" s="2">
        <v>45716</v>
      </c>
      <c r="C2821" t="s">
        <v>94</v>
      </c>
      <c r="D2821">
        <v>196</v>
      </c>
      <c r="J2821" s="58">
        <v>165400</v>
      </c>
    </row>
    <row r="2822" spans="1:10" hidden="1" x14ac:dyDescent="0.35">
      <c r="A2822" s="2">
        <v>45716</v>
      </c>
      <c r="C2822" t="s">
        <v>115</v>
      </c>
      <c r="D2822">
        <v>198</v>
      </c>
      <c r="J2822" s="58">
        <v>78900</v>
      </c>
    </row>
    <row r="2823" spans="1:10" hidden="1" x14ac:dyDescent="0.35">
      <c r="A2823" s="2">
        <v>45716</v>
      </c>
      <c r="B2823" t="s">
        <v>36</v>
      </c>
      <c r="C2823" t="s">
        <v>20</v>
      </c>
      <c r="E2823">
        <v>24</v>
      </c>
      <c r="F2823">
        <v>8</v>
      </c>
      <c r="G2823">
        <v>56</v>
      </c>
      <c r="H2823">
        <v>6</v>
      </c>
      <c r="I2823">
        <v>13</v>
      </c>
      <c r="J2823" s="52"/>
    </row>
    <row r="2824" spans="1:10" hidden="1" x14ac:dyDescent="0.35">
      <c r="A2824" s="2">
        <v>45716</v>
      </c>
      <c r="B2824" t="s">
        <v>110</v>
      </c>
      <c r="C2824" t="s">
        <v>20</v>
      </c>
      <c r="E2824">
        <v>17</v>
      </c>
      <c r="F2824">
        <v>6</v>
      </c>
      <c r="G2824">
        <v>35</v>
      </c>
      <c r="H2824">
        <v>4</v>
      </c>
      <c r="I2824">
        <v>19</v>
      </c>
      <c r="J2824" s="52"/>
    </row>
    <row r="2825" spans="1:10" hidden="1" x14ac:dyDescent="0.35">
      <c r="A2825" s="2">
        <v>45716</v>
      </c>
      <c r="B2825" t="s">
        <v>113</v>
      </c>
      <c r="C2825" t="s">
        <v>20</v>
      </c>
      <c r="E2825">
        <v>2</v>
      </c>
      <c r="F2825">
        <v>1</v>
      </c>
      <c r="G2825">
        <v>0</v>
      </c>
      <c r="H2825">
        <v>0</v>
      </c>
      <c r="I2825">
        <v>0</v>
      </c>
      <c r="J2825" s="52"/>
    </row>
    <row r="2826" spans="1:10" hidden="1" x14ac:dyDescent="0.35">
      <c r="A2826" s="2">
        <v>45716</v>
      </c>
      <c r="B2826" t="s">
        <v>113</v>
      </c>
      <c r="C2826" t="s">
        <v>26</v>
      </c>
      <c r="E2826">
        <v>24</v>
      </c>
      <c r="F2826">
        <v>2</v>
      </c>
      <c r="G2826">
        <v>59</v>
      </c>
      <c r="H2826">
        <v>2</v>
      </c>
      <c r="I2826">
        <v>7</v>
      </c>
      <c r="J2826" s="52"/>
    </row>
    <row r="2827" spans="1:10" hidden="1" x14ac:dyDescent="0.35">
      <c r="A2827" s="2">
        <v>45716</v>
      </c>
      <c r="B2827" t="s">
        <v>113</v>
      </c>
      <c r="C2827" t="s">
        <v>115</v>
      </c>
      <c r="E2827">
        <v>7</v>
      </c>
      <c r="F2827">
        <v>3</v>
      </c>
      <c r="G2827">
        <v>17</v>
      </c>
      <c r="H2827">
        <v>3</v>
      </c>
      <c r="I2827">
        <v>6</v>
      </c>
      <c r="J2827" s="52"/>
    </row>
    <row r="2828" spans="1:10" hidden="1" x14ac:dyDescent="0.35">
      <c r="A2828" s="2">
        <v>45716</v>
      </c>
      <c r="B2828" t="s">
        <v>125</v>
      </c>
      <c r="C2828" t="s">
        <v>115</v>
      </c>
      <c r="E2828">
        <v>12</v>
      </c>
      <c r="F2828">
        <v>2</v>
      </c>
      <c r="G2828">
        <v>0</v>
      </c>
      <c r="H2828">
        <v>0</v>
      </c>
      <c r="I2828">
        <v>0</v>
      </c>
      <c r="J2828" s="52"/>
    </row>
    <row r="2829" spans="1:10" hidden="1" x14ac:dyDescent="0.35">
      <c r="A2829" s="2">
        <v>45716</v>
      </c>
      <c r="B2829" t="s">
        <v>38</v>
      </c>
      <c r="C2829" t="s">
        <v>18</v>
      </c>
      <c r="E2829">
        <v>18</v>
      </c>
      <c r="F2829">
        <v>26</v>
      </c>
      <c r="G2829">
        <v>16</v>
      </c>
      <c r="H2829">
        <v>16</v>
      </c>
      <c r="I2829">
        <v>14</v>
      </c>
      <c r="J2829" s="52"/>
    </row>
    <row r="2830" spans="1:10" hidden="1" x14ac:dyDescent="0.35">
      <c r="A2830" s="2">
        <v>45716</v>
      </c>
      <c r="B2830" t="s">
        <v>116</v>
      </c>
      <c r="C2830" t="s">
        <v>18</v>
      </c>
      <c r="E2830">
        <v>26</v>
      </c>
      <c r="F2830">
        <v>38</v>
      </c>
      <c r="G2830">
        <v>21</v>
      </c>
      <c r="H2830">
        <v>8</v>
      </c>
      <c r="I2830">
        <v>8</v>
      </c>
      <c r="J2830" s="52"/>
    </row>
    <row r="2831" spans="1:10" hidden="1" x14ac:dyDescent="0.35">
      <c r="A2831" s="2">
        <v>45716</v>
      </c>
      <c r="B2831" t="s">
        <v>122</v>
      </c>
      <c r="C2831" t="s">
        <v>25</v>
      </c>
      <c r="E2831">
        <v>51</v>
      </c>
      <c r="F2831">
        <v>2</v>
      </c>
      <c r="G2831">
        <v>29</v>
      </c>
      <c r="H2831">
        <v>0</v>
      </c>
      <c r="I2831">
        <v>13</v>
      </c>
      <c r="J2831" s="52"/>
    </row>
    <row r="2832" spans="1:10" hidden="1" x14ac:dyDescent="0.35">
      <c r="A2832" s="2">
        <v>45716</v>
      </c>
      <c r="B2832" t="s">
        <v>104</v>
      </c>
      <c r="C2832" t="s">
        <v>23</v>
      </c>
      <c r="E2832">
        <v>0</v>
      </c>
      <c r="F2832">
        <v>3</v>
      </c>
      <c r="G2832">
        <v>0</v>
      </c>
      <c r="H2832">
        <v>4</v>
      </c>
      <c r="I2832">
        <v>0</v>
      </c>
      <c r="J2832" s="52"/>
    </row>
    <row r="2833" spans="1:10" hidden="1" x14ac:dyDescent="0.35">
      <c r="A2833" s="2">
        <v>45716</v>
      </c>
      <c r="B2833" t="s">
        <v>122</v>
      </c>
      <c r="C2833" t="s">
        <v>23</v>
      </c>
      <c r="E2833">
        <v>29</v>
      </c>
      <c r="F2833">
        <v>3</v>
      </c>
      <c r="G2833">
        <v>13</v>
      </c>
      <c r="H2833">
        <v>2</v>
      </c>
      <c r="I2833">
        <v>5</v>
      </c>
      <c r="J2833" s="52"/>
    </row>
    <row r="2834" spans="1:10" hidden="1" x14ac:dyDescent="0.35">
      <c r="A2834" s="2">
        <v>45716</v>
      </c>
      <c r="B2834" t="s">
        <v>126</v>
      </c>
      <c r="C2834" t="s">
        <v>23</v>
      </c>
      <c r="E2834">
        <v>11</v>
      </c>
      <c r="F2834">
        <v>3</v>
      </c>
      <c r="G2834">
        <v>0</v>
      </c>
      <c r="H2834">
        <v>0</v>
      </c>
      <c r="I2834">
        <v>0</v>
      </c>
      <c r="J2834" s="52"/>
    </row>
    <row r="2835" spans="1:10" hidden="1" x14ac:dyDescent="0.35">
      <c r="A2835" s="2">
        <v>45716</v>
      </c>
      <c r="B2835" t="s">
        <v>126</v>
      </c>
      <c r="C2835" t="s">
        <v>24</v>
      </c>
      <c r="E2835">
        <v>11</v>
      </c>
      <c r="F2835">
        <v>0</v>
      </c>
      <c r="G2835">
        <v>0</v>
      </c>
      <c r="H2835">
        <v>0</v>
      </c>
      <c r="I2835">
        <v>0</v>
      </c>
      <c r="J2835" s="52"/>
    </row>
    <row r="2836" spans="1:10" hidden="1" x14ac:dyDescent="0.35">
      <c r="A2836" s="2">
        <v>45716</v>
      </c>
      <c r="B2836" t="s">
        <v>96</v>
      </c>
      <c r="C2836" t="s">
        <v>24</v>
      </c>
      <c r="E2836">
        <v>9</v>
      </c>
      <c r="F2836">
        <v>3</v>
      </c>
      <c r="G2836">
        <v>10</v>
      </c>
      <c r="H2836">
        <v>4</v>
      </c>
      <c r="I2836">
        <v>7</v>
      </c>
      <c r="J2836" s="52"/>
    </row>
    <row r="2837" spans="1:10" hidden="1" x14ac:dyDescent="0.35">
      <c r="A2837" s="2">
        <v>45716</v>
      </c>
      <c r="B2837" t="s">
        <v>96</v>
      </c>
      <c r="C2837" t="s">
        <v>37</v>
      </c>
      <c r="E2837">
        <v>0</v>
      </c>
      <c r="F2837">
        <v>0</v>
      </c>
      <c r="G2837">
        <v>5</v>
      </c>
      <c r="H2837">
        <v>1</v>
      </c>
      <c r="I2837">
        <v>1</v>
      </c>
      <c r="J2837" s="52"/>
    </row>
    <row r="2838" spans="1:10" hidden="1" x14ac:dyDescent="0.35">
      <c r="A2838" s="2">
        <v>45716</v>
      </c>
      <c r="B2838" t="s">
        <v>101</v>
      </c>
      <c r="C2838" t="s">
        <v>37</v>
      </c>
      <c r="E2838">
        <v>23</v>
      </c>
      <c r="F2838">
        <v>2</v>
      </c>
      <c r="G2838">
        <v>4</v>
      </c>
      <c r="H2838">
        <v>1</v>
      </c>
      <c r="I2838">
        <v>7</v>
      </c>
      <c r="J2838" s="52"/>
    </row>
    <row r="2839" spans="1:10" hidden="1" x14ac:dyDescent="0.35">
      <c r="A2839" s="2">
        <v>45716</v>
      </c>
      <c r="B2839" t="s">
        <v>102</v>
      </c>
      <c r="C2839" t="s">
        <v>37</v>
      </c>
      <c r="E2839">
        <v>22</v>
      </c>
      <c r="F2839">
        <v>3</v>
      </c>
      <c r="G2839">
        <v>23</v>
      </c>
      <c r="H2839">
        <v>1</v>
      </c>
      <c r="I2839">
        <v>14</v>
      </c>
      <c r="J2839" s="52"/>
    </row>
    <row r="2840" spans="1:10" hidden="1" x14ac:dyDescent="0.35">
      <c r="A2840" s="2">
        <v>45716</v>
      </c>
      <c r="B2840" t="s">
        <v>126</v>
      </c>
      <c r="C2840" t="s">
        <v>37</v>
      </c>
      <c r="E2840">
        <v>16</v>
      </c>
      <c r="F2840">
        <v>2</v>
      </c>
      <c r="G2840">
        <v>0</v>
      </c>
      <c r="H2840">
        <v>0</v>
      </c>
      <c r="I2840">
        <v>2</v>
      </c>
      <c r="J2840" s="52"/>
    </row>
    <row r="2841" spans="1:10" hidden="1" x14ac:dyDescent="0.35">
      <c r="A2841" s="2">
        <v>45716</v>
      </c>
      <c r="B2841" t="s">
        <v>112</v>
      </c>
      <c r="C2841" t="s">
        <v>19</v>
      </c>
      <c r="E2841">
        <v>37</v>
      </c>
      <c r="F2841">
        <v>11</v>
      </c>
      <c r="G2841">
        <v>50</v>
      </c>
      <c r="H2841">
        <v>2</v>
      </c>
      <c r="I2841">
        <v>16</v>
      </c>
      <c r="J2841" s="52"/>
    </row>
    <row r="2842" spans="1:10" hidden="1" x14ac:dyDescent="0.35">
      <c r="A2842" s="2">
        <v>45716</v>
      </c>
      <c r="B2842" t="s">
        <v>40</v>
      </c>
      <c r="C2842" t="s">
        <v>19</v>
      </c>
      <c r="E2842">
        <v>32</v>
      </c>
      <c r="F2842">
        <v>2</v>
      </c>
      <c r="G2842">
        <v>29</v>
      </c>
      <c r="H2842">
        <v>3</v>
      </c>
      <c r="I2842">
        <v>9</v>
      </c>
      <c r="J2842" s="52"/>
    </row>
    <row r="2843" spans="1:10" hidden="1" x14ac:dyDescent="0.35">
      <c r="A2843" s="2">
        <v>45716</v>
      </c>
      <c r="B2843" t="s">
        <v>121</v>
      </c>
      <c r="C2843" t="s">
        <v>22</v>
      </c>
      <c r="E2843">
        <v>28</v>
      </c>
      <c r="F2843">
        <v>19</v>
      </c>
      <c r="G2843">
        <v>37</v>
      </c>
      <c r="H2843">
        <v>10</v>
      </c>
      <c r="I2843">
        <v>15</v>
      </c>
      <c r="J2843" s="52"/>
    </row>
    <row r="2844" spans="1:10" hidden="1" x14ac:dyDescent="0.35">
      <c r="A2844" s="2">
        <v>45716</v>
      </c>
      <c r="B2844" t="s">
        <v>95</v>
      </c>
      <c r="C2844" t="s">
        <v>22</v>
      </c>
      <c r="E2844">
        <v>14</v>
      </c>
      <c r="F2844">
        <v>2</v>
      </c>
      <c r="G2844">
        <v>13</v>
      </c>
      <c r="H2844">
        <v>2</v>
      </c>
      <c r="I2844">
        <v>5</v>
      </c>
      <c r="J2844" s="52"/>
    </row>
    <row r="2845" spans="1:10" hidden="1" x14ac:dyDescent="0.35">
      <c r="A2845" s="2">
        <v>45716</v>
      </c>
      <c r="B2845" t="s">
        <v>43</v>
      </c>
      <c r="C2845" t="s">
        <v>27</v>
      </c>
      <c r="E2845">
        <v>23</v>
      </c>
      <c r="F2845">
        <v>0</v>
      </c>
      <c r="G2845">
        <v>38</v>
      </c>
      <c r="H2845">
        <v>0</v>
      </c>
      <c r="I2845">
        <v>18</v>
      </c>
      <c r="J2845" s="52"/>
    </row>
    <row r="2846" spans="1:10" hidden="1" x14ac:dyDescent="0.35">
      <c r="A2846" s="2">
        <v>45716</v>
      </c>
      <c r="B2846" t="s">
        <v>84</v>
      </c>
      <c r="C2846" t="s">
        <v>27</v>
      </c>
      <c r="E2846">
        <v>25</v>
      </c>
      <c r="F2846">
        <v>0</v>
      </c>
      <c r="G2846">
        <v>33</v>
      </c>
      <c r="H2846">
        <v>0</v>
      </c>
      <c r="I2846">
        <v>17</v>
      </c>
      <c r="J2846" s="52"/>
    </row>
    <row r="2847" spans="1:10" hidden="1" x14ac:dyDescent="0.35">
      <c r="A2847" s="2">
        <v>45716</v>
      </c>
      <c r="B2847" t="s">
        <v>101</v>
      </c>
      <c r="C2847" t="s">
        <v>9</v>
      </c>
      <c r="E2847">
        <v>23</v>
      </c>
      <c r="F2847">
        <v>4</v>
      </c>
      <c r="G2847">
        <v>17</v>
      </c>
      <c r="H2847">
        <v>0</v>
      </c>
      <c r="I2847">
        <v>10</v>
      </c>
      <c r="J2847" s="52"/>
    </row>
    <row r="2848" spans="1:10" hidden="1" x14ac:dyDescent="0.35">
      <c r="A2848" s="2">
        <v>45716</v>
      </c>
      <c r="B2848" t="s">
        <v>75</v>
      </c>
      <c r="C2848" t="s">
        <v>21</v>
      </c>
      <c r="E2848">
        <v>16</v>
      </c>
      <c r="F2848">
        <v>14</v>
      </c>
      <c r="G2848">
        <v>11</v>
      </c>
      <c r="H2848">
        <v>6</v>
      </c>
      <c r="I2848">
        <v>8</v>
      </c>
      <c r="J2848" s="52"/>
    </row>
    <row r="2849" spans="1:10" hidden="1" x14ac:dyDescent="0.35">
      <c r="A2849" s="2">
        <v>45716</v>
      </c>
      <c r="B2849" t="s">
        <v>117</v>
      </c>
      <c r="C2849" t="s">
        <v>54</v>
      </c>
      <c r="E2849">
        <v>16</v>
      </c>
      <c r="F2849">
        <v>6</v>
      </c>
      <c r="G2849">
        <v>25</v>
      </c>
      <c r="H2849">
        <v>4</v>
      </c>
      <c r="I2849">
        <v>10</v>
      </c>
      <c r="J2849" s="52"/>
    </row>
    <row r="2850" spans="1:10" hidden="1" x14ac:dyDescent="0.35">
      <c r="A2850" s="2">
        <v>45716</v>
      </c>
      <c r="B2850" t="s">
        <v>57</v>
      </c>
      <c r="C2850" t="s">
        <v>55</v>
      </c>
      <c r="E2850">
        <v>0</v>
      </c>
      <c r="F2850">
        <v>0</v>
      </c>
      <c r="G2850">
        <v>0</v>
      </c>
      <c r="H2850">
        <v>3</v>
      </c>
      <c r="I2850">
        <v>0</v>
      </c>
      <c r="J2850" s="52"/>
    </row>
    <row r="2851" spans="1:10" hidden="1" x14ac:dyDescent="0.35">
      <c r="A2851" s="2">
        <v>45716</v>
      </c>
      <c r="B2851" t="s">
        <v>123</v>
      </c>
      <c r="C2851" t="s">
        <v>55</v>
      </c>
      <c r="E2851">
        <v>36</v>
      </c>
      <c r="F2851">
        <v>7</v>
      </c>
      <c r="G2851">
        <v>15</v>
      </c>
      <c r="H2851">
        <v>14</v>
      </c>
      <c r="I2851">
        <v>4</v>
      </c>
      <c r="J2851" s="52"/>
    </row>
    <row r="2852" spans="1:10" hidden="1" x14ac:dyDescent="0.35">
      <c r="A2852" s="2">
        <v>45716</v>
      </c>
      <c r="B2852" t="s">
        <v>107</v>
      </c>
      <c r="C2852" t="s">
        <v>58</v>
      </c>
      <c r="E2852">
        <v>9</v>
      </c>
      <c r="F2852">
        <v>11</v>
      </c>
      <c r="G2852">
        <v>7</v>
      </c>
      <c r="H2852">
        <v>7</v>
      </c>
      <c r="I2852">
        <v>14</v>
      </c>
      <c r="J2852" s="52"/>
    </row>
    <row r="2853" spans="1:10" hidden="1" x14ac:dyDescent="0.35">
      <c r="A2853" s="2">
        <v>45716</v>
      </c>
      <c r="B2853" t="s">
        <v>64</v>
      </c>
      <c r="C2853" t="s">
        <v>62</v>
      </c>
      <c r="E2853">
        <v>21</v>
      </c>
      <c r="F2853">
        <v>1</v>
      </c>
      <c r="G2853">
        <v>25</v>
      </c>
      <c r="H2853">
        <v>10</v>
      </c>
      <c r="I2853">
        <v>5</v>
      </c>
      <c r="J2853" s="52"/>
    </row>
    <row r="2854" spans="1:10" hidden="1" x14ac:dyDescent="0.35">
      <c r="A2854" s="2">
        <v>45716</v>
      </c>
      <c r="B2854" t="s">
        <v>97</v>
      </c>
      <c r="C2854" t="s">
        <v>61</v>
      </c>
      <c r="E2854">
        <v>13</v>
      </c>
      <c r="F2854">
        <v>2</v>
      </c>
      <c r="G2854">
        <v>5</v>
      </c>
      <c r="H2854">
        <v>1</v>
      </c>
      <c r="I2854">
        <v>7</v>
      </c>
      <c r="J2854" s="52"/>
    </row>
    <row r="2855" spans="1:10" hidden="1" x14ac:dyDescent="0.35">
      <c r="A2855" s="2">
        <v>45716</v>
      </c>
      <c r="B2855" t="s">
        <v>118</v>
      </c>
      <c r="C2855" t="s">
        <v>61</v>
      </c>
      <c r="E2855">
        <v>1</v>
      </c>
      <c r="F2855">
        <v>0</v>
      </c>
      <c r="G2855">
        <v>2</v>
      </c>
      <c r="H2855">
        <v>0</v>
      </c>
      <c r="I2855">
        <v>3</v>
      </c>
      <c r="J2855" s="52"/>
    </row>
    <row r="2856" spans="1:10" hidden="1" x14ac:dyDescent="0.35">
      <c r="A2856" s="2">
        <v>45716</v>
      </c>
      <c r="B2856" t="s">
        <v>118</v>
      </c>
      <c r="C2856" t="s">
        <v>91</v>
      </c>
      <c r="E2856">
        <v>8</v>
      </c>
      <c r="F2856">
        <v>2</v>
      </c>
      <c r="G2856">
        <v>3</v>
      </c>
      <c r="H2856">
        <v>1</v>
      </c>
      <c r="I2856">
        <v>3</v>
      </c>
      <c r="J2856" s="52"/>
    </row>
    <row r="2857" spans="1:10" hidden="1" x14ac:dyDescent="0.35">
      <c r="A2857" s="2">
        <v>45716</v>
      </c>
      <c r="B2857" t="s">
        <v>119</v>
      </c>
      <c r="C2857" t="s">
        <v>63</v>
      </c>
      <c r="E2857">
        <v>19</v>
      </c>
      <c r="F2857">
        <v>6</v>
      </c>
      <c r="G2857">
        <v>22</v>
      </c>
      <c r="H2857">
        <v>3</v>
      </c>
      <c r="I2857">
        <v>17</v>
      </c>
      <c r="J2857" s="52"/>
    </row>
    <row r="2858" spans="1:10" hidden="1" x14ac:dyDescent="0.35">
      <c r="A2858" s="2">
        <v>45716</v>
      </c>
      <c r="B2858" t="s">
        <v>77</v>
      </c>
      <c r="C2858" t="s">
        <v>73</v>
      </c>
      <c r="E2858">
        <v>20</v>
      </c>
      <c r="F2858">
        <v>7</v>
      </c>
      <c r="G2858">
        <v>16</v>
      </c>
      <c r="H2858">
        <v>4</v>
      </c>
      <c r="I2858">
        <v>4</v>
      </c>
      <c r="J2858" s="52"/>
    </row>
    <row r="2859" spans="1:10" hidden="1" x14ac:dyDescent="0.35">
      <c r="A2859" s="2">
        <v>45716</v>
      </c>
      <c r="B2859" t="s">
        <v>110</v>
      </c>
      <c r="C2859" t="s">
        <v>81</v>
      </c>
      <c r="E2859">
        <v>22</v>
      </c>
      <c r="F2859">
        <v>1</v>
      </c>
      <c r="G2859">
        <v>19</v>
      </c>
      <c r="H2859">
        <v>0</v>
      </c>
      <c r="I2859">
        <v>10</v>
      </c>
      <c r="J2859" s="52"/>
    </row>
    <row r="2860" spans="1:10" hidden="1" x14ac:dyDescent="0.35">
      <c r="A2860" s="2">
        <v>45716</v>
      </c>
      <c r="B2860" t="s">
        <v>85</v>
      </c>
      <c r="C2860" t="s">
        <v>83</v>
      </c>
      <c r="E2860">
        <v>22</v>
      </c>
      <c r="F2860">
        <v>4</v>
      </c>
      <c r="G2860">
        <v>28</v>
      </c>
      <c r="H2860">
        <v>8</v>
      </c>
      <c r="I2860">
        <v>11</v>
      </c>
      <c r="J2860" s="52"/>
    </row>
    <row r="2861" spans="1:10" hidden="1" x14ac:dyDescent="0.35">
      <c r="A2861" s="2">
        <v>45716</v>
      </c>
      <c r="B2861" t="s">
        <v>89</v>
      </c>
      <c r="C2861" t="s">
        <v>87</v>
      </c>
      <c r="E2861">
        <v>10</v>
      </c>
      <c r="F2861">
        <v>4</v>
      </c>
      <c r="G2861">
        <v>10</v>
      </c>
      <c r="H2861">
        <v>2</v>
      </c>
      <c r="I2861">
        <v>3</v>
      </c>
      <c r="J2861" s="52"/>
    </row>
    <row r="2862" spans="1:10" hidden="1" x14ac:dyDescent="0.35">
      <c r="A2862" s="2">
        <v>45716</v>
      </c>
      <c r="B2862" t="s">
        <v>98</v>
      </c>
      <c r="C2862" t="s">
        <v>94</v>
      </c>
      <c r="E2862">
        <v>28</v>
      </c>
      <c r="F2862">
        <v>0</v>
      </c>
      <c r="G2862">
        <v>32</v>
      </c>
      <c r="H2862">
        <v>0</v>
      </c>
      <c r="I2862">
        <v>11</v>
      </c>
      <c r="J2862" s="52"/>
    </row>
    <row r="2863" spans="1:10" hidden="1" x14ac:dyDescent="0.35">
      <c r="A2863" s="2">
        <v>45747</v>
      </c>
      <c r="C2863" t="s">
        <v>24</v>
      </c>
      <c r="D2863">
        <v>241</v>
      </c>
      <c r="J2863" s="58">
        <v>112900</v>
      </c>
    </row>
    <row r="2864" spans="1:10" hidden="1" x14ac:dyDescent="0.35">
      <c r="A2864" s="2">
        <v>45747</v>
      </c>
      <c r="C2864" t="s">
        <v>9</v>
      </c>
      <c r="D2864">
        <v>214</v>
      </c>
      <c r="J2864" s="58">
        <v>131500</v>
      </c>
    </row>
    <row r="2865" spans="1:10" hidden="1" x14ac:dyDescent="0.35">
      <c r="A2865" s="2">
        <v>45747</v>
      </c>
      <c r="C2865" t="s">
        <v>37</v>
      </c>
      <c r="D2865">
        <v>447</v>
      </c>
      <c r="J2865" s="58">
        <v>248150</v>
      </c>
    </row>
    <row r="2866" spans="1:10" hidden="1" x14ac:dyDescent="0.35">
      <c r="A2866" s="2">
        <v>45747</v>
      </c>
      <c r="C2866" t="s">
        <v>23</v>
      </c>
      <c r="D2866">
        <v>187</v>
      </c>
      <c r="J2866" s="58">
        <v>139150</v>
      </c>
    </row>
    <row r="2867" spans="1:10" hidden="1" x14ac:dyDescent="0.35">
      <c r="A2867" s="2">
        <v>45747</v>
      </c>
      <c r="C2867" t="s">
        <v>27</v>
      </c>
      <c r="D2867">
        <v>402</v>
      </c>
      <c r="J2867" s="58">
        <v>477500</v>
      </c>
    </row>
    <row r="2868" spans="1:10" hidden="1" x14ac:dyDescent="0.35">
      <c r="A2868" s="2">
        <v>45747</v>
      </c>
      <c r="C2868" t="s">
        <v>26</v>
      </c>
      <c r="D2868">
        <v>120</v>
      </c>
      <c r="J2868" s="58">
        <v>148700</v>
      </c>
    </row>
    <row r="2869" spans="1:10" hidden="1" x14ac:dyDescent="0.35">
      <c r="A2869" s="2">
        <v>45747</v>
      </c>
      <c r="C2869" t="s">
        <v>20</v>
      </c>
      <c r="D2869">
        <v>254</v>
      </c>
      <c r="J2869" s="58">
        <v>331500</v>
      </c>
    </row>
    <row r="2870" spans="1:10" hidden="1" x14ac:dyDescent="0.35">
      <c r="A2870" s="2">
        <v>45747</v>
      </c>
      <c r="C2870" t="s">
        <v>25</v>
      </c>
      <c r="D2870">
        <v>195</v>
      </c>
      <c r="J2870" s="58">
        <v>155400</v>
      </c>
    </row>
    <row r="2871" spans="1:10" hidden="1" x14ac:dyDescent="0.35">
      <c r="A2871" s="2">
        <v>45747</v>
      </c>
      <c r="C2871" t="s">
        <v>19</v>
      </c>
      <c r="D2871">
        <v>341</v>
      </c>
      <c r="J2871" s="58">
        <v>212750</v>
      </c>
    </row>
    <row r="2872" spans="1:10" hidden="1" x14ac:dyDescent="0.35">
      <c r="A2872" s="2">
        <v>45747</v>
      </c>
      <c r="C2872" t="s">
        <v>21</v>
      </c>
      <c r="D2872">
        <v>288</v>
      </c>
      <c r="J2872" s="58">
        <v>97250</v>
      </c>
    </row>
    <row r="2873" spans="1:10" hidden="1" x14ac:dyDescent="0.35">
      <c r="A2873" s="2">
        <v>45747</v>
      </c>
      <c r="C2873" t="s">
        <v>18</v>
      </c>
      <c r="D2873">
        <v>442</v>
      </c>
      <c r="J2873" s="58">
        <v>331500</v>
      </c>
    </row>
    <row r="2874" spans="1:10" hidden="1" x14ac:dyDescent="0.35">
      <c r="A2874" s="2">
        <v>45747</v>
      </c>
      <c r="C2874" t="s">
        <v>22</v>
      </c>
      <c r="D2874">
        <v>316</v>
      </c>
      <c r="J2874" s="58">
        <v>223900</v>
      </c>
    </row>
    <row r="2875" spans="1:10" hidden="1" x14ac:dyDescent="0.35">
      <c r="A2875" s="2">
        <v>45747</v>
      </c>
      <c r="C2875" t="s">
        <v>54</v>
      </c>
      <c r="D2875">
        <v>237</v>
      </c>
      <c r="J2875" s="58">
        <v>125400</v>
      </c>
    </row>
    <row r="2876" spans="1:10" hidden="1" x14ac:dyDescent="0.35">
      <c r="A2876" s="2">
        <v>45747</v>
      </c>
      <c r="C2876" t="s">
        <v>55</v>
      </c>
      <c r="D2876">
        <v>195</v>
      </c>
      <c r="J2876" s="58">
        <v>107020</v>
      </c>
    </row>
    <row r="2877" spans="1:10" hidden="1" x14ac:dyDescent="0.35">
      <c r="A2877" s="2">
        <v>45747</v>
      </c>
      <c r="C2877" t="s">
        <v>58</v>
      </c>
      <c r="D2877">
        <v>321</v>
      </c>
      <c r="J2877" s="58">
        <v>193900</v>
      </c>
    </row>
    <row r="2878" spans="1:10" hidden="1" x14ac:dyDescent="0.35">
      <c r="A2878" s="2">
        <v>45747</v>
      </c>
      <c r="C2878" t="s">
        <v>62</v>
      </c>
      <c r="D2878">
        <v>209</v>
      </c>
      <c r="J2878" s="58">
        <v>110750</v>
      </c>
    </row>
    <row r="2879" spans="1:10" hidden="1" x14ac:dyDescent="0.35">
      <c r="A2879" s="2">
        <v>45747</v>
      </c>
      <c r="C2879" t="s">
        <v>61</v>
      </c>
      <c r="D2879">
        <v>186</v>
      </c>
      <c r="J2879" s="58">
        <v>130470</v>
      </c>
    </row>
    <row r="2880" spans="1:10" hidden="1" x14ac:dyDescent="0.35">
      <c r="A2880" s="2">
        <v>45747</v>
      </c>
      <c r="C2880" t="s">
        <v>63</v>
      </c>
      <c r="D2880">
        <v>106</v>
      </c>
      <c r="J2880" s="58">
        <v>145400</v>
      </c>
    </row>
    <row r="2881" spans="1:10" hidden="1" x14ac:dyDescent="0.35">
      <c r="A2881" s="2">
        <v>45747</v>
      </c>
      <c r="C2881" t="s">
        <v>73</v>
      </c>
      <c r="D2881">
        <v>255</v>
      </c>
      <c r="J2881" s="58">
        <v>132800</v>
      </c>
    </row>
    <row r="2882" spans="1:10" hidden="1" x14ac:dyDescent="0.35">
      <c r="A2882" s="2">
        <v>45747</v>
      </c>
      <c r="C2882" t="s">
        <v>81</v>
      </c>
      <c r="D2882">
        <v>175</v>
      </c>
      <c r="J2882" s="58">
        <v>106000</v>
      </c>
    </row>
    <row r="2883" spans="1:10" hidden="1" x14ac:dyDescent="0.35">
      <c r="A2883" s="2">
        <v>45747</v>
      </c>
      <c r="C2883" t="s">
        <v>83</v>
      </c>
      <c r="D2883">
        <v>97</v>
      </c>
      <c r="J2883" s="58">
        <v>119800</v>
      </c>
    </row>
    <row r="2884" spans="1:10" hidden="1" x14ac:dyDescent="0.35">
      <c r="A2884" s="2">
        <v>45747</v>
      </c>
      <c r="C2884" t="s">
        <v>87</v>
      </c>
      <c r="D2884">
        <v>227</v>
      </c>
      <c r="J2884" s="58">
        <v>64800</v>
      </c>
    </row>
    <row r="2885" spans="1:10" hidden="1" x14ac:dyDescent="0.35">
      <c r="A2885" s="2">
        <v>45747</v>
      </c>
      <c r="C2885" t="s">
        <v>91</v>
      </c>
      <c r="D2885">
        <v>167</v>
      </c>
      <c r="J2885" s="58">
        <v>66500</v>
      </c>
    </row>
    <row r="2886" spans="1:10" hidden="1" x14ac:dyDescent="0.35">
      <c r="A2886" s="2">
        <v>45747</v>
      </c>
      <c r="C2886" t="s">
        <v>94</v>
      </c>
      <c r="D2886">
        <v>218</v>
      </c>
      <c r="J2886" s="58">
        <v>159150</v>
      </c>
    </row>
    <row r="2887" spans="1:10" hidden="1" x14ac:dyDescent="0.35">
      <c r="A2887" s="2">
        <v>45747</v>
      </c>
      <c r="C2887" t="s">
        <v>115</v>
      </c>
      <c r="D2887">
        <v>166</v>
      </c>
      <c r="J2887" s="58">
        <v>104000</v>
      </c>
    </row>
    <row r="2888" spans="1:10" hidden="1" x14ac:dyDescent="0.35">
      <c r="A2888" s="2">
        <v>45747</v>
      </c>
      <c r="B2888" t="s">
        <v>36</v>
      </c>
      <c r="C2888" t="s">
        <v>20</v>
      </c>
      <c r="E2888">
        <v>16</v>
      </c>
      <c r="F2888">
        <v>2</v>
      </c>
      <c r="G2888">
        <v>59</v>
      </c>
      <c r="H2888">
        <v>0</v>
      </c>
      <c r="I2888">
        <v>13</v>
      </c>
      <c r="J2888" s="52"/>
    </row>
    <row r="2889" spans="1:10" hidden="1" x14ac:dyDescent="0.35">
      <c r="A2889" s="2">
        <v>45747</v>
      </c>
      <c r="B2889" t="s">
        <v>110</v>
      </c>
      <c r="C2889" t="s">
        <v>20</v>
      </c>
      <c r="E2889">
        <v>8</v>
      </c>
      <c r="F2889">
        <v>2</v>
      </c>
      <c r="G2889">
        <v>21</v>
      </c>
      <c r="H2889">
        <v>0</v>
      </c>
      <c r="I2889">
        <v>8</v>
      </c>
      <c r="J2889" s="52"/>
    </row>
    <row r="2890" spans="1:10" hidden="1" x14ac:dyDescent="0.35">
      <c r="A2890" s="2">
        <v>45747</v>
      </c>
      <c r="B2890" t="s">
        <v>113</v>
      </c>
      <c r="C2890" t="s">
        <v>20</v>
      </c>
      <c r="E2890">
        <v>11</v>
      </c>
      <c r="F2890">
        <v>2</v>
      </c>
      <c r="G2890">
        <v>1</v>
      </c>
      <c r="H2890">
        <v>0</v>
      </c>
      <c r="I2890">
        <v>1</v>
      </c>
      <c r="J2890" s="52"/>
    </row>
    <row r="2891" spans="1:10" hidden="1" x14ac:dyDescent="0.35">
      <c r="A2891" s="2">
        <v>45747</v>
      </c>
      <c r="B2891" t="s">
        <v>113</v>
      </c>
      <c r="C2891" t="s">
        <v>26</v>
      </c>
      <c r="E2891">
        <v>12</v>
      </c>
      <c r="F2891">
        <v>0</v>
      </c>
      <c r="G2891">
        <v>33</v>
      </c>
      <c r="H2891">
        <v>1</v>
      </c>
      <c r="I2891">
        <v>12</v>
      </c>
      <c r="J2891" s="52"/>
    </row>
    <row r="2892" spans="1:10" hidden="1" x14ac:dyDescent="0.35">
      <c r="A2892" s="2">
        <v>45747</v>
      </c>
      <c r="B2892" t="s">
        <v>113</v>
      </c>
      <c r="C2892" t="s">
        <v>115</v>
      </c>
      <c r="E2892">
        <v>0</v>
      </c>
      <c r="F2892">
        <v>0</v>
      </c>
      <c r="G2892">
        <v>19</v>
      </c>
      <c r="H2892">
        <v>3</v>
      </c>
      <c r="I2892">
        <v>6</v>
      </c>
      <c r="J2892" s="52"/>
    </row>
    <row r="2893" spans="1:10" hidden="1" x14ac:dyDescent="0.35">
      <c r="A2893" s="2">
        <v>45747</v>
      </c>
      <c r="B2893" t="s">
        <v>125</v>
      </c>
      <c r="C2893" t="s">
        <v>115</v>
      </c>
      <c r="E2893">
        <v>21</v>
      </c>
      <c r="F2893">
        <v>1</v>
      </c>
      <c r="G2893">
        <v>4</v>
      </c>
      <c r="H2893">
        <v>0</v>
      </c>
      <c r="I2893">
        <v>2</v>
      </c>
      <c r="J2893" s="52"/>
    </row>
    <row r="2894" spans="1:10" hidden="1" x14ac:dyDescent="0.35">
      <c r="A2894" s="2">
        <v>45747</v>
      </c>
      <c r="B2894" t="s">
        <v>38</v>
      </c>
      <c r="C2894" t="s">
        <v>18</v>
      </c>
      <c r="E2894">
        <v>19</v>
      </c>
      <c r="F2894">
        <v>10</v>
      </c>
      <c r="G2894">
        <v>14</v>
      </c>
      <c r="H2894">
        <v>1</v>
      </c>
      <c r="I2894">
        <v>12</v>
      </c>
      <c r="J2894" s="52"/>
    </row>
    <row r="2895" spans="1:10" hidden="1" x14ac:dyDescent="0.35">
      <c r="A2895" s="2">
        <v>45747</v>
      </c>
      <c r="B2895" t="s">
        <v>116</v>
      </c>
      <c r="C2895" t="s">
        <v>18</v>
      </c>
      <c r="E2895">
        <v>18</v>
      </c>
      <c r="F2895">
        <v>23</v>
      </c>
      <c r="G2895">
        <v>6</v>
      </c>
      <c r="H2895">
        <v>12</v>
      </c>
      <c r="I2895">
        <v>13</v>
      </c>
      <c r="J2895" s="52"/>
    </row>
    <row r="2896" spans="1:10" hidden="1" x14ac:dyDescent="0.35">
      <c r="A2896" s="2">
        <v>45747</v>
      </c>
      <c r="B2896" t="s">
        <v>122</v>
      </c>
      <c r="C2896" t="s">
        <v>25</v>
      </c>
      <c r="E2896">
        <v>45</v>
      </c>
      <c r="F2896">
        <v>2</v>
      </c>
      <c r="G2896">
        <v>30</v>
      </c>
      <c r="H2896">
        <v>0</v>
      </c>
      <c r="I2896">
        <v>11</v>
      </c>
      <c r="J2896" s="52"/>
    </row>
    <row r="2897" spans="1:10" hidden="1" x14ac:dyDescent="0.35">
      <c r="A2897" s="2">
        <v>45747</v>
      </c>
      <c r="B2897" t="s">
        <v>104</v>
      </c>
      <c r="C2897" t="s">
        <v>23</v>
      </c>
      <c r="E2897">
        <v>0</v>
      </c>
      <c r="F2897">
        <v>0</v>
      </c>
      <c r="G2897">
        <v>0</v>
      </c>
      <c r="H2897">
        <v>0</v>
      </c>
      <c r="I2897">
        <v>2</v>
      </c>
      <c r="J2897" s="52"/>
    </row>
    <row r="2898" spans="1:10" hidden="1" x14ac:dyDescent="0.35">
      <c r="A2898" s="2">
        <v>45747</v>
      </c>
      <c r="B2898" t="s">
        <v>122</v>
      </c>
      <c r="C2898" t="s">
        <v>23</v>
      </c>
      <c r="E2898">
        <v>13</v>
      </c>
      <c r="F2898">
        <v>1</v>
      </c>
      <c r="G2898">
        <v>9</v>
      </c>
      <c r="H2898">
        <v>0</v>
      </c>
      <c r="I2898">
        <v>2</v>
      </c>
      <c r="J2898" s="52"/>
    </row>
    <row r="2899" spans="1:10" hidden="1" x14ac:dyDescent="0.35">
      <c r="A2899" s="2">
        <v>45747</v>
      </c>
      <c r="B2899" t="s">
        <v>126</v>
      </c>
      <c r="C2899" t="s">
        <v>23</v>
      </c>
      <c r="E2899">
        <v>9</v>
      </c>
      <c r="F2899">
        <v>1</v>
      </c>
      <c r="G2899">
        <v>11</v>
      </c>
      <c r="H2899">
        <v>0</v>
      </c>
      <c r="I2899">
        <v>7</v>
      </c>
      <c r="J2899" s="52"/>
    </row>
    <row r="2900" spans="1:10" hidden="1" x14ac:dyDescent="0.35">
      <c r="A2900" s="2">
        <v>45747</v>
      </c>
      <c r="B2900" t="s">
        <v>126</v>
      </c>
      <c r="C2900" t="s">
        <v>24</v>
      </c>
      <c r="E2900">
        <v>3</v>
      </c>
      <c r="F2900">
        <v>1</v>
      </c>
      <c r="G2900">
        <v>1</v>
      </c>
      <c r="H2900">
        <v>0</v>
      </c>
      <c r="I2900">
        <v>3</v>
      </c>
      <c r="J2900" s="52"/>
    </row>
    <row r="2901" spans="1:10" hidden="1" x14ac:dyDescent="0.35">
      <c r="A2901" s="2">
        <v>45747</v>
      </c>
      <c r="B2901" t="s">
        <v>96</v>
      </c>
      <c r="C2901" t="s">
        <v>24</v>
      </c>
      <c r="E2901">
        <v>16</v>
      </c>
      <c r="F2901">
        <v>5</v>
      </c>
      <c r="G2901">
        <v>11</v>
      </c>
      <c r="H2901">
        <v>1</v>
      </c>
      <c r="I2901">
        <v>5</v>
      </c>
      <c r="J2901" s="52"/>
    </row>
    <row r="2902" spans="1:10" hidden="1" x14ac:dyDescent="0.35">
      <c r="A2902" s="2">
        <v>45747</v>
      </c>
      <c r="B2902" t="s">
        <v>101</v>
      </c>
      <c r="C2902" t="s">
        <v>24</v>
      </c>
      <c r="E2902">
        <v>1</v>
      </c>
      <c r="F2902">
        <v>0</v>
      </c>
      <c r="G2902">
        <v>0</v>
      </c>
      <c r="H2902">
        <v>0</v>
      </c>
      <c r="I2902">
        <v>1</v>
      </c>
      <c r="J2902" s="52"/>
    </row>
    <row r="2903" spans="1:10" hidden="1" x14ac:dyDescent="0.35">
      <c r="A2903" s="2">
        <v>45747</v>
      </c>
      <c r="B2903" t="s">
        <v>101</v>
      </c>
      <c r="C2903" t="s">
        <v>37</v>
      </c>
      <c r="E2903">
        <v>10</v>
      </c>
      <c r="F2903">
        <v>0</v>
      </c>
      <c r="G2903">
        <v>2</v>
      </c>
      <c r="H2903">
        <v>0</v>
      </c>
      <c r="I2903">
        <v>5</v>
      </c>
      <c r="J2903" s="52"/>
    </row>
    <row r="2904" spans="1:10" hidden="1" x14ac:dyDescent="0.35">
      <c r="A2904" s="2">
        <v>45747</v>
      </c>
      <c r="B2904" t="s">
        <v>102</v>
      </c>
      <c r="C2904" t="s">
        <v>37</v>
      </c>
      <c r="E2904">
        <v>20</v>
      </c>
      <c r="F2904">
        <v>4</v>
      </c>
      <c r="G2904">
        <v>17</v>
      </c>
      <c r="H2904">
        <v>4</v>
      </c>
      <c r="I2904">
        <v>6</v>
      </c>
      <c r="J2904" s="52"/>
    </row>
    <row r="2905" spans="1:10" hidden="1" x14ac:dyDescent="0.35">
      <c r="A2905" s="2">
        <v>45747</v>
      </c>
      <c r="B2905" t="s">
        <v>126</v>
      </c>
      <c r="C2905" t="s">
        <v>37</v>
      </c>
      <c r="E2905">
        <v>9</v>
      </c>
      <c r="F2905">
        <v>2</v>
      </c>
      <c r="G2905">
        <v>7</v>
      </c>
      <c r="H2905">
        <v>1</v>
      </c>
      <c r="I2905">
        <v>7</v>
      </c>
      <c r="J2905" s="52"/>
    </row>
    <row r="2906" spans="1:10" hidden="1" x14ac:dyDescent="0.35">
      <c r="A2906" s="2">
        <v>45747</v>
      </c>
      <c r="B2906" t="s">
        <v>112</v>
      </c>
      <c r="C2906" t="s">
        <v>19</v>
      </c>
      <c r="E2906">
        <v>27</v>
      </c>
      <c r="F2906">
        <v>4</v>
      </c>
      <c r="G2906">
        <v>39</v>
      </c>
      <c r="H2906">
        <v>1</v>
      </c>
      <c r="I2906">
        <v>9</v>
      </c>
      <c r="J2906" s="52"/>
    </row>
    <row r="2907" spans="1:10" hidden="1" x14ac:dyDescent="0.35">
      <c r="A2907" s="2">
        <v>45747</v>
      </c>
      <c r="B2907" t="s">
        <v>40</v>
      </c>
      <c r="C2907" t="s">
        <v>19</v>
      </c>
      <c r="E2907">
        <v>25</v>
      </c>
      <c r="F2907">
        <v>4</v>
      </c>
      <c r="G2907">
        <v>28</v>
      </c>
      <c r="H2907">
        <v>3</v>
      </c>
      <c r="I2907">
        <v>6</v>
      </c>
      <c r="J2907" s="52"/>
    </row>
    <row r="2908" spans="1:10" hidden="1" x14ac:dyDescent="0.35">
      <c r="A2908" s="2">
        <v>45747</v>
      </c>
      <c r="B2908" t="s">
        <v>121</v>
      </c>
      <c r="C2908" t="s">
        <v>22</v>
      </c>
      <c r="E2908">
        <v>33</v>
      </c>
      <c r="F2908">
        <v>24</v>
      </c>
      <c r="G2908">
        <v>23</v>
      </c>
      <c r="H2908">
        <v>2</v>
      </c>
      <c r="I2908">
        <v>10</v>
      </c>
      <c r="J2908" s="52"/>
    </row>
    <row r="2909" spans="1:10" hidden="1" x14ac:dyDescent="0.35">
      <c r="A2909" s="2">
        <v>45747</v>
      </c>
      <c r="B2909" t="s">
        <v>95</v>
      </c>
      <c r="C2909" t="s">
        <v>22</v>
      </c>
      <c r="E2909">
        <v>7</v>
      </c>
      <c r="F2909">
        <v>0</v>
      </c>
      <c r="G2909">
        <v>10</v>
      </c>
      <c r="H2909">
        <v>3</v>
      </c>
      <c r="I2909">
        <v>7</v>
      </c>
      <c r="J2909" s="52"/>
    </row>
    <row r="2910" spans="1:10" hidden="1" x14ac:dyDescent="0.35">
      <c r="A2910" s="2">
        <v>45747</v>
      </c>
      <c r="B2910" t="s">
        <v>43</v>
      </c>
      <c r="C2910" t="s">
        <v>27</v>
      </c>
      <c r="E2910">
        <v>23</v>
      </c>
      <c r="F2910">
        <v>0</v>
      </c>
      <c r="G2910">
        <v>36</v>
      </c>
      <c r="H2910">
        <v>0</v>
      </c>
      <c r="I2910">
        <v>12</v>
      </c>
      <c r="J2910" s="52"/>
    </row>
    <row r="2911" spans="1:10" hidden="1" x14ac:dyDescent="0.35">
      <c r="A2911" s="2">
        <v>45747</v>
      </c>
      <c r="B2911" t="s">
        <v>84</v>
      </c>
      <c r="C2911" t="s">
        <v>27</v>
      </c>
      <c r="E2911">
        <v>14</v>
      </c>
      <c r="F2911">
        <v>0</v>
      </c>
      <c r="G2911">
        <v>37</v>
      </c>
      <c r="H2911">
        <v>0</v>
      </c>
      <c r="I2911">
        <v>18</v>
      </c>
      <c r="J2911" s="52"/>
    </row>
    <row r="2912" spans="1:10" hidden="1" x14ac:dyDescent="0.35">
      <c r="A2912" s="2">
        <v>45747</v>
      </c>
      <c r="B2912" t="s">
        <v>101</v>
      </c>
      <c r="C2912" t="s">
        <v>9</v>
      </c>
      <c r="E2912">
        <v>20</v>
      </c>
      <c r="F2912">
        <v>0</v>
      </c>
      <c r="G2912">
        <v>21</v>
      </c>
      <c r="H2912">
        <v>4</v>
      </c>
      <c r="I2912">
        <v>10</v>
      </c>
      <c r="J2912" s="52"/>
    </row>
    <row r="2913" spans="1:10" hidden="1" x14ac:dyDescent="0.35">
      <c r="A2913" s="2">
        <v>45747</v>
      </c>
      <c r="B2913" t="s">
        <v>75</v>
      </c>
      <c r="C2913" t="s">
        <v>21</v>
      </c>
      <c r="E2913">
        <v>8</v>
      </c>
      <c r="F2913">
        <v>8</v>
      </c>
      <c r="G2913">
        <v>18</v>
      </c>
      <c r="H2913">
        <v>5</v>
      </c>
      <c r="I2913">
        <v>7</v>
      </c>
      <c r="J2913" s="52"/>
    </row>
    <row r="2914" spans="1:10" hidden="1" x14ac:dyDescent="0.35">
      <c r="A2914" s="2">
        <v>45747</v>
      </c>
      <c r="B2914" t="s">
        <v>127</v>
      </c>
      <c r="C2914" t="s">
        <v>21</v>
      </c>
      <c r="E2914">
        <v>11</v>
      </c>
      <c r="F2914">
        <v>5</v>
      </c>
      <c r="G2914">
        <v>0</v>
      </c>
      <c r="H2914">
        <v>0</v>
      </c>
      <c r="I2914">
        <v>0</v>
      </c>
      <c r="J2914" s="52"/>
    </row>
    <row r="2915" spans="1:10" hidden="1" x14ac:dyDescent="0.35">
      <c r="A2915" s="2">
        <v>45747</v>
      </c>
      <c r="B2915" t="s">
        <v>117</v>
      </c>
      <c r="C2915" t="s">
        <v>54</v>
      </c>
      <c r="E2915">
        <v>18</v>
      </c>
      <c r="F2915">
        <v>5</v>
      </c>
      <c r="G2915">
        <v>22</v>
      </c>
      <c r="H2915">
        <v>5</v>
      </c>
      <c r="I2915">
        <v>9</v>
      </c>
      <c r="J2915" s="52"/>
    </row>
    <row r="2916" spans="1:10" hidden="1" x14ac:dyDescent="0.35">
      <c r="A2916" s="2">
        <v>45747</v>
      </c>
      <c r="B2916" t="s">
        <v>123</v>
      </c>
      <c r="C2916" t="s">
        <v>55</v>
      </c>
      <c r="E2916">
        <v>14</v>
      </c>
      <c r="F2916">
        <v>18</v>
      </c>
      <c r="G2916">
        <v>17</v>
      </c>
      <c r="H2916">
        <v>5</v>
      </c>
      <c r="I2916">
        <v>8</v>
      </c>
      <c r="J2916" s="52"/>
    </row>
    <row r="2917" spans="1:10" hidden="1" x14ac:dyDescent="0.35">
      <c r="A2917" s="2">
        <v>45747</v>
      </c>
      <c r="B2917" t="s">
        <v>107</v>
      </c>
      <c r="C2917" t="s">
        <v>58</v>
      </c>
      <c r="E2917">
        <v>18</v>
      </c>
      <c r="F2917">
        <v>22</v>
      </c>
      <c r="G2917">
        <v>18</v>
      </c>
      <c r="H2917">
        <v>27</v>
      </c>
      <c r="I2917">
        <v>15</v>
      </c>
      <c r="J2917" s="52"/>
    </row>
    <row r="2918" spans="1:10" hidden="1" x14ac:dyDescent="0.35">
      <c r="A2918" s="2">
        <v>45747</v>
      </c>
      <c r="B2918" t="s">
        <v>64</v>
      </c>
      <c r="C2918" t="s">
        <v>62</v>
      </c>
      <c r="E2918">
        <v>9</v>
      </c>
      <c r="F2918">
        <v>1</v>
      </c>
      <c r="G2918">
        <v>24</v>
      </c>
      <c r="H2918">
        <v>3</v>
      </c>
      <c r="I2918">
        <v>8</v>
      </c>
      <c r="J2918" s="52"/>
    </row>
    <row r="2919" spans="1:10" hidden="1" x14ac:dyDescent="0.35">
      <c r="A2919" s="2">
        <v>45747</v>
      </c>
      <c r="B2919" t="s">
        <v>97</v>
      </c>
      <c r="C2919" t="s">
        <v>61</v>
      </c>
      <c r="E2919">
        <v>12</v>
      </c>
      <c r="F2919">
        <v>0</v>
      </c>
      <c r="G2919">
        <v>8</v>
      </c>
      <c r="H2919">
        <v>1</v>
      </c>
      <c r="I2919">
        <v>9</v>
      </c>
      <c r="J2919" s="52"/>
    </row>
    <row r="2920" spans="1:10" hidden="1" x14ac:dyDescent="0.35">
      <c r="A2920" s="2">
        <v>45747</v>
      </c>
      <c r="B2920" t="s">
        <v>118</v>
      </c>
      <c r="C2920" t="s">
        <v>61</v>
      </c>
      <c r="E2920">
        <v>5</v>
      </c>
      <c r="F2920">
        <v>0</v>
      </c>
      <c r="G2920">
        <v>4</v>
      </c>
      <c r="H2920">
        <v>1</v>
      </c>
      <c r="I2920">
        <v>1</v>
      </c>
      <c r="J2920" s="52"/>
    </row>
    <row r="2921" spans="1:10" hidden="1" x14ac:dyDescent="0.35">
      <c r="A2921" s="2">
        <v>45747</v>
      </c>
      <c r="B2921" t="s">
        <v>118</v>
      </c>
      <c r="C2921" t="s">
        <v>91</v>
      </c>
      <c r="E2921">
        <v>13</v>
      </c>
      <c r="F2921">
        <v>2</v>
      </c>
      <c r="G2921">
        <v>10</v>
      </c>
      <c r="H2921">
        <v>3</v>
      </c>
      <c r="I2921">
        <v>5</v>
      </c>
      <c r="J2921" s="52"/>
    </row>
    <row r="2922" spans="1:10" hidden="1" x14ac:dyDescent="0.35">
      <c r="A2922" s="2">
        <v>45747</v>
      </c>
      <c r="B2922" t="s">
        <v>119</v>
      </c>
      <c r="C2922" t="s">
        <v>63</v>
      </c>
      <c r="E2922">
        <v>14</v>
      </c>
      <c r="F2922">
        <v>8</v>
      </c>
      <c r="G2922">
        <v>17</v>
      </c>
      <c r="H2922">
        <v>2</v>
      </c>
      <c r="I2922">
        <v>12</v>
      </c>
      <c r="J2922" s="52"/>
    </row>
    <row r="2923" spans="1:10" hidden="1" x14ac:dyDescent="0.35">
      <c r="A2923" s="2">
        <v>45747</v>
      </c>
      <c r="B2923" t="s">
        <v>77</v>
      </c>
      <c r="C2923" t="s">
        <v>73</v>
      </c>
      <c r="E2923">
        <v>14</v>
      </c>
      <c r="F2923">
        <v>2</v>
      </c>
      <c r="G2923">
        <v>11</v>
      </c>
      <c r="H2923">
        <v>8</v>
      </c>
      <c r="I2923">
        <v>10</v>
      </c>
      <c r="J2923" s="52"/>
    </row>
    <row r="2924" spans="1:10" hidden="1" x14ac:dyDescent="0.35">
      <c r="A2924" s="2">
        <v>45747</v>
      </c>
      <c r="B2924" t="s">
        <v>110</v>
      </c>
      <c r="C2924" t="s">
        <v>81</v>
      </c>
      <c r="E2924">
        <v>16</v>
      </c>
      <c r="F2924">
        <v>0</v>
      </c>
      <c r="G2924">
        <v>26</v>
      </c>
      <c r="H2924">
        <v>0</v>
      </c>
      <c r="I2924">
        <v>8</v>
      </c>
      <c r="J2924" s="52"/>
    </row>
    <row r="2925" spans="1:10" hidden="1" x14ac:dyDescent="0.35">
      <c r="A2925" s="2">
        <v>45747</v>
      </c>
      <c r="B2925" t="s">
        <v>85</v>
      </c>
      <c r="C2925" t="s">
        <v>83</v>
      </c>
      <c r="E2925">
        <v>7</v>
      </c>
      <c r="F2925">
        <v>3</v>
      </c>
      <c r="G2925">
        <v>15</v>
      </c>
      <c r="H2925">
        <v>3</v>
      </c>
      <c r="I2925">
        <v>9</v>
      </c>
      <c r="J2925" s="52"/>
    </row>
    <row r="2926" spans="1:10" hidden="1" x14ac:dyDescent="0.35">
      <c r="A2926" s="2">
        <v>45747</v>
      </c>
      <c r="B2926" t="s">
        <v>89</v>
      </c>
      <c r="C2926" t="s">
        <v>87</v>
      </c>
      <c r="E2926">
        <v>11</v>
      </c>
      <c r="F2926">
        <v>6</v>
      </c>
      <c r="G2926">
        <v>13</v>
      </c>
      <c r="H2926">
        <v>1</v>
      </c>
      <c r="I2926">
        <v>5</v>
      </c>
      <c r="J2926" s="52"/>
    </row>
    <row r="2927" spans="1:10" hidden="1" x14ac:dyDescent="0.35">
      <c r="A2927" s="2">
        <v>45747</v>
      </c>
      <c r="B2927" t="s">
        <v>98</v>
      </c>
      <c r="C2927" t="s">
        <v>94</v>
      </c>
      <c r="E2927">
        <v>30</v>
      </c>
      <c r="F2927">
        <v>0</v>
      </c>
      <c r="G2927">
        <v>21</v>
      </c>
      <c r="H2927">
        <v>3</v>
      </c>
      <c r="I2927">
        <v>11</v>
      </c>
      <c r="J2927" s="52"/>
    </row>
    <row r="2928" spans="1:10" hidden="1" x14ac:dyDescent="0.35">
      <c r="A2928" s="2">
        <v>45777</v>
      </c>
      <c r="C2928" t="s">
        <v>24</v>
      </c>
      <c r="D2928">
        <v>207</v>
      </c>
      <c r="J2928" s="58">
        <v>145850</v>
      </c>
    </row>
    <row r="2929" spans="1:10" hidden="1" x14ac:dyDescent="0.35">
      <c r="A2929" s="2">
        <v>45777</v>
      </c>
      <c r="C2929" t="s">
        <v>9</v>
      </c>
      <c r="D2929">
        <v>162</v>
      </c>
      <c r="J2929" s="58">
        <v>196400</v>
      </c>
    </row>
    <row r="2930" spans="1:10" hidden="1" x14ac:dyDescent="0.35">
      <c r="A2930" s="2">
        <v>45777</v>
      </c>
      <c r="C2930" t="s">
        <v>37</v>
      </c>
      <c r="D2930">
        <v>394</v>
      </c>
      <c r="J2930" s="58">
        <v>238900</v>
      </c>
    </row>
    <row r="2931" spans="1:10" hidden="1" x14ac:dyDescent="0.35">
      <c r="A2931" s="2">
        <v>45777</v>
      </c>
      <c r="C2931" t="s">
        <v>23</v>
      </c>
      <c r="D2931">
        <v>133</v>
      </c>
      <c r="J2931" s="58">
        <v>141450</v>
      </c>
    </row>
    <row r="2932" spans="1:10" hidden="1" x14ac:dyDescent="0.35">
      <c r="A2932" s="2">
        <v>45777</v>
      </c>
      <c r="C2932" t="s">
        <v>27</v>
      </c>
      <c r="D2932">
        <v>326</v>
      </c>
      <c r="J2932" s="58">
        <v>395600</v>
      </c>
    </row>
    <row r="2933" spans="1:10" hidden="1" x14ac:dyDescent="0.35">
      <c r="A2933" s="2">
        <v>45777</v>
      </c>
      <c r="C2933" t="s">
        <v>26</v>
      </c>
      <c r="D2933">
        <v>127</v>
      </c>
      <c r="J2933" s="58">
        <v>105600</v>
      </c>
    </row>
    <row r="2934" spans="1:10" hidden="1" x14ac:dyDescent="0.35">
      <c r="A2934" s="2">
        <v>45777</v>
      </c>
      <c r="C2934" t="s">
        <v>20</v>
      </c>
      <c r="D2934">
        <v>270</v>
      </c>
      <c r="J2934" s="58">
        <v>282500</v>
      </c>
    </row>
    <row r="2935" spans="1:10" hidden="1" x14ac:dyDescent="0.35">
      <c r="A2935" s="2">
        <v>45777</v>
      </c>
      <c r="C2935" t="s">
        <v>25</v>
      </c>
      <c r="D2935">
        <v>156</v>
      </c>
      <c r="J2935" s="58">
        <v>209750</v>
      </c>
    </row>
    <row r="2936" spans="1:10" hidden="1" x14ac:dyDescent="0.35">
      <c r="A2936" s="2">
        <v>45777</v>
      </c>
      <c r="C2936" t="s">
        <v>19</v>
      </c>
      <c r="D2936">
        <v>262</v>
      </c>
      <c r="J2936" s="58">
        <v>368470</v>
      </c>
    </row>
    <row r="2937" spans="1:10" hidden="1" x14ac:dyDescent="0.35">
      <c r="A2937" s="2">
        <v>45777</v>
      </c>
      <c r="C2937" t="s">
        <v>21</v>
      </c>
      <c r="D2937">
        <v>286</v>
      </c>
      <c r="J2937" s="58">
        <v>84300</v>
      </c>
    </row>
    <row r="2938" spans="1:10" hidden="1" x14ac:dyDescent="0.35">
      <c r="A2938" s="2">
        <v>45777</v>
      </c>
      <c r="C2938" t="s">
        <v>18</v>
      </c>
      <c r="D2938">
        <v>346</v>
      </c>
      <c r="J2938" s="58">
        <v>303100</v>
      </c>
    </row>
    <row r="2939" spans="1:10" hidden="1" x14ac:dyDescent="0.35">
      <c r="A2939" s="2">
        <v>45777</v>
      </c>
      <c r="C2939" t="s">
        <v>22</v>
      </c>
      <c r="D2939">
        <v>204</v>
      </c>
      <c r="J2939" s="58">
        <v>238900</v>
      </c>
    </row>
    <row r="2940" spans="1:10" hidden="1" x14ac:dyDescent="0.35">
      <c r="A2940" s="2">
        <v>45777</v>
      </c>
      <c r="C2940" t="s">
        <v>54</v>
      </c>
      <c r="D2940">
        <v>183</v>
      </c>
      <c r="J2940" s="58">
        <v>183150</v>
      </c>
    </row>
    <row r="2941" spans="1:10" hidden="1" x14ac:dyDescent="0.35">
      <c r="A2941" s="2">
        <v>45777</v>
      </c>
      <c r="C2941" t="s">
        <v>55</v>
      </c>
      <c r="D2941">
        <v>170</v>
      </c>
      <c r="J2941" s="58">
        <v>88000</v>
      </c>
    </row>
    <row r="2942" spans="1:10" hidden="1" x14ac:dyDescent="0.35">
      <c r="A2942" s="2">
        <v>45777</v>
      </c>
      <c r="C2942" t="s">
        <v>58</v>
      </c>
      <c r="D2942">
        <v>265</v>
      </c>
      <c r="J2942" s="58">
        <v>179300</v>
      </c>
    </row>
    <row r="2943" spans="1:10" hidden="1" x14ac:dyDescent="0.35">
      <c r="A2943" s="2">
        <v>45777</v>
      </c>
      <c r="C2943" t="s">
        <v>62</v>
      </c>
      <c r="D2943">
        <v>127</v>
      </c>
      <c r="J2943" s="58">
        <v>27000</v>
      </c>
    </row>
    <row r="2944" spans="1:10" hidden="1" x14ac:dyDescent="0.35">
      <c r="A2944" s="2">
        <v>45777</v>
      </c>
      <c r="C2944" t="s">
        <v>61</v>
      </c>
      <c r="D2944">
        <v>208</v>
      </c>
      <c r="J2944" s="58">
        <v>104460</v>
      </c>
    </row>
    <row r="2945" spans="1:10" hidden="1" x14ac:dyDescent="0.35">
      <c r="A2945" s="2">
        <v>45777</v>
      </c>
      <c r="C2945" t="s">
        <v>63</v>
      </c>
      <c r="D2945">
        <v>92</v>
      </c>
      <c r="J2945" s="58">
        <v>155500</v>
      </c>
    </row>
    <row r="2946" spans="1:10" hidden="1" x14ac:dyDescent="0.35">
      <c r="A2946" s="2">
        <v>45777</v>
      </c>
      <c r="C2946" t="s">
        <v>73</v>
      </c>
      <c r="D2946">
        <v>223</v>
      </c>
      <c r="J2946" s="58">
        <v>73350</v>
      </c>
    </row>
    <row r="2947" spans="1:10" hidden="1" x14ac:dyDescent="0.35">
      <c r="A2947" s="2">
        <v>45777</v>
      </c>
      <c r="C2947" t="s">
        <v>81</v>
      </c>
      <c r="D2947">
        <v>120</v>
      </c>
      <c r="J2947" s="58">
        <v>118500</v>
      </c>
    </row>
    <row r="2948" spans="1:10" hidden="1" x14ac:dyDescent="0.35">
      <c r="A2948" s="2">
        <v>45777</v>
      </c>
      <c r="C2948" t="s">
        <v>83</v>
      </c>
      <c r="D2948">
        <v>94</v>
      </c>
      <c r="J2948" s="58">
        <v>137850</v>
      </c>
    </row>
    <row r="2949" spans="1:10" hidden="1" x14ac:dyDescent="0.35">
      <c r="A2949" s="2">
        <v>45777</v>
      </c>
      <c r="C2949" t="s">
        <v>87</v>
      </c>
      <c r="D2949">
        <v>140</v>
      </c>
      <c r="J2949" s="58">
        <v>51900</v>
      </c>
    </row>
    <row r="2950" spans="1:10" hidden="1" x14ac:dyDescent="0.35">
      <c r="A2950" s="2">
        <v>45777</v>
      </c>
      <c r="C2950" t="s">
        <v>91</v>
      </c>
      <c r="D2950">
        <v>73</v>
      </c>
      <c r="J2950" s="58">
        <v>13500</v>
      </c>
    </row>
    <row r="2951" spans="1:10" hidden="1" x14ac:dyDescent="0.35">
      <c r="A2951" s="2">
        <v>45777</v>
      </c>
      <c r="C2951" t="s">
        <v>94</v>
      </c>
      <c r="D2951">
        <v>146</v>
      </c>
      <c r="J2951" s="58">
        <v>116230</v>
      </c>
    </row>
    <row r="2952" spans="1:10" hidden="1" x14ac:dyDescent="0.35">
      <c r="A2952" s="2">
        <v>45777</v>
      </c>
      <c r="C2952" t="s">
        <v>115</v>
      </c>
      <c r="D2952">
        <v>93</v>
      </c>
      <c r="J2952" s="58">
        <v>136500</v>
      </c>
    </row>
    <row r="2953" spans="1:10" hidden="1" x14ac:dyDescent="0.35">
      <c r="A2953" s="2">
        <v>45777</v>
      </c>
      <c r="B2953" t="s">
        <v>36</v>
      </c>
      <c r="C2953" t="s">
        <v>20</v>
      </c>
      <c r="E2953">
        <v>6</v>
      </c>
      <c r="F2953">
        <v>0</v>
      </c>
      <c r="G2953">
        <v>29</v>
      </c>
      <c r="H2953">
        <v>2</v>
      </c>
      <c r="I2953">
        <v>10</v>
      </c>
      <c r="J2953" s="52"/>
    </row>
    <row r="2954" spans="1:10" hidden="1" x14ac:dyDescent="0.35">
      <c r="A2954" s="2">
        <v>45777</v>
      </c>
      <c r="B2954" t="s">
        <v>110</v>
      </c>
      <c r="C2954" t="s">
        <v>20</v>
      </c>
      <c r="E2954">
        <v>25</v>
      </c>
      <c r="F2954">
        <v>5</v>
      </c>
      <c r="G2954">
        <v>23</v>
      </c>
      <c r="H2954">
        <v>1</v>
      </c>
      <c r="I2954">
        <v>9</v>
      </c>
      <c r="J2954" s="52"/>
    </row>
    <row r="2955" spans="1:10" hidden="1" x14ac:dyDescent="0.35">
      <c r="A2955" s="2">
        <v>45777</v>
      </c>
      <c r="B2955" t="s">
        <v>113</v>
      </c>
      <c r="C2955" t="s">
        <v>20</v>
      </c>
      <c r="E2955">
        <v>13</v>
      </c>
      <c r="F2955">
        <v>1</v>
      </c>
      <c r="G2955">
        <v>2</v>
      </c>
      <c r="H2955">
        <v>0</v>
      </c>
      <c r="I2955">
        <v>0</v>
      </c>
      <c r="J2955" s="52"/>
    </row>
    <row r="2956" spans="1:10" hidden="1" x14ac:dyDescent="0.35">
      <c r="A2956" s="2">
        <v>45777</v>
      </c>
      <c r="B2956" t="s">
        <v>113</v>
      </c>
      <c r="C2956" t="s">
        <v>26</v>
      </c>
      <c r="E2956">
        <v>24</v>
      </c>
      <c r="F2956">
        <v>2</v>
      </c>
      <c r="G2956">
        <v>57</v>
      </c>
      <c r="H2956">
        <v>1</v>
      </c>
      <c r="I2956">
        <v>8</v>
      </c>
      <c r="J2956" s="52"/>
    </row>
    <row r="2957" spans="1:10" hidden="1" x14ac:dyDescent="0.35">
      <c r="A2957" s="2">
        <v>45777</v>
      </c>
      <c r="B2957" t="s">
        <v>113</v>
      </c>
      <c r="C2957" t="s">
        <v>115</v>
      </c>
      <c r="E2957">
        <v>3</v>
      </c>
      <c r="F2957">
        <v>0</v>
      </c>
      <c r="G2957">
        <v>26</v>
      </c>
      <c r="H2957">
        <v>1</v>
      </c>
      <c r="I2957">
        <v>9</v>
      </c>
      <c r="J2957" s="52"/>
    </row>
    <row r="2958" spans="1:10" hidden="1" x14ac:dyDescent="0.35">
      <c r="A2958" s="2">
        <v>45777</v>
      </c>
      <c r="B2958" t="s">
        <v>125</v>
      </c>
      <c r="C2958" t="s">
        <v>115</v>
      </c>
      <c r="E2958">
        <v>18</v>
      </c>
      <c r="F2958">
        <v>1</v>
      </c>
      <c r="G2958">
        <v>9</v>
      </c>
      <c r="H2958">
        <v>0</v>
      </c>
      <c r="I2958">
        <v>2</v>
      </c>
      <c r="J2958" s="52"/>
    </row>
    <row r="2959" spans="1:10" hidden="1" x14ac:dyDescent="0.35">
      <c r="A2959" s="2">
        <v>45777</v>
      </c>
      <c r="B2959" t="s">
        <v>38</v>
      </c>
      <c r="C2959" t="s">
        <v>18</v>
      </c>
      <c r="E2959">
        <v>22</v>
      </c>
      <c r="F2959">
        <v>8</v>
      </c>
      <c r="G2959">
        <v>17</v>
      </c>
      <c r="H2959">
        <v>5</v>
      </c>
      <c r="I2959">
        <v>11</v>
      </c>
      <c r="J2959" s="52"/>
    </row>
    <row r="2960" spans="1:10" hidden="1" x14ac:dyDescent="0.35">
      <c r="A2960" s="2">
        <v>45777</v>
      </c>
      <c r="B2960" t="s">
        <v>116</v>
      </c>
      <c r="C2960" t="s">
        <v>18</v>
      </c>
      <c r="E2960">
        <v>33</v>
      </c>
      <c r="F2960">
        <v>11</v>
      </c>
      <c r="G2960">
        <v>18</v>
      </c>
      <c r="H2960">
        <v>12</v>
      </c>
      <c r="I2960">
        <v>11</v>
      </c>
      <c r="J2960" s="52"/>
    </row>
    <row r="2961" spans="1:10" hidden="1" x14ac:dyDescent="0.35">
      <c r="A2961" s="2">
        <v>45777</v>
      </c>
      <c r="B2961" t="s">
        <v>122</v>
      </c>
      <c r="C2961" t="s">
        <v>25</v>
      </c>
      <c r="E2961">
        <v>41</v>
      </c>
      <c r="F2961">
        <v>0</v>
      </c>
      <c r="G2961">
        <v>26</v>
      </c>
      <c r="H2961">
        <v>2</v>
      </c>
      <c r="I2961">
        <v>15</v>
      </c>
      <c r="J2961" s="52"/>
    </row>
    <row r="2962" spans="1:10" hidden="1" x14ac:dyDescent="0.35">
      <c r="A2962" s="2">
        <v>45777</v>
      </c>
      <c r="B2962" t="s">
        <v>104</v>
      </c>
      <c r="C2962" t="s">
        <v>23</v>
      </c>
      <c r="E2962">
        <v>0</v>
      </c>
      <c r="F2962">
        <v>0</v>
      </c>
      <c r="G2962">
        <v>0</v>
      </c>
      <c r="H2962">
        <v>1</v>
      </c>
      <c r="I2962">
        <v>0</v>
      </c>
      <c r="J2962" s="52"/>
    </row>
    <row r="2963" spans="1:10" hidden="1" x14ac:dyDescent="0.35">
      <c r="A2963" s="2">
        <v>45777</v>
      </c>
      <c r="B2963" t="s">
        <v>122</v>
      </c>
      <c r="C2963" t="s">
        <v>23</v>
      </c>
      <c r="E2963">
        <v>11</v>
      </c>
      <c r="F2963">
        <v>1</v>
      </c>
      <c r="G2963">
        <v>17</v>
      </c>
      <c r="H2963">
        <v>0</v>
      </c>
      <c r="I2963">
        <v>6</v>
      </c>
      <c r="J2963" s="52"/>
    </row>
    <row r="2964" spans="1:10" hidden="1" x14ac:dyDescent="0.35">
      <c r="A2964" s="2">
        <v>45777</v>
      </c>
      <c r="B2964" t="s">
        <v>126</v>
      </c>
      <c r="C2964" t="s">
        <v>23</v>
      </c>
      <c r="E2964">
        <v>13</v>
      </c>
      <c r="F2964">
        <v>2</v>
      </c>
      <c r="G2964">
        <v>3</v>
      </c>
      <c r="H2964">
        <v>2</v>
      </c>
      <c r="I2964">
        <v>5</v>
      </c>
      <c r="J2964" s="52"/>
    </row>
    <row r="2965" spans="1:10" hidden="1" x14ac:dyDescent="0.35">
      <c r="A2965" s="2">
        <v>45777</v>
      </c>
      <c r="B2965" t="s">
        <v>126</v>
      </c>
      <c r="C2965" t="s">
        <v>24</v>
      </c>
      <c r="E2965">
        <v>9</v>
      </c>
      <c r="F2965">
        <v>2</v>
      </c>
      <c r="G2965">
        <v>4</v>
      </c>
      <c r="H2965">
        <v>0</v>
      </c>
      <c r="I2965">
        <v>5</v>
      </c>
      <c r="J2965" s="52"/>
    </row>
    <row r="2966" spans="1:10" hidden="1" x14ac:dyDescent="0.35">
      <c r="A2966" s="2">
        <v>45777</v>
      </c>
      <c r="B2966" t="s">
        <v>96</v>
      </c>
      <c r="C2966" t="s">
        <v>24</v>
      </c>
      <c r="E2966">
        <v>11</v>
      </c>
      <c r="F2966">
        <v>2</v>
      </c>
      <c r="G2966">
        <v>7</v>
      </c>
      <c r="H2966">
        <v>1</v>
      </c>
      <c r="I2966">
        <v>6</v>
      </c>
      <c r="J2966" s="52"/>
    </row>
    <row r="2967" spans="1:10" hidden="1" x14ac:dyDescent="0.35">
      <c r="A2967" s="2">
        <v>45777</v>
      </c>
      <c r="B2967" t="s">
        <v>96</v>
      </c>
      <c r="C2967" t="s">
        <v>37</v>
      </c>
      <c r="E2967">
        <v>2</v>
      </c>
      <c r="F2967">
        <v>0</v>
      </c>
      <c r="G2967">
        <v>0</v>
      </c>
      <c r="H2967">
        <v>0</v>
      </c>
      <c r="I2967">
        <v>0</v>
      </c>
      <c r="J2967" s="52"/>
    </row>
    <row r="2968" spans="1:10" hidden="1" x14ac:dyDescent="0.35">
      <c r="A2968" s="2">
        <v>45777</v>
      </c>
      <c r="B2968" t="s">
        <v>101</v>
      </c>
      <c r="C2968" t="s">
        <v>37</v>
      </c>
      <c r="E2968">
        <v>13</v>
      </c>
      <c r="F2968">
        <v>1</v>
      </c>
      <c r="G2968">
        <v>2</v>
      </c>
      <c r="H2968">
        <v>1</v>
      </c>
      <c r="I2968">
        <v>6</v>
      </c>
      <c r="J2968" s="52"/>
    </row>
    <row r="2969" spans="1:10" hidden="1" x14ac:dyDescent="0.35">
      <c r="A2969" s="2">
        <v>45777</v>
      </c>
      <c r="B2969" t="s">
        <v>102</v>
      </c>
      <c r="C2969" t="s">
        <v>37</v>
      </c>
      <c r="E2969">
        <v>27</v>
      </c>
      <c r="F2969">
        <v>3</v>
      </c>
      <c r="G2969">
        <v>18</v>
      </c>
      <c r="H2969">
        <v>2</v>
      </c>
      <c r="I2969">
        <v>8</v>
      </c>
      <c r="J2969" s="52"/>
    </row>
    <row r="2970" spans="1:10" hidden="1" x14ac:dyDescent="0.35">
      <c r="A2970" s="2">
        <v>45777</v>
      </c>
      <c r="B2970" t="s">
        <v>126</v>
      </c>
      <c r="C2970" t="s">
        <v>37</v>
      </c>
      <c r="E2970">
        <v>20</v>
      </c>
      <c r="F2970">
        <v>5</v>
      </c>
      <c r="G2970">
        <v>7</v>
      </c>
      <c r="H2970">
        <v>0</v>
      </c>
      <c r="I2970">
        <v>4</v>
      </c>
      <c r="J2970" s="52"/>
    </row>
    <row r="2971" spans="1:10" hidden="1" x14ac:dyDescent="0.35">
      <c r="A2971" s="2">
        <v>45777</v>
      </c>
      <c r="B2971" t="s">
        <v>112</v>
      </c>
      <c r="C2971" t="s">
        <v>19</v>
      </c>
      <c r="E2971">
        <v>37</v>
      </c>
      <c r="F2971">
        <v>7</v>
      </c>
      <c r="G2971">
        <v>40</v>
      </c>
      <c r="H2971">
        <v>2</v>
      </c>
      <c r="I2971">
        <v>15</v>
      </c>
      <c r="J2971" s="52"/>
    </row>
    <row r="2972" spans="1:10" hidden="1" x14ac:dyDescent="0.35">
      <c r="A2972" s="2">
        <v>45777</v>
      </c>
      <c r="B2972" t="s">
        <v>40</v>
      </c>
      <c r="C2972" t="s">
        <v>19</v>
      </c>
      <c r="E2972">
        <v>27</v>
      </c>
      <c r="F2972">
        <v>4</v>
      </c>
      <c r="G2972">
        <v>31</v>
      </c>
      <c r="H2972">
        <v>0</v>
      </c>
      <c r="I2972">
        <v>12</v>
      </c>
      <c r="J2972" s="52"/>
    </row>
    <row r="2973" spans="1:10" hidden="1" x14ac:dyDescent="0.35">
      <c r="A2973" s="2">
        <v>45777</v>
      </c>
      <c r="B2973" t="s">
        <v>121</v>
      </c>
      <c r="C2973" t="s">
        <v>22</v>
      </c>
      <c r="E2973">
        <v>22</v>
      </c>
      <c r="F2973">
        <v>12</v>
      </c>
      <c r="G2973">
        <v>19</v>
      </c>
      <c r="H2973">
        <v>11</v>
      </c>
      <c r="I2973">
        <v>12</v>
      </c>
      <c r="J2973" s="52"/>
    </row>
    <row r="2974" spans="1:10" hidden="1" x14ac:dyDescent="0.35">
      <c r="A2974" s="2">
        <v>45777</v>
      </c>
      <c r="B2974" t="s">
        <v>95</v>
      </c>
      <c r="C2974" t="s">
        <v>22</v>
      </c>
      <c r="E2974">
        <v>14</v>
      </c>
      <c r="F2974">
        <v>10</v>
      </c>
      <c r="G2974">
        <v>23</v>
      </c>
      <c r="H2974">
        <v>8</v>
      </c>
      <c r="I2974">
        <v>6</v>
      </c>
      <c r="J2974" s="52"/>
    </row>
    <row r="2975" spans="1:10" hidden="1" x14ac:dyDescent="0.35">
      <c r="A2975" s="2">
        <v>45777</v>
      </c>
      <c r="B2975" t="s">
        <v>43</v>
      </c>
      <c r="C2975" t="s">
        <v>27</v>
      </c>
      <c r="E2975">
        <v>27</v>
      </c>
      <c r="F2975">
        <v>0</v>
      </c>
      <c r="G2975">
        <v>33</v>
      </c>
      <c r="H2975">
        <v>0</v>
      </c>
      <c r="I2975">
        <v>15</v>
      </c>
      <c r="J2975" s="52"/>
    </row>
    <row r="2976" spans="1:10" hidden="1" x14ac:dyDescent="0.35">
      <c r="A2976" s="2">
        <v>45777</v>
      </c>
      <c r="B2976" t="s">
        <v>84</v>
      </c>
      <c r="C2976" t="s">
        <v>27</v>
      </c>
      <c r="E2976">
        <v>25</v>
      </c>
      <c r="F2976">
        <v>0</v>
      </c>
      <c r="G2976">
        <v>30</v>
      </c>
      <c r="H2976">
        <v>0</v>
      </c>
      <c r="I2976">
        <v>9</v>
      </c>
      <c r="J2976" s="52"/>
    </row>
    <row r="2977" spans="1:10" hidden="1" x14ac:dyDescent="0.35">
      <c r="A2977" s="2">
        <v>45777</v>
      </c>
      <c r="B2977" t="s">
        <v>101</v>
      </c>
      <c r="C2977" t="s">
        <v>9</v>
      </c>
      <c r="E2977">
        <v>26</v>
      </c>
      <c r="F2977">
        <v>0</v>
      </c>
      <c r="G2977">
        <v>25</v>
      </c>
      <c r="H2977">
        <v>2</v>
      </c>
      <c r="I2977">
        <v>15</v>
      </c>
      <c r="J2977" s="52"/>
    </row>
    <row r="2978" spans="1:10" hidden="1" x14ac:dyDescent="0.35">
      <c r="A2978" s="2">
        <v>45777</v>
      </c>
      <c r="B2978" t="s">
        <v>75</v>
      </c>
      <c r="C2978" t="s">
        <v>21</v>
      </c>
      <c r="E2978">
        <v>25</v>
      </c>
      <c r="F2978">
        <v>6</v>
      </c>
      <c r="G2978">
        <v>9</v>
      </c>
      <c r="H2978">
        <v>5</v>
      </c>
      <c r="I2978">
        <v>6</v>
      </c>
      <c r="J2978" s="52"/>
    </row>
    <row r="2979" spans="1:10" hidden="1" x14ac:dyDescent="0.35">
      <c r="A2979" s="2">
        <v>45777</v>
      </c>
      <c r="B2979" t="s">
        <v>117</v>
      </c>
      <c r="C2979" t="s">
        <v>54</v>
      </c>
      <c r="E2979">
        <v>17</v>
      </c>
      <c r="F2979">
        <v>1</v>
      </c>
      <c r="G2979">
        <v>22</v>
      </c>
      <c r="H2979">
        <v>4</v>
      </c>
      <c r="I2979">
        <v>13</v>
      </c>
      <c r="J2979" s="52"/>
    </row>
    <row r="2980" spans="1:10" hidden="1" x14ac:dyDescent="0.35">
      <c r="A2980" s="2">
        <v>45777</v>
      </c>
      <c r="B2980" t="s">
        <v>123</v>
      </c>
      <c r="C2980" t="s">
        <v>55</v>
      </c>
      <c r="E2980">
        <v>25</v>
      </c>
      <c r="F2980">
        <v>14</v>
      </c>
      <c r="G2980">
        <v>10</v>
      </c>
      <c r="H2980">
        <v>5</v>
      </c>
      <c r="I2980">
        <v>7</v>
      </c>
      <c r="J2980" s="52"/>
    </row>
    <row r="2981" spans="1:10" hidden="1" x14ac:dyDescent="0.35">
      <c r="A2981" s="2">
        <v>45777</v>
      </c>
      <c r="B2981" t="s">
        <v>107</v>
      </c>
      <c r="C2981" t="s">
        <v>58</v>
      </c>
      <c r="E2981">
        <v>32</v>
      </c>
      <c r="F2981">
        <v>31</v>
      </c>
      <c r="G2981">
        <v>27</v>
      </c>
      <c r="H2981">
        <v>8</v>
      </c>
      <c r="I2981">
        <v>13</v>
      </c>
      <c r="J2981" s="52"/>
    </row>
    <row r="2982" spans="1:10" hidden="1" x14ac:dyDescent="0.35">
      <c r="A2982" s="2">
        <v>45777</v>
      </c>
      <c r="B2982" t="s">
        <v>64</v>
      </c>
      <c r="C2982" t="s">
        <v>62</v>
      </c>
      <c r="E2982">
        <v>8</v>
      </c>
      <c r="F2982">
        <v>2</v>
      </c>
      <c r="G2982">
        <v>23</v>
      </c>
      <c r="H2982">
        <v>5</v>
      </c>
      <c r="I2982">
        <v>2</v>
      </c>
      <c r="J2982" s="52"/>
    </row>
    <row r="2983" spans="1:10" hidden="1" x14ac:dyDescent="0.35">
      <c r="A2983" s="2">
        <v>45777</v>
      </c>
      <c r="B2983" t="s">
        <v>97</v>
      </c>
      <c r="C2983" t="s">
        <v>61</v>
      </c>
      <c r="E2983">
        <v>18</v>
      </c>
      <c r="F2983">
        <v>2</v>
      </c>
      <c r="G2983">
        <v>15</v>
      </c>
      <c r="H2983">
        <v>2</v>
      </c>
      <c r="I2983">
        <v>6</v>
      </c>
      <c r="J2983" s="52"/>
    </row>
    <row r="2984" spans="1:10" hidden="1" x14ac:dyDescent="0.35">
      <c r="A2984" s="2">
        <v>45777</v>
      </c>
      <c r="B2984" t="s">
        <v>118</v>
      </c>
      <c r="C2984" t="s">
        <v>61</v>
      </c>
      <c r="E2984">
        <v>4</v>
      </c>
      <c r="F2984">
        <v>1</v>
      </c>
      <c r="G2984">
        <v>2</v>
      </c>
      <c r="H2984">
        <v>0</v>
      </c>
      <c r="I2984">
        <v>2</v>
      </c>
      <c r="J2984" s="52"/>
    </row>
    <row r="2985" spans="1:10" hidden="1" x14ac:dyDescent="0.35">
      <c r="A2985" s="2">
        <v>45777</v>
      </c>
      <c r="B2985" t="s">
        <v>118</v>
      </c>
      <c r="C2985" t="s">
        <v>91</v>
      </c>
      <c r="E2985">
        <v>3</v>
      </c>
      <c r="F2985">
        <v>1</v>
      </c>
      <c r="G2985">
        <v>2</v>
      </c>
      <c r="H2985">
        <v>4</v>
      </c>
      <c r="I2985">
        <v>1</v>
      </c>
      <c r="J2985" s="52"/>
    </row>
    <row r="2986" spans="1:10" hidden="1" x14ac:dyDescent="0.35">
      <c r="A2986" s="2">
        <v>45777</v>
      </c>
      <c r="B2986" t="s">
        <v>119</v>
      </c>
      <c r="C2986" t="s">
        <v>63</v>
      </c>
      <c r="E2986">
        <v>17</v>
      </c>
      <c r="F2986">
        <v>11</v>
      </c>
      <c r="G2986">
        <v>20</v>
      </c>
      <c r="H2986">
        <v>4</v>
      </c>
      <c r="I2986">
        <v>13</v>
      </c>
      <c r="J2986" s="52"/>
    </row>
    <row r="2987" spans="1:10" hidden="1" x14ac:dyDescent="0.35">
      <c r="A2987" s="2">
        <v>45777</v>
      </c>
      <c r="B2987" t="s">
        <v>77</v>
      </c>
      <c r="C2987" t="s">
        <v>73</v>
      </c>
      <c r="E2987">
        <v>12</v>
      </c>
      <c r="F2987">
        <v>1</v>
      </c>
      <c r="G2987">
        <v>12</v>
      </c>
      <c r="H2987">
        <v>6</v>
      </c>
      <c r="I2987">
        <v>5</v>
      </c>
      <c r="J2987" s="52"/>
    </row>
    <row r="2988" spans="1:10" hidden="1" x14ac:dyDescent="0.35">
      <c r="A2988" s="2">
        <v>45777</v>
      </c>
      <c r="B2988" t="s">
        <v>110</v>
      </c>
      <c r="C2988" t="s">
        <v>81</v>
      </c>
      <c r="E2988">
        <v>16</v>
      </c>
      <c r="F2988">
        <v>0</v>
      </c>
      <c r="G2988">
        <v>22</v>
      </c>
      <c r="H2988">
        <v>2</v>
      </c>
      <c r="I2988">
        <v>9</v>
      </c>
      <c r="J2988" s="52"/>
    </row>
    <row r="2989" spans="1:10" hidden="1" x14ac:dyDescent="0.35">
      <c r="A2989" s="2">
        <v>45777</v>
      </c>
      <c r="B2989" t="s">
        <v>85</v>
      </c>
      <c r="C2989" t="s">
        <v>83</v>
      </c>
      <c r="E2989">
        <v>21</v>
      </c>
      <c r="F2989">
        <v>7</v>
      </c>
      <c r="G2989">
        <v>31</v>
      </c>
      <c r="H2989">
        <v>5</v>
      </c>
      <c r="I2989">
        <v>10</v>
      </c>
      <c r="J2989" s="52"/>
    </row>
    <row r="2990" spans="1:10" hidden="1" x14ac:dyDescent="0.35">
      <c r="A2990" s="2">
        <v>45777</v>
      </c>
      <c r="B2990" t="s">
        <v>89</v>
      </c>
      <c r="C2990" t="s">
        <v>87</v>
      </c>
      <c r="E2990">
        <v>12</v>
      </c>
      <c r="F2990">
        <v>7</v>
      </c>
      <c r="G2990">
        <v>17</v>
      </c>
      <c r="H2990">
        <v>1</v>
      </c>
      <c r="I2990">
        <v>4</v>
      </c>
      <c r="J2990" s="52"/>
    </row>
    <row r="2991" spans="1:10" hidden="1" x14ac:dyDescent="0.35">
      <c r="A2991" s="2">
        <v>45777</v>
      </c>
      <c r="B2991" t="s">
        <v>98</v>
      </c>
      <c r="C2991" t="s">
        <v>94</v>
      </c>
      <c r="E2991">
        <v>29</v>
      </c>
      <c r="F2991">
        <v>2</v>
      </c>
      <c r="G2991">
        <v>24</v>
      </c>
      <c r="H2991">
        <v>3</v>
      </c>
      <c r="I2991">
        <v>8</v>
      </c>
      <c r="J2991" s="52"/>
    </row>
    <row r="2992" spans="1:10" hidden="1" x14ac:dyDescent="0.35">
      <c r="A2992" s="2">
        <v>45807</v>
      </c>
      <c r="C2992" t="s">
        <v>24</v>
      </c>
      <c r="D2992">
        <v>246</v>
      </c>
      <c r="J2992" s="58">
        <v>134900</v>
      </c>
    </row>
    <row r="2993" spans="1:10" hidden="1" x14ac:dyDescent="0.35">
      <c r="A2993" s="2">
        <v>45807</v>
      </c>
      <c r="C2993" t="s">
        <v>9</v>
      </c>
      <c r="D2993">
        <v>184</v>
      </c>
      <c r="J2993" s="58">
        <v>107900</v>
      </c>
    </row>
    <row r="2994" spans="1:10" hidden="1" x14ac:dyDescent="0.35">
      <c r="A2994" s="2">
        <v>45807</v>
      </c>
      <c r="C2994" t="s">
        <v>37</v>
      </c>
      <c r="D2994">
        <v>414</v>
      </c>
      <c r="J2994" s="58">
        <v>267100</v>
      </c>
    </row>
    <row r="2995" spans="1:10" hidden="1" x14ac:dyDescent="0.35">
      <c r="A2995" s="2">
        <v>45807</v>
      </c>
      <c r="C2995" t="s">
        <v>23</v>
      </c>
      <c r="D2995">
        <v>168</v>
      </c>
      <c r="J2995" s="58">
        <v>24000</v>
      </c>
    </row>
    <row r="2996" spans="1:10" hidden="1" x14ac:dyDescent="0.35">
      <c r="A2996" s="2">
        <v>45807</v>
      </c>
      <c r="C2996" t="s">
        <v>27</v>
      </c>
      <c r="D2996">
        <v>357</v>
      </c>
      <c r="J2996" s="58">
        <v>407900</v>
      </c>
    </row>
    <row r="2997" spans="1:10" hidden="1" x14ac:dyDescent="0.35">
      <c r="A2997" s="2">
        <v>45807</v>
      </c>
      <c r="C2997" t="s">
        <v>26</v>
      </c>
      <c r="D2997">
        <v>161</v>
      </c>
      <c r="J2997" s="58">
        <v>99400</v>
      </c>
    </row>
    <row r="2998" spans="1:10" hidden="1" x14ac:dyDescent="0.35">
      <c r="A2998" s="2">
        <v>45807</v>
      </c>
      <c r="C2998" t="s">
        <v>20</v>
      </c>
      <c r="D2998">
        <v>293</v>
      </c>
      <c r="J2998" s="58">
        <v>339350</v>
      </c>
    </row>
    <row r="2999" spans="1:10" hidden="1" x14ac:dyDescent="0.35">
      <c r="A2999" s="2">
        <v>45807</v>
      </c>
      <c r="C2999" t="s">
        <v>25</v>
      </c>
      <c r="D2999">
        <v>154</v>
      </c>
      <c r="J2999" s="58">
        <v>169100</v>
      </c>
    </row>
    <row r="3000" spans="1:10" hidden="1" x14ac:dyDescent="0.35">
      <c r="A3000" s="2">
        <v>45807</v>
      </c>
      <c r="C3000" t="s">
        <v>19</v>
      </c>
      <c r="D3000">
        <v>312</v>
      </c>
      <c r="J3000" s="58">
        <v>203400</v>
      </c>
    </row>
    <row r="3001" spans="1:10" hidden="1" x14ac:dyDescent="0.35">
      <c r="A3001" s="2">
        <v>45807</v>
      </c>
      <c r="C3001" t="s">
        <v>21</v>
      </c>
      <c r="D3001">
        <v>273</v>
      </c>
      <c r="J3001" s="58">
        <v>67450</v>
      </c>
    </row>
    <row r="3002" spans="1:10" hidden="1" x14ac:dyDescent="0.35">
      <c r="A3002" s="2">
        <v>45807</v>
      </c>
      <c r="C3002" t="s">
        <v>18</v>
      </c>
      <c r="D3002">
        <v>380</v>
      </c>
      <c r="J3002" s="58">
        <v>385102.8</v>
      </c>
    </row>
    <row r="3003" spans="1:10" hidden="1" x14ac:dyDescent="0.35">
      <c r="A3003" s="2">
        <v>45807</v>
      </c>
      <c r="C3003" t="s">
        <v>22</v>
      </c>
      <c r="D3003">
        <v>241</v>
      </c>
      <c r="J3003" s="58">
        <v>172000</v>
      </c>
    </row>
    <row r="3004" spans="1:10" hidden="1" x14ac:dyDescent="0.35">
      <c r="A3004" s="2">
        <v>45807</v>
      </c>
      <c r="C3004" t="s">
        <v>54</v>
      </c>
      <c r="D3004">
        <v>247</v>
      </c>
      <c r="J3004" s="58">
        <v>168800</v>
      </c>
    </row>
    <row r="3005" spans="1:10" hidden="1" x14ac:dyDescent="0.35">
      <c r="A3005" s="2">
        <v>45807</v>
      </c>
      <c r="C3005" t="s">
        <v>55</v>
      </c>
      <c r="D3005">
        <v>222</v>
      </c>
      <c r="J3005" s="58">
        <v>134910</v>
      </c>
    </row>
    <row r="3006" spans="1:10" hidden="1" x14ac:dyDescent="0.35">
      <c r="A3006" s="2">
        <v>45807</v>
      </c>
      <c r="C3006" t="s">
        <v>58</v>
      </c>
      <c r="D3006">
        <v>283</v>
      </c>
      <c r="J3006" s="58">
        <v>214350</v>
      </c>
    </row>
    <row r="3007" spans="1:10" hidden="1" x14ac:dyDescent="0.35">
      <c r="A3007" s="2">
        <v>45807</v>
      </c>
      <c r="C3007" t="s">
        <v>62</v>
      </c>
      <c r="D3007">
        <v>162</v>
      </c>
      <c r="J3007" s="58">
        <v>43400</v>
      </c>
    </row>
    <row r="3008" spans="1:10" hidden="1" x14ac:dyDescent="0.35">
      <c r="A3008" s="2">
        <v>45807</v>
      </c>
      <c r="C3008" t="s">
        <v>61</v>
      </c>
      <c r="D3008">
        <v>301</v>
      </c>
      <c r="J3008" s="58">
        <v>107050</v>
      </c>
    </row>
    <row r="3009" spans="1:10" hidden="1" x14ac:dyDescent="0.35">
      <c r="A3009" s="2">
        <v>45807</v>
      </c>
      <c r="C3009" t="s">
        <v>63</v>
      </c>
      <c r="D3009">
        <v>101</v>
      </c>
      <c r="J3009" s="58">
        <v>144500</v>
      </c>
    </row>
    <row r="3010" spans="1:10" hidden="1" x14ac:dyDescent="0.35">
      <c r="A3010" s="2">
        <v>45807</v>
      </c>
      <c r="C3010" t="s">
        <v>73</v>
      </c>
      <c r="D3010">
        <v>270</v>
      </c>
      <c r="J3010" s="58">
        <v>109440</v>
      </c>
    </row>
    <row r="3011" spans="1:10" hidden="1" x14ac:dyDescent="0.35">
      <c r="A3011" s="2">
        <v>45807</v>
      </c>
      <c r="C3011" t="s">
        <v>81</v>
      </c>
      <c r="D3011">
        <v>130</v>
      </c>
      <c r="J3011" s="58">
        <v>77500</v>
      </c>
    </row>
    <row r="3012" spans="1:10" hidden="1" x14ac:dyDescent="0.35">
      <c r="A3012" s="2">
        <v>45807</v>
      </c>
      <c r="C3012" t="s">
        <v>83</v>
      </c>
      <c r="D3012">
        <v>168</v>
      </c>
      <c r="J3012" s="58">
        <v>137700</v>
      </c>
    </row>
    <row r="3013" spans="1:10" hidden="1" x14ac:dyDescent="0.35">
      <c r="A3013" s="2">
        <v>45807</v>
      </c>
      <c r="C3013" t="s">
        <v>87</v>
      </c>
      <c r="D3013">
        <v>404</v>
      </c>
      <c r="J3013" s="58">
        <v>25900</v>
      </c>
    </row>
    <row r="3014" spans="1:10" hidden="1" x14ac:dyDescent="0.35">
      <c r="A3014" s="2">
        <v>45807</v>
      </c>
      <c r="C3014" t="s">
        <v>91</v>
      </c>
      <c r="D3014">
        <v>2</v>
      </c>
      <c r="J3014" s="58">
        <v>0</v>
      </c>
    </row>
    <row r="3015" spans="1:10" hidden="1" x14ac:dyDescent="0.35">
      <c r="A3015" s="2">
        <v>45807</v>
      </c>
      <c r="C3015" t="s">
        <v>94</v>
      </c>
      <c r="D3015">
        <v>160</v>
      </c>
      <c r="J3015" s="58">
        <v>146050</v>
      </c>
    </row>
    <row r="3016" spans="1:10" hidden="1" x14ac:dyDescent="0.35">
      <c r="A3016" s="2">
        <v>45807</v>
      </c>
      <c r="C3016" t="s">
        <v>115</v>
      </c>
      <c r="D3016">
        <v>185</v>
      </c>
      <c r="J3016" s="58">
        <v>69500</v>
      </c>
    </row>
    <row r="3017" spans="1:10" hidden="1" x14ac:dyDescent="0.35">
      <c r="A3017" s="2">
        <v>45807</v>
      </c>
      <c r="B3017" t="s">
        <v>36</v>
      </c>
      <c r="C3017" t="s">
        <v>20</v>
      </c>
      <c r="E3017">
        <v>0</v>
      </c>
      <c r="F3017">
        <v>2</v>
      </c>
      <c r="G3017">
        <v>59</v>
      </c>
      <c r="H3017">
        <v>5</v>
      </c>
      <c r="I3017">
        <v>8</v>
      </c>
      <c r="J3017" s="52"/>
    </row>
    <row r="3018" spans="1:10" hidden="1" x14ac:dyDescent="0.35">
      <c r="A3018" s="2">
        <v>45807</v>
      </c>
      <c r="B3018" t="s">
        <v>110</v>
      </c>
      <c r="C3018" t="s">
        <v>20</v>
      </c>
      <c r="E3018">
        <v>15</v>
      </c>
      <c r="F3018">
        <v>6</v>
      </c>
      <c r="G3018">
        <v>18</v>
      </c>
      <c r="H3018">
        <v>1</v>
      </c>
      <c r="I3018">
        <v>9</v>
      </c>
      <c r="J3018" s="52"/>
    </row>
    <row r="3019" spans="1:10" hidden="1" x14ac:dyDescent="0.35">
      <c r="A3019" s="2">
        <v>45807</v>
      </c>
      <c r="B3019" t="s">
        <v>113</v>
      </c>
      <c r="C3019" t="s">
        <v>20</v>
      </c>
      <c r="E3019">
        <v>12</v>
      </c>
      <c r="F3019">
        <v>7</v>
      </c>
      <c r="G3019">
        <v>9</v>
      </c>
      <c r="H3019">
        <v>0</v>
      </c>
      <c r="I3019">
        <v>6</v>
      </c>
      <c r="J3019" s="52"/>
    </row>
    <row r="3020" spans="1:10" hidden="1" x14ac:dyDescent="0.35">
      <c r="A3020" s="2">
        <v>45807</v>
      </c>
      <c r="B3020" t="s">
        <v>113</v>
      </c>
      <c r="C3020" t="s">
        <v>26</v>
      </c>
      <c r="E3020">
        <v>23</v>
      </c>
      <c r="F3020">
        <v>1</v>
      </c>
      <c r="G3020">
        <v>3</v>
      </c>
      <c r="H3020">
        <v>57</v>
      </c>
      <c r="I3020">
        <v>8</v>
      </c>
      <c r="J3020" s="52"/>
    </row>
    <row r="3021" spans="1:10" hidden="1" x14ac:dyDescent="0.35">
      <c r="A3021" s="2">
        <v>45807</v>
      </c>
      <c r="B3021" t="s">
        <v>113</v>
      </c>
      <c r="C3021" t="s">
        <v>115</v>
      </c>
      <c r="E3021">
        <v>0</v>
      </c>
      <c r="F3021">
        <v>0</v>
      </c>
      <c r="G3021">
        <v>8</v>
      </c>
      <c r="H3021">
        <v>3</v>
      </c>
      <c r="I3021">
        <v>1</v>
      </c>
      <c r="J3021" s="52"/>
    </row>
    <row r="3022" spans="1:10" hidden="1" x14ac:dyDescent="0.35">
      <c r="A3022" s="2">
        <v>45807</v>
      </c>
      <c r="B3022" t="s">
        <v>125</v>
      </c>
      <c r="C3022" t="s">
        <v>115</v>
      </c>
      <c r="E3022">
        <v>18</v>
      </c>
      <c r="F3022">
        <v>1</v>
      </c>
      <c r="G3022">
        <v>4</v>
      </c>
      <c r="H3022">
        <v>1</v>
      </c>
      <c r="I3022">
        <v>4</v>
      </c>
      <c r="J3022" s="52"/>
    </row>
    <row r="3023" spans="1:10" hidden="1" x14ac:dyDescent="0.35">
      <c r="A3023" s="2">
        <v>45807</v>
      </c>
      <c r="B3023" t="s">
        <v>38</v>
      </c>
      <c r="C3023" t="s">
        <v>18</v>
      </c>
      <c r="E3023">
        <v>18</v>
      </c>
      <c r="F3023">
        <v>16</v>
      </c>
      <c r="G3023">
        <v>16</v>
      </c>
      <c r="H3023">
        <v>11</v>
      </c>
      <c r="I3023">
        <v>20</v>
      </c>
      <c r="J3023" s="52"/>
    </row>
    <row r="3024" spans="1:10" hidden="1" x14ac:dyDescent="0.35">
      <c r="A3024" s="2">
        <v>45807</v>
      </c>
      <c r="B3024" t="s">
        <v>116</v>
      </c>
      <c r="C3024" t="s">
        <v>18</v>
      </c>
      <c r="E3024">
        <v>18</v>
      </c>
      <c r="F3024">
        <v>23</v>
      </c>
      <c r="G3024">
        <v>27</v>
      </c>
      <c r="H3024">
        <v>4</v>
      </c>
      <c r="I3024">
        <v>9</v>
      </c>
      <c r="J3024" s="52"/>
    </row>
    <row r="3025" spans="1:10" hidden="1" x14ac:dyDescent="0.35">
      <c r="A3025" s="2">
        <v>45807</v>
      </c>
      <c r="B3025" t="s">
        <v>122</v>
      </c>
      <c r="C3025" t="s">
        <v>25</v>
      </c>
      <c r="E3025">
        <v>42</v>
      </c>
      <c r="F3025">
        <v>2</v>
      </c>
      <c r="G3025">
        <v>26</v>
      </c>
      <c r="H3025">
        <v>2</v>
      </c>
      <c r="I3025">
        <v>12</v>
      </c>
      <c r="J3025" s="52"/>
    </row>
    <row r="3026" spans="1:10" hidden="1" x14ac:dyDescent="0.35">
      <c r="A3026" s="2">
        <v>45807</v>
      </c>
      <c r="B3026" t="s">
        <v>122</v>
      </c>
      <c r="C3026" t="s">
        <v>23</v>
      </c>
      <c r="E3026">
        <v>9</v>
      </c>
      <c r="F3026">
        <v>2</v>
      </c>
      <c r="G3026">
        <v>11</v>
      </c>
      <c r="H3026">
        <v>1</v>
      </c>
      <c r="I3026">
        <v>1</v>
      </c>
      <c r="J3026" s="52"/>
    </row>
    <row r="3027" spans="1:10" hidden="1" x14ac:dyDescent="0.35">
      <c r="A3027" s="2">
        <v>45807</v>
      </c>
      <c r="B3027" t="s">
        <v>126</v>
      </c>
      <c r="C3027" t="s">
        <v>23</v>
      </c>
      <c r="E3027">
        <v>9</v>
      </c>
      <c r="F3027">
        <v>1</v>
      </c>
      <c r="G3027">
        <v>3</v>
      </c>
      <c r="H3027">
        <v>0</v>
      </c>
      <c r="I3027">
        <v>1</v>
      </c>
      <c r="J3027" s="52"/>
    </row>
    <row r="3028" spans="1:10" hidden="1" x14ac:dyDescent="0.35">
      <c r="A3028" s="2">
        <v>45807</v>
      </c>
      <c r="B3028" t="s">
        <v>126</v>
      </c>
      <c r="C3028" t="s">
        <v>24</v>
      </c>
      <c r="E3028">
        <v>6</v>
      </c>
      <c r="F3028">
        <v>1</v>
      </c>
      <c r="G3028">
        <v>7</v>
      </c>
      <c r="H3028">
        <v>1</v>
      </c>
      <c r="I3028">
        <v>5</v>
      </c>
      <c r="J3028" s="52"/>
    </row>
    <row r="3029" spans="1:10" hidden="1" x14ac:dyDescent="0.35">
      <c r="A3029" s="2">
        <v>45807</v>
      </c>
      <c r="B3029" t="s">
        <v>96</v>
      </c>
      <c r="C3029" t="s">
        <v>24</v>
      </c>
      <c r="E3029">
        <v>7</v>
      </c>
      <c r="F3029">
        <v>2</v>
      </c>
      <c r="G3029">
        <v>5</v>
      </c>
      <c r="H3029">
        <v>0</v>
      </c>
      <c r="I3029">
        <v>3</v>
      </c>
      <c r="J3029" s="52"/>
    </row>
    <row r="3030" spans="1:10" hidden="1" x14ac:dyDescent="0.35">
      <c r="A3030" s="2">
        <v>45807</v>
      </c>
      <c r="B3030" t="s">
        <v>101</v>
      </c>
      <c r="C3030" t="s">
        <v>24</v>
      </c>
      <c r="E3030">
        <v>1</v>
      </c>
      <c r="F3030">
        <v>0</v>
      </c>
      <c r="G3030">
        <v>0</v>
      </c>
      <c r="H3030">
        <v>0</v>
      </c>
      <c r="I3030">
        <v>1</v>
      </c>
      <c r="J3030" s="52"/>
    </row>
    <row r="3031" spans="1:10" hidden="1" x14ac:dyDescent="0.35">
      <c r="A3031" s="2">
        <v>45807</v>
      </c>
      <c r="B3031" t="s">
        <v>102</v>
      </c>
      <c r="C3031" t="s">
        <v>24</v>
      </c>
      <c r="E3031">
        <v>1</v>
      </c>
      <c r="F3031">
        <v>0</v>
      </c>
      <c r="G3031">
        <v>0</v>
      </c>
      <c r="H3031">
        <v>0</v>
      </c>
      <c r="I3031">
        <v>1</v>
      </c>
      <c r="J3031" s="52"/>
    </row>
    <row r="3032" spans="1:10" hidden="1" x14ac:dyDescent="0.35">
      <c r="A3032" s="2">
        <v>45807</v>
      </c>
      <c r="B3032" t="s">
        <v>101</v>
      </c>
      <c r="C3032" t="s">
        <v>37</v>
      </c>
      <c r="E3032">
        <v>8</v>
      </c>
      <c r="F3032">
        <v>0</v>
      </c>
      <c r="G3032">
        <v>4</v>
      </c>
      <c r="H3032">
        <v>1</v>
      </c>
      <c r="I3032">
        <v>3</v>
      </c>
      <c r="J3032" s="52"/>
    </row>
    <row r="3033" spans="1:10" hidden="1" x14ac:dyDescent="0.35">
      <c r="A3033" s="2">
        <v>45807</v>
      </c>
      <c r="B3033" t="s">
        <v>102</v>
      </c>
      <c r="C3033" t="s">
        <v>37</v>
      </c>
      <c r="E3033">
        <v>16</v>
      </c>
      <c r="F3033">
        <v>4</v>
      </c>
      <c r="G3033">
        <v>19</v>
      </c>
      <c r="H3033">
        <v>2</v>
      </c>
      <c r="I3033">
        <v>9</v>
      </c>
      <c r="J3033" s="52"/>
    </row>
    <row r="3034" spans="1:10" hidden="1" x14ac:dyDescent="0.35">
      <c r="A3034" s="2">
        <v>45807</v>
      </c>
      <c r="B3034" t="s">
        <v>126</v>
      </c>
      <c r="C3034" t="s">
        <v>37</v>
      </c>
      <c r="E3034">
        <v>9</v>
      </c>
      <c r="F3034">
        <v>2</v>
      </c>
      <c r="G3034">
        <v>5</v>
      </c>
      <c r="H3034">
        <v>0</v>
      </c>
      <c r="I3034">
        <v>5</v>
      </c>
      <c r="J3034" s="52"/>
    </row>
    <row r="3035" spans="1:10" hidden="1" x14ac:dyDescent="0.35">
      <c r="A3035" s="2">
        <v>45807</v>
      </c>
      <c r="B3035" t="s">
        <v>96</v>
      </c>
      <c r="C3035" t="s">
        <v>37</v>
      </c>
      <c r="E3035">
        <v>2</v>
      </c>
      <c r="F3035">
        <v>1</v>
      </c>
      <c r="G3035">
        <v>1</v>
      </c>
      <c r="H3035">
        <v>0</v>
      </c>
      <c r="I3035">
        <v>2</v>
      </c>
      <c r="J3035" s="52"/>
    </row>
    <row r="3036" spans="1:10" hidden="1" x14ac:dyDescent="0.35">
      <c r="A3036" s="2">
        <v>45807</v>
      </c>
      <c r="B3036" t="s">
        <v>112</v>
      </c>
      <c r="C3036" t="s">
        <v>19</v>
      </c>
      <c r="E3036">
        <v>21</v>
      </c>
      <c r="F3036">
        <v>2</v>
      </c>
      <c r="G3036">
        <v>43</v>
      </c>
      <c r="H3036">
        <v>2</v>
      </c>
      <c r="I3036">
        <v>11</v>
      </c>
      <c r="J3036" s="52"/>
    </row>
    <row r="3037" spans="1:10" hidden="1" x14ac:dyDescent="0.35">
      <c r="A3037" s="2">
        <v>45807</v>
      </c>
      <c r="B3037" t="s">
        <v>40</v>
      </c>
      <c r="C3037" t="s">
        <v>19</v>
      </c>
      <c r="E3037">
        <v>23</v>
      </c>
      <c r="F3037">
        <v>1</v>
      </c>
      <c r="G3037">
        <v>12</v>
      </c>
      <c r="H3037">
        <v>0</v>
      </c>
      <c r="I3037">
        <v>4</v>
      </c>
      <c r="J3037" s="52"/>
    </row>
    <row r="3038" spans="1:10" hidden="1" x14ac:dyDescent="0.35">
      <c r="A3038" s="2">
        <v>45807</v>
      </c>
      <c r="B3038" t="s">
        <v>121</v>
      </c>
      <c r="C3038" t="s">
        <v>22</v>
      </c>
      <c r="E3038">
        <v>13</v>
      </c>
      <c r="F3038">
        <v>17</v>
      </c>
      <c r="G3038">
        <v>31</v>
      </c>
      <c r="H3038">
        <v>11</v>
      </c>
      <c r="I3038">
        <v>8</v>
      </c>
      <c r="J3038" s="52"/>
    </row>
    <row r="3039" spans="1:10" hidden="1" x14ac:dyDescent="0.35">
      <c r="A3039" s="2">
        <v>45807</v>
      </c>
      <c r="B3039" t="s">
        <v>95</v>
      </c>
      <c r="C3039" t="s">
        <v>22</v>
      </c>
      <c r="E3039">
        <v>4</v>
      </c>
      <c r="F3039">
        <v>7</v>
      </c>
      <c r="G3039">
        <v>15</v>
      </c>
      <c r="H3039">
        <v>6</v>
      </c>
      <c r="I3039">
        <v>5</v>
      </c>
      <c r="J3039" s="52"/>
    </row>
    <row r="3040" spans="1:10" hidden="1" x14ac:dyDescent="0.35">
      <c r="A3040" s="2">
        <v>45807</v>
      </c>
      <c r="B3040" t="s">
        <v>43</v>
      </c>
      <c r="C3040" t="s">
        <v>27</v>
      </c>
      <c r="E3040">
        <v>22</v>
      </c>
      <c r="F3040">
        <v>0</v>
      </c>
      <c r="G3040">
        <v>27</v>
      </c>
      <c r="H3040">
        <v>0</v>
      </c>
      <c r="I3040">
        <v>13</v>
      </c>
      <c r="J3040" s="52"/>
    </row>
    <row r="3041" spans="1:10" hidden="1" x14ac:dyDescent="0.35">
      <c r="A3041" s="2">
        <v>45807</v>
      </c>
      <c r="B3041" t="s">
        <v>84</v>
      </c>
      <c r="C3041" t="s">
        <v>27</v>
      </c>
      <c r="E3041">
        <v>21</v>
      </c>
      <c r="F3041">
        <v>0</v>
      </c>
      <c r="G3041">
        <v>23</v>
      </c>
      <c r="H3041">
        <v>0</v>
      </c>
      <c r="I3041">
        <v>10</v>
      </c>
      <c r="J3041" s="52"/>
    </row>
    <row r="3042" spans="1:10" hidden="1" x14ac:dyDescent="0.35">
      <c r="A3042" s="2">
        <v>45807</v>
      </c>
      <c r="B3042" t="s">
        <v>101</v>
      </c>
      <c r="C3042" t="s">
        <v>9</v>
      </c>
      <c r="E3042">
        <v>17</v>
      </c>
      <c r="F3042">
        <v>0</v>
      </c>
      <c r="G3042">
        <v>27</v>
      </c>
      <c r="H3042">
        <v>1</v>
      </c>
      <c r="I3042">
        <v>8</v>
      </c>
      <c r="J3042" s="52"/>
    </row>
    <row r="3043" spans="1:10" hidden="1" x14ac:dyDescent="0.35">
      <c r="A3043" s="2">
        <v>45807</v>
      </c>
      <c r="B3043" t="s">
        <v>75</v>
      </c>
      <c r="C3043" t="s">
        <v>21</v>
      </c>
      <c r="E3043">
        <v>13</v>
      </c>
      <c r="F3043">
        <v>5</v>
      </c>
      <c r="G3043">
        <v>15</v>
      </c>
      <c r="H3043">
        <v>1</v>
      </c>
      <c r="I3043">
        <v>4</v>
      </c>
      <c r="J3043" s="52"/>
    </row>
    <row r="3044" spans="1:10" hidden="1" x14ac:dyDescent="0.35">
      <c r="A3044" s="2">
        <v>45807</v>
      </c>
      <c r="B3044" t="s">
        <v>128</v>
      </c>
      <c r="C3044" t="s">
        <v>21</v>
      </c>
      <c r="E3044">
        <v>16</v>
      </c>
      <c r="F3044">
        <v>1</v>
      </c>
      <c r="G3044">
        <v>0</v>
      </c>
      <c r="H3044">
        <v>0</v>
      </c>
      <c r="I3044">
        <v>1</v>
      </c>
      <c r="J3044" s="52"/>
    </row>
    <row r="3045" spans="1:10" hidden="1" x14ac:dyDescent="0.35">
      <c r="A3045" s="2">
        <v>45807</v>
      </c>
      <c r="B3045" t="s">
        <v>117</v>
      </c>
      <c r="C3045" t="s">
        <v>54</v>
      </c>
      <c r="E3045">
        <v>25</v>
      </c>
      <c r="F3045">
        <v>13</v>
      </c>
      <c r="G3045">
        <v>30</v>
      </c>
      <c r="H3045">
        <v>9</v>
      </c>
      <c r="I3045">
        <v>12</v>
      </c>
      <c r="J3045" s="52"/>
    </row>
    <row r="3046" spans="1:10" hidden="1" x14ac:dyDescent="0.35">
      <c r="A3046" s="2">
        <v>45807</v>
      </c>
      <c r="B3046" t="s">
        <v>123</v>
      </c>
      <c r="C3046" t="s">
        <v>55</v>
      </c>
      <c r="E3046">
        <v>20</v>
      </c>
      <c r="F3046">
        <v>14</v>
      </c>
      <c r="G3046">
        <v>14</v>
      </c>
      <c r="H3046">
        <v>14</v>
      </c>
      <c r="I3046">
        <v>10</v>
      </c>
      <c r="J3046" s="52"/>
    </row>
    <row r="3047" spans="1:10" hidden="1" x14ac:dyDescent="0.35">
      <c r="A3047" s="2">
        <v>45807</v>
      </c>
      <c r="B3047" t="s">
        <v>107</v>
      </c>
      <c r="C3047" t="s">
        <v>58</v>
      </c>
      <c r="E3047">
        <v>16</v>
      </c>
      <c r="F3047">
        <v>25</v>
      </c>
      <c r="G3047">
        <v>19</v>
      </c>
      <c r="H3047">
        <v>8</v>
      </c>
      <c r="I3047">
        <v>16</v>
      </c>
      <c r="J3047" s="52"/>
    </row>
    <row r="3048" spans="1:10" hidden="1" x14ac:dyDescent="0.35">
      <c r="A3048" s="2">
        <v>45807</v>
      </c>
      <c r="B3048" t="s">
        <v>64</v>
      </c>
      <c r="C3048" t="s">
        <v>62</v>
      </c>
      <c r="E3048">
        <v>12</v>
      </c>
      <c r="F3048">
        <v>0</v>
      </c>
      <c r="G3048">
        <v>19</v>
      </c>
      <c r="H3048">
        <v>8</v>
      </c>
      <c r="I3048">
        <v>3</v>
      </c>
      <c r="J3048" s="52"/>
    </row>
    <row r="3049" spans="1:10" hidden="1" x14ac:dyDescent="0.35">
      <c r="A3049" s="2">
        <v>45807</v>
      </c>
      <c r="B3049" t="s">
        <v>97</v>
      </c>
      <c r="C3049" t="s">
        <v>61</v>
      </c>
      <c r="E3049">
        <v>16</v>
      </c>
      <c r="F3049">
        <v>1</v>
      </c>
      <c r="G3049">
        <v>9</v>
      </c>
      <c r="H3049">
        <v>0</v>
      </c>
      <c r="I3049">
        <v>6</v>
      </c>
      <c r="J3049" s="52"/>
    </row>
    <row r="3050" spans="1:10" hidden="1" x14ac:dyDescent="0.35">
      <c r="A3050" s="2">
        <v>45807</v>
      </c>
      <c r="B3050" t="s">
        <v>118</v>
      </c>
      <c r="C3050" t="s">
        <v>61</v>
      </c>
      <c r="E3050">
        <v>8</v>
      </c>
      <c r="F3050">
        <v>2</v>
      </c>
      <c r="G3050">
        <v>5</v>
      </c>
      <c r="H3050">
        <v>0</v>
      </c>
      <c r="I3050">
        <v>2</v>
      </c>
      <c r="J3050" s="52"/>
    </row>
    <row r="3051" spans="1:10" hidden="1" x14ac:dyDescent="0.35">
      <c r="A3051" s="2">
        <v>45807</v>
      </c>
      <c r="B3051" t="s">
        <v>118</v>
      </c>
      <c r="C3051" t="s">
        <v>91</v>
      </c>
      <c r="E3051">
        <v>1</v>
      </c>
      <c r="F3051">
        <v>0</v>
      </c>
      <c r="G3051">
        <v>1</v>
      </c>
      <c r="H3051">
        <v>0</v>
      </c>
      <c r="I3051">
        <v>0</v>
      </c>
      <c r="J3051" s="52"/>
    </row>
    <row r="3052" spans="1:10" hidden="1" x14ac:dyDescent="0.35">
      <c r="A3052" s="2">
        <v>45807</v>
      </c>
      <c r="B3052" t="s">
        <v>119</v>
      </c>
      <c r="C3052" t="s">
        <v>63</v>
      </c>
      <c r="E3052">
        <v>20</v>
      </c>
      <c r="F3052">
        <v>14</v>
      </c>
      <c r="G3052">
        <v>23</v>
      </c>
      <c r="H3052">
        <v>6</v>
      </c>
      <c r="I3052">
        <v>11</v>
      </c>
      <c r="J3052" s="52"/>
    </row>
    <row r="3053" spans="1:10" hidden="1" x14ac:dyDescent="0.35">
      <c r="A3053" s="2">
        <v>45807</v>
      </c>
      <c r="B3053" t="s">
        <v>77</v>
      </c>
      <c r="C3053" t="s">
        <v>73</v>
      </c>
      <c r="E3053">
        <v>13</v>
      </c>
      <c r="F3053">
        <v>5</v>
      </c>
      <c r="G3053">
        <v>17</v>
      </c>
      <c r="H3053">
        <v>16</v>
      </c>
      <c r="I3053">
        <v>8</v>
      </c>
      <c r="J3053" s="52"/>
    </row>
    <row r="3054" spans="1:10" hidden="1" x14ac:dyDescent="0.35">
      <c r="A3054" s="2">
        <v>45807</v>
      </c>
      <c r="B3054" t="s">
        <v>110</v>
      </c>
      <c r="C3054" t="s">
        <v>81</v>
      </c>
      <c r="E3054">
        <v>26</v>
      </c>
      <c r="F3054">
        <v>0</v>
      </c>
      <c r="G3054">
        <v>18</v>
      </c>
      <c r="H3054">
        <v>1</v>
      </c>
      <c r="I3054">
        <v>5</v>
      </c>
      <c r="J3054" s="52"/>
    </row>
    <row r="3055" spans="1:10" hidden="1" x14ac:dyDescent="0.35">
      <c r="A3055" s="2">
        <v>45807</v>
      </c>
      <c r="B3055" t="s">
        <v>85</v>
      </c>
      <c r="C3055" t="s">
        <v>83</v>
      </c>
      <c r="E3055">
        <v>23</v>
      </c>
      <c r="F3055">
        <v>6</v>
      </c>
      <c r="G3055">
        <v>39</v>
      </c>
      <c r="H3055">
        <v>8</v>
      </c>
      <c r="I3055">
        <v>10</v>
      </c>
      <c r="J3055" s="52"/>
    </row>
    <row r="3056" spans="1:10" hidden="1" x14ac:dyDescent="0.35">
      <c r="A3056" s="2">
        <v>45807</v>
      </c>
      <c r="B3056" t="s">
        <v>89</v>
      </c>
      <c r="C3056" t="s">
        <v>87</v>
      </c>
      <c r="E3056">
        <v>12</v>
      </c>
      <c r="F3056">
        <v>11</v>
      </c>
      <c r="G3056">
        <v>12</v>
      </c>
      <c r="H3056">
        <v>8</v>
      </c>
      <c r="I3056">
        <v>2</v>
      </c>
      <c r="J3056" s="52"/>
    </row>
    <row r="3057" spans="1:10" hidden="1" x14ac:dyDescent="0.35">
      <c r="A3057" s="2">
        <v>45807</v>
      </c>
      <c r="B3057" t="s">
        <v>98</v>
      </c>
      <c r="C3057" t="s">
        <v>94</v>
      </c>
      <c r="E3057">
        <v>32</v>
      </c>
      <c r="F3057">
        <v>0</v>
      </c>
      <c r="G3057">
        <v>19</v>
      </c>
      <c r="H3057">
        <v>2</v>
      </c>
      <c r="I3057">
        <v>10</v>
      </c>
      <c r="J3057" s="52"/>
    </row>
    <row r="3058" spans="1:10" hidden="1" x14ac:dyDescent="0.35">
      <c r="A3058" s="2">
        <v>45838</v>
      </c>
      <c r="C3058" t="s">
        <v>24</v>
      </c>
      <c r="D3058">
        <v>169</v>
      </c>
      <c r="J3058" s="58">
        <v>138900</v>
      </c>
    </row>
    <row r="3059" spans="1:10" hidden="1" x14ac:dyDescent="0.35">
      <c r="A3059" s="2">
        <v>45838</v>
      </c>
      <c r="C3059" t="s">
        <v>9</v>
      </c>
      <c r="D3059">
        <v>160</v>
      </c>
      <c r="J3059" s="58">
        <v>41500</v>
      </c>
    </row>
    <row r="3060" spans="1:10" hidden="1" x14ac:dyDescent="0.35">
      <c r="A3060" s="2">
        <v>45838</v>
      </c>
      <c r="C3060" t="s">
        <v>37</v>
      </c>
      <c r="D3060">
        <v>312</v>
      </c>
      <c r="J3060" s="58">
        <v>294482</v>
      </c>
    </row>
    <row r="3061" spans="1:10" hidden="1" x14ac:dyDescent="0.35">
      <c r="A3061" s="2">
        <v>45838</v>
      </c>
      <c r="C3061" t="s">
        <v>23</v>
      </c>
      <c r="D3061">
        <v>155</v>
      </c>
      <c r="J3061" s="58">
        <v>126900</v>
      </c>
    </row>
    <row r="3062" spans="1:10" hidden="1" x14ac:dyDescent="0.35">
      <c r="A3062" s="2">
        <v>45838</v>
      </c>
      <c r="C3062" t="s">
        <v>27</v>
      </c>
      <c r="D3062">
        <v>350</v>
      </c>
      <c r="J3062" s="58">
        <v>362900</v>
      </c>
    </row>
    <row r="3063" spans="1:10" hidden="1" x14ac:dyDescent="0.35">
      <c r="A3063" s="2">
        <v>45838</v>
      </c>
      <c r="C3063" t="s">
        <v>26</v>
      </c>
      <c r="D3063">
        <v>152</v>
      </c>
      <c r="J3063" s="58">
        <v>49000</v>
      </c>
    </row>
    <row r="3064" spans="1:10" hidden="1" x14ac:dyDescent="0.35">
      <c r="A3064" s="2">
        <v>45838</v>
      </c>
      <c r="C3064" t="s">
        <v>20</v>
      </c>
      <c r="D3064">
        <v>389</v>
      </c>
      <c r="J3064" s="58">
        <v>281450</v>
      </c>
    </row>
    <row r="3065" spans="1:10" hidden="1" x14ac:dyDescent="0.35">
      <c r="A3065" s="2">
        <v>45838</v>
      </c>
      <c r="C3065" t="s">
        <v>25</v>
      </c>
      <c r="D3065">
        <v>154</v>
      </c>
      <c r="J3065" s="58">
        <v>144900</v>
      </c>
    </row>
    <row r="3066" spans="1:10" hidden="1" x14ac:dyDescent="0.35">
      <c r="A3066" s="2">
        <v>45838</v>
      </c>
      <c r="C3066" t="s">
        <v>19</v>
      </c>
      <c r="D3066">
        <v>418</v>
      </c>
      <c r="J3066" s="58">
        <v>272082</v>
      </c>
    </row>
    <row r="3067" spans="1:10" hidden="1" x14ac:dyDescent="0.35">
      <c r="A3067" s="2">
        <v>45838</v>
      </c>
      <c r="C3067" t="s">
        <v>21</v>
      </c>
      <c r="D3067">
        <v>312</v>
      </c>
      <c r="J3067" s="58">
        <v>70250</v>
      </c>
    </row>
    <row r="3068" spans="1:10" hidden="1" x14ac:dyDescent="0.35">
      <c r="A3068" s="2">
        <v>45838</v>
      </c>
      <c r="C3068" t="s">
        <v>18</v>
      </c>
      <c r="D3068">
        <v>389</v>
      </c>
      <c r="J3068" s="58">
        <v>233200</v>
      </c>
    </row>
    <row r="3069" spans="1:10" hidden="1" x14ac:dyDescent="0.35">
      <c r="A3069" s="2">
        <v>45838</v>
      </c>
      <c r="C3069" t="s">
        <v>22</v>
      </c>
      <c r="D3069">
        <v>248</v>
      </c>
      <c r="J3069" s="58">
        <v>106300</v>
      </c>
    </row>
    <row r="3070" spans="1:10" hidden="1" x14ac:dyDescent="0.35">
      <c r="A3070" s="2">
        <v>45838</v>
      </c>
      <c r="C3070" t="s">
        <v>54</v>
      </c>
      <c r="D3070">
        <v>242</v>
      </c>
      <c r="J3070" s="58">
        <v>82900</v>
      </c>
    </row>
    <row r="3071" spans="1:10" hidden="1" x14ac:dyDescent="0.35">
      <c r="A3071" s="2">
        <v>45838</v>
      </c>
      <c r="C3071" t="s">
        <v>55</v>
      </c>
      <c r="D3071">
        <v>256</v>
      </c>
      <c r="J3071" s="58">
        <v>79490</v>
      </c>
    </row>
    <row r="3072" spans="1:10" hidden="1" x14ac:dyDescent="0.35">
      <c r="A3072" s="2">
        <v>45838</v>
      </c>
      <c r="C3072" t="s">
        <v>58</v>
      </c>
      <c r="D3072">
        <v>367</v>
      </c>
      <c r="J3072" s="58">
        <v>208000</v>
      </c>
    </row>
    <row r="3073" spans="1:10" hidden="1" x14ac:dyDescent="0.35">
      <c r="A3073" s="2">
        <v>45838</v>
      </c>
      <c r="C3073" t="s">
        <v>62</v>
      </c>
      <c r="D3073">
        <v>117</v>
      </c>
      <c r="J3073" s="58">
        <v>75200</v>
      </c>
    </row>
    <row r="3074" spans="1:10" hidden="1" x14ac:dyDescent="0.35">
      <c r="A3074" s="2">
        <v>45838</v>
      </c>
      <c r="C3074" t="s">
        <v>61</v>
      </c>
      <c r="D3074">
        <v>348</v>
      </c>
      <c r="J3074" s="58">
        <v>135180</v>
      </c>
    </row>
    <row r="3075" spans="1:10" hidden="1" x14ac:dyDescent="0.35">
      <c r="A3075" s="2">
        <v>45838</v>
      </c>
      <c r="C3075" t="s">
        <v>63</v>
      </c>
      <c r="D3075">
        <v>141</v>
      </c>
      <c r="J3075" s="58">
        <v>139400</v>
      </c>
    </row>
    <row r="3076" spans="1:10" hidden="1" x14ac:dyDescent="0.35">
      <c r="A3076" s="2">
        <v>45838</v>
      </c>
      <c r="C3076" t="s">
        <v>73</v>
      </c>
      <c r="D3076">
        <v>201</v>
      </c>
      <c r="J3076" s="58">
        <v>54790</v>
      </c>
    </row>
    <row r="3077" spans="1:10" hidden="1" x14ac:dyDescent="0.35">
      <c r="A3077" s="2">
        <v>45838</v>
      </c>
      <c r="C3077" t="s">
        <v>81</v>
      </c>
      <c r="D3077">
        <v>140</v>
      </c>
      <c r="J3077" s="58">
        <v>104950</v>
      </c>
    </row>
    <row r="3078" spans="1:10" hidden="1" x14ac:dyDescent="0.35">
      <c r="A3078" s="2">
        <v>45838</v>
      </c>
      <c r="C3078" t="s">
        <v>83</v>
      </c>
      <c r="D3078">
        <v>141</v>
      </c>
      <c r="J3078" s="58">
        <v>139000</v>
      </c>
    </row>
    <row r="3079" spans="1:10" hidden="1" x14ac:dyDescent="0.35">
      <c r="A3079" s="2">
        <v>45838</v>
      </c>
      <c r="C3079" t="s">
        <v>87</v>
      </c>
      <c r="D3079">
        <v>747</v>
      </c>
      <c r="J3079" s="58">
        <v>55200</v>
      </c>
    </row>
    <row r="3080" spans="1:10" hidden="1" x14ac:dyDescent="0.35">
      <c r="A3080" s="2">
        <v>45838</v>
      </c>
      <c r="C3080" t="s">
        <v>91</v>
      </c>
      <c r="D3080">
        <v>3</v>
      </c>
      <c r="J3080" s="58">
        <v>13500</v>
      </c>
    </row>
    <row r="3081" spans="1:10" hidden="1" x14ac:dyDescent="0.35">
      <c r="A3081" s="2">
        <v>45838</v>
      </c>
      <c r="C3081" t="s">
        <v>94</v>
      </c>
      <c r="D3081">
        <v>348</v>
      </c>
      <c r="J3081" s="58">
        <v>161400</v>
      </c>
    </row>
    <row r="3082" spans="1:10" hidden="1" x14ac:dyDescent="0.35">
      <c r="A3082" s="2">
        <v>45838</v>
      </c>
      <c r="C3082" t="s">
        <v>115</v>
      </c>
      <c r="D3082">
        <v>180</v>
      </c>
      <c r="J3082" s="58">
        <v>65400</v>
      </c>
    </row>
    <row r="3083" spans="1:10" hidden="1" x14ac:dyDescent="0.35">
      <c r="A3083" s="2">
        <v>45838</v>
      </c>
      <c r="B3083" t="s">
        <v>110</v>
      </c>
      <c r="C3083" t="s">
        <v>20</v>
      </c>
      <c r="E3083">
        <v>27</v>
      </c>
      <c r="F3083">
        <v>10</v>
      </c>
      <c r="G3083">
        <v>31</v>
      </c>
      <c r="H3083">
        <v>5</v>
      </c>
      <c r="I3083">
        <v>11</v>
      </c>
      <c r="J3083" s="52"/>
    </row>
    <row r="3084" spans="1:10" hidden="1" x14ac:dyDescent="0.35">
      <c r="A3084" s="2">
        <v>45838</v>
      </c>
      <c r="B3084" t="s">
        <v>113</v>
      </c>
      <c r="C3084" t="s">
        <v>20</v>
      </c>
      <c r="E3084">
        <v>17</v>
      </c>
      <c r="F3084">
        <v>8</v>
      </c>
      <c r="G3084">
        <v>20</v>
      </c>
      <c r="H3084">
        <v>0</v>
      </c>
      <c r="I3084">
        <v>8</v>
      </c>
      <c r="J3084" s="52"/>
    </row>
    <row r="3085" spans="1:10" hidden="1" x14ac:dyDescent="0.35">
      <c r="A3085" s="2">
        <v>45838</v>
      </c>
      <c r="B3085" t="s">
        <v>113</v>
      </c>
      <c r="C3085" t="s">
        <v>26</v>
      </c>
      <c r="E3085">
        <v>20</v>
      </c>
      <c r="F3085">
        <v>5</v>
      </c>
      <c r="G3085">
        <v>21</v>
      </c>
      <c r="H3085">
        <v>0</v>
      </c>
      <c r="I3085">
        <v>4</v>
      </c>
      <c r="J3085" s="52"/>
    </row>
    <row r="3086" spans="1:10" hidden="1" x14ac:dyDescent="0.35">
      <c r="A3086" s="2">
        <v>45838</v>
      </c>
      <c r="B3086" t="s">
        <v>113</v>
      </c>
      <c r="C3086" t="s">
        <v>115</v>
      </c>
      <c r="E3086">
        <v>1</v>
      </c>
      <c r="F3086">
        <v>0</v>
      </c>
      <c r="G3086">
        <v>4</v>
      </c>
      <c r="H3086">
        <v>1</v>
      </c>
      <c r="I3086">
        <v>2</v>
      </c>
      <c r="J3086" s="52"/>
    </row>
    <row r="3087" spans="1:10" hidden="1" x14ac:dyDescent="0.35">
      <c r="A3087" s="2">
        <v>45838</v>
      </c>
      <c r="B3087" t="s">
        <v>125</v>
      </c>
      <c r="C3087" t="s">
        <v>115</v>
      </c>
      <c r="E3087">
        <v>20</v>
      </c>
      <c r="F3087">
        <v>4</v>
      </c>
      <c r="G3087">
        <v>11</v>
      </c>
      <c r="H3087">
        <v>0</v>
      </c>
      <c r="I3087">
        <v>3</v>
      </c>
      <c r="J3087" s="52"/>
    </row>
    <row r="3088" spans="1:10" hidden="1" x14ac:dyDescent="0.35">
      <c r="A3088" s="2">
        <v>45838</v>
      </c>
      <c r="B3088" t="s">
        <v>38</v>
      </c>
      <c r="C3088" t="s">
        <v>18</v>
      </c>
      <c r="E3088">
        <v>33</v>
      </c>
      <c r="F3088">
        <v>21</v>
      </c>
      <c r="G3088">
        <v>28</v>
      </c>
      <c r="H3088">
        <v>15</v>
      </c>
      <c r="I3088">
        <v>17</v>
      </c>
      <c r="J3088" s="52"/>
    </row>
    <row r="3089" spans="1:10" hidden="1" x14ac:dyDescent="0.35">
      <c r="A3089" s="2">
        <v>45838</v>
      </c>
      <c r="B3089" t="s">
        <v>122</v>
      </c>
      <c r="C3089" t="s">
        <v>25</v>
      </c>
      <c r="E3089">
        <v>41</v>
      </c>
      <c r="F3089">
        <v>0</v>
      </c>
      <c r="G3089">
        <v>22</v>
      </c>
      <c r="H3089">
        <v>1</v>
      </c>
      <c r="I3089">
        <v>10</v>
      </c>
      <c r="J3089" s="52"/>
    </row>
    <row r="3090" spans="1:10" hidden="1" x14ac:dyDescent="0.35">
      <c r="A3090" s="2">
        <v>45838</v>
      </c>
      <c r="B3090" t="s">
        <v>122</v>
      </c>
      <c r="C3090" t="s">
        <v>23</v>
      </c>
      <c r="E3090">
        <v>12</v>
      </c>
      <c r="F3090">
        <v>3</v>
      </c>
      <c r="G3090">
        <v>4</v>
      </c>
      <c r="H3090">
        <v>2</v>
      </c>
      <c r="I3090">
        <v>3</v>
      </c>
      <c r="J3090" s="52"/>
    </row>
    <row r="3091" spans="1:10" hidden="1" x14ac:dyDescent="0.35">
      <c r="A3091" s="2">
        <v>45838</v>
      </c>
      <c r="B3091" t="s">
        <v>126</v>
      </c>
      <c r="C3091" t="s">
        <v>23</v>
      </c>
      <c r="E3091">
        <v>11</v>
      </c>
      <c r="F3091">
        <v>1</v>
      </c>
      <c r="G3091">
        <v>4</v>
      </c>
      <c r="H3091">
        <v>1</v>
      </c>
      <c r="I3091">
        <v>6</v>
      </c>
      <c r="J3091" s="52"/>
    </row>
    <row r="3092" spans="1:10" hidden="1" x14ac:dyDescent="0.35">
      <c r="A3092" s="2">
        <v>45838</v>
      </c>
      <c r="B3092" t="s">
        <v>126</v>
      </c>
      <c r="C3092" t="s">
        <v>24</v>
      </c>
      <c r="E3092">
        <v>11</v>
      </c>
      <c r="F3092">
        <v>1</v>
      </c>
      <c r="G3092">
        <v>4</v>
      </c>
      <c r="H3092">
        <v>2</v>
      </c>
      <c r="I3092">
        <v>6</v>
      </c>
      <c r="J3092" s="52"/>
    </row>
    <row r="3093" spans="1:10" hidden="1" x14ac:dyDescent="0.35">
      <c r="A3093" s="2">
        <v>45838</v>
      </c>
      <c r="B3093" t="s">
        <v>96</v>
      </c>
      <c r="C3093" t="s">
        <v>24</v>
      </c>
      <c r="E3093">
        <v>5</v>
      </c>
      <c r="F3093">
        <v>0</v>
      </c>
      <c r="G3093">
        <v>2</v>
      </c>
      <c r="H3093">
        <v>2</v>
      </c>
      <c r="I3093">
        <v>2</v>
      </c>
      <c r="J3093" s="52"/>
    </row>
    <row r="3094" spans="1:10" hidden="1" x14ac:dyDescent="0.35">
      <c r="A3094" s="2">
        <v>45838</v>
      </c>
      <c r="B3094" t="s">
        <v>101</v>
      </c>
      <c r="C3094" t="s">
        <v>24</v>
      </c>
      <c r="E3094">
        <v>2</v>
      </c>
      <c r="F3094">
        <v>0</v>
      </c>
      <c r="G3094">
        <v>0</v>
      </c>
      <c r="H3094">
        <v>0</v>
      </c>
      <c r="I3094">
        <v>2</v>
      </c>
      <c r="J3094" s="52"/>
    </row>
    <row r="3095" spans="1:10" hidden="1" x14ac:dyDescent="0.35">
      <c r="A3095" s="2">
        <v>45838</v>
      </c>
      <c r="B3095" t="s">
        <v>101</v>
      </c>
      <c r="C3095" t="s">
        <v>37</v>
      </c>
      <c r="E3095">
        <v>8</v>
      </c>
      <c r="F3095">
        <v>3</v>
      </c>
      <c r="G3095">
        <v>2</v>
      </c>
      <c r="H3095">
        <v>3</v>
      </c>
      <c r="I3095">
        <v>4</v>
      </c>
      <c r="J3095" s="52"/>
    </row>
    <row r="3096" spans="1:10" hidden="1" x14ac:dyDescent="0.35">
      <c r="A3096" s="2">
        <v>45838</v>
      </c>
      <c r="B3096" t="s">
        <v>102</v>
      </c>
      <c r="C3096" t="s">
        <v>37</v>
      </c>
      <c r="E3096">
        <v>26</v>
      </c>
      <c r="F3096">
        <v>4</v>
      </c>
      <c r="G3096">
        <v>9</v>
      </c>
      <c r="H3096">
        <v>6</v>
      </c>
      <c r="I3096">
        <v>9</v>
      </c>
      <c r="J3096" s="52"/>
    </row>
    <row r="3097" spans="1:10" hidden="1" x14ac:dyDescent="0.35">
      <c r="A3097" s="2">
        <v>45838</v>
      </c>
      <c r="B3097" t="s">
        <v>126</v>
      </c>
      <c r="C3097" t="s">
        <v>37</v>
      </c>
      <c r="E3097">
        <v>8</v>
      </c>
      <c r="F3097">
        <v>3</v>
      </c>
      <c r="G3097">
        <v>5</v>
      </c>
      <c r="H3097">
        <v>1</v>
      </c>
      <c r="I3097">
        <v>6</v>
      </c>
      <c r="J3097" s="52"/>
    </row>
    <row r="3098" spans="1:10" hidden="1" x14ac:dyDescent="0.35">
      <c r="A3098" s="2">
        <v>45838</v>
      </c>
      <c r="B3098" t="s">
        <v>96</v>
      </c>
      <c r="C3098" t="s">
        <v>37</v>
      </c>
      <c r="E3098">
        <v>0</v>
      </c>
      <c r="F3098">
        <v>0</v>
      </c>
      <c r="G3098">
        <v>0</v>
      </c>
      <c r="H3098">
        <v>0</v>
      </c>
      <c r="I3098">
        <v>1</v>
      </c>
      <c r="J3098" s="52"/>
    </row>
    <row r="3099" spans="1:10" hidden="1" x14ac:dyDescent="0.35">
      <c r="A3099" s="2">
        <v>45838</v>
      </c>
      <c r="B3099" t="s">
        <v>112</v>
      </c>
      <c r="C3099" t="s">
        <v>19</v>
      </c>
      <c r="E3099">
        <v>28</v>
      </c>
      <c r="F3099">
        <v>2</v>
      </c>
      <c r="G3099">
        <v>30</v>
      </c>
      <c r="H3099">
        <v>0</v>
      </c>
      <c r="I3099">
        <v>9</v>
      </c>
      <c r="J3099" s="52"/>
    </row>
    <row r="3100" spans="1:10" hidden="1" x14ac:dyDescent="0.35">
      <c r="A3100" s="2">
        <v>45838</v>
      </c>
      <c r="B3100" t="s">
        <v>40</v>
      </c>
      <c r="C3100" t="s">
        <v>19</v>
      </c>
      <c r="E3100">
        <v>26</v>
      </c>
      <c r="F3100">
        <v>5</v>
      </c>
      <c r="G3100">
        <v>16</v>
      </c>
      <c r="H3100">
        <v>0</v>
      </c>
      <c r="I3100">
        <v>11</v>
      </c>
      <c r="J3100" s="52"/>
    </row>
    <row r="3101" spans="1:10" hidden="1" x14ac:dyDescent="0.35">
      <c r="A3101" s="2">
        <v>45838</v>
      </c>
      <c r="B3101" t="s">
        <v>121</v>
      </c>
      <c r="C3101" t="s">
        <v>22</v>
      </c>
      <c r="E3101">
        <v>19</v>
      </c>
      <c r="F3101">
        <v>17</v>
      </c>
      <c r="G3101">
        <v>24</v>
      </c>
      <c r="H3101">
        <v>7</v>
      </c>
      <c r="I3101">
        <v>4</v>
      </c>
      <c r="J3101" s="52"/>
    </row>
    <row r="3102" spans="1:10" hidden="1" x14ac:dyDescent="0.35">
      <c r="A3102" s="2">
        <v>45838</v>
      </c>
      <c r="B3102" t="s">
        <v>95</v>
      </c>
      <c r="C3102" t="s">
        <v>22</v>
      </c>
      <c r="E3102">
        <v>11</v>
      </c>
      <c r="F3102">
        <v>9</v>
      </c>
      <c r="G3102">
        <v>13</v>
      </c>
      <c r="H3102">
        <v>6</v>
      </c>
      <c r="I3102">
        <v>4</v>
      </c>
      <c r="J3102" s="52"/>
    </row>
    <row r="3103" spans="1:10" hidden="1" x14ac:dyDescent="0.35">
      <c r="A3103" s="2">
        <v>45838</v>
      </c>
      <c r="B3103" t="s">
        <v>43</v>
      </c>
      <c r="C3103" t="s">
        <v>27</v>
      </c>
      <c r="E3103">
        <v>20</v>
      </c>
      <c r="F3103">
        <v>0</v>
      </c>
      <c r="G3103">
        <v>24</v>
      </c>
      <c r="H3103">
        <v>0</v>
      </c>
      <c r="I3103">
        <v>10</v>
      </c>
      <c r="J3103" s="52"/>
    </row>
    <row r="3104" spans="1:10" hidden="1" x14ac:dyDescent="0.35">
      <c r="A3104" s="2">
        <v>45838</v>
      </c>
      <c r="B3104" t="s">
        <v>84</v>
      </c>
      <c r="C3104" t="s">
        <v>27</v>
      </c>
      <c r="E3104">
        <v>22</v>
      </c>
      <c r="F3104">
        <v>0</v>
      </c>
      <c r="G3104">
        <v>21</v>
      </c>
      <c r="H3104">
        <v>0</v>
      </c>
      <c r="I3104">
        <v>13</v>
      </c>
      <c r="J3104" s="52"/>
    </row>
    <row r="3105" spans="1:10" hidden="1" x14ac:dyDescent="0.35">
      <c r="A3105" s="2">
        <v>45838</v>
      </c>
      <c r="B3105" t="s">
        <v>101</v>
      </c>
      <c r="C3105" t="s">
        <v>9</v>
      </c>
      <c r="E3105">
        <v>11</v>
      </c>
      <c r="F3105">
        <v>2</v>
      </c>
      <c r="G3105">
        <v>16</v>
      </c>
      <c r="H3105">
        <v>2</v>
      </c>
      <c r="I3105">
        <v>3</v>
      </c>
      <c r="J3105" s="52"/>
    </row>
    <row r="3106" spans="1:10" hidden="1" x14ac:dyDescent="0.35">
      <c r="A3106" s="2">
        <v>45838</v>
      </c>
      <c r="B3106" t="s">
        <v>75</v>
      </c>
      <c r="C3106" t="s">
        <v>21</v>
      </c>
      <c r="E3106">
        <v>16</v>
      </c>
      <c r="F3106">
        <v>2</v>
      </c>
      <c r="G3106">
        <v>14</v>
      </c>
      <c r="H3106">
        <v>7</v>
      </c>
      <c r="I3106">
        <v>4</v>
      </c>
      <c r="J3106" s="52"/>
    </row>
    <row r="3107" spans="1:10" hidden="1" x14ac:dyDescent="0.35">
      <c r="A3107" s="2">
        <v>45838</v>
      </c>
      <c r="B3107" t="s">
        <v>128</v>
      </c>
      <c r="C3107" t="s">
        <v>21</v>
      </c>
      <c r="E3107">
        <v>8</v>
      </c>
      <c r="F3107">
        <v>1</v>
      </c>
      <c r="G3107">
        <v>3</v>
      </c>
      <c r="H3107">
        <v>0</v>
      </c>
      <c r="I3107">
        <v>1</v>
      </c>
      <c r="J3107" s="52"/>
    </row>
    <row r="3108" spans="1:10" hidden="1" x14ac:dyDescent="0.35">
      <c r="A3108" s="2">
        <v>45838</v>
      </c>
      <c r="B3108" t="s">
        <v>117</v>
      </c>
      <c r="C3108" t="s">
        <v>54</v>
      </c>
      <c r="E3108">
        <v>20</v>
      </c>
      <c r="F3108">
        <v>2</v>
      </c>
      <c r="G3108">
        <v>21</v>
      </c>
      <c r="H3108">
        <v>4</v>
      </c>
      <c r="I3108">
        <v>6</v>
      </c>
      <c r="J3108" s="52"/>
    </row>
    <row r="3109" spans="1:10" hidden="1" x14ac:dyDescent="0.35">
      <c r="A3109" s="2">
        <v>45838</v>
      </c>
      <c r="B3109" t="s">
        <v>123</v>
      </c>
      <c r="C3109" t="s">
        <v>55</v>
      </c>
      <c r="E3109">
        <v>6</v>
      </c>
      <c r="F3109">
        <v>9</v>
      </c>
      <c r="G3109">
        <v>14</v>
      </c>
      <c r="H3109">
        <v>7</v>
      </c>
      <c r="I3109">
        <v>6</v>
      </c>
      <c r="J3109" s="52"/>
    </row>
    <row r="3110" spans="1:10" hidden="1" x14ac:dyDescent="0.35">
      <c r="A3110" s="2">
        <v>45838</v>
      </c>
      <c r="B3110" t="s">
        <v>107</v>
      </c>
      <c r="C3110" t="s">
        <v>58</v>
      </c>
      <c r="E3110">
        <v>20</v>
      </c>
      <c r="F3110">
        <v>12</v>
      </c>
      <c r="G3110">
        <v>30</v>
      </c>
      <c r="H3110">
        <v>16</v>
      </c>
      <c r="I3110">
        <v>15</v>
      </c>
      <c r="J3110" s="52"/>
    </row>
    <row r="3111" spans="1:10" hidden="1" x14ac:dyDescent="0.35">
      <c r="A3111" s="2">
        <v>45838</v>
      </c>
      <c r="B3111" t="s">
        <v>129</v>
      </c>
      <c r="C3111" t="s">
        <v>58</v>
      </c>
      <c r="E3111">
        <v>4</v>
      </c>
      <c r="F3111">
        <v>1</v>
      </c>
      <c r="G3111">
        <v>0</v>
      </c>
      <c r="H3111">
        <v>0</v>
      </c>
      <c r="I3111">
        <v>1</v>
      </c>
      <c r="J3111" s="52"/>
    </row>
    <row r="3112" spans="1:10" hidden="1" x14ac:dyDescent="0.35">
      <c r="A3112" s="2">
        <v>45838</v>
      </c>
      <c r="B3112" t="s">
        <v>64</v>
      </c>
      <c r="C3112" t="s">
        <v>62</v>
      </c>
      <c r="E3112">
        <v>13</v>
      </c>
      <c r="F3112">
        <v>1</v>
      </c>
      <c r="G3112">
        <v>22</v>
      </c>
      <c r="H3112">
        <v>6</v>
      </c>
      <c r="I3112">
        <v>5</v>
      </c>
      <c r="J3112" s="52"/>
    </row>
    <row r="3113" spans="1:10" hidden="1" x14ac:dyDescent="0.35">
      <c r="A3113" s="2">
        <v>45838</v>
      </c>
      <c r="B3113" t="s">
        <v>97</v>
      </c>
      <c r="C3113" t="s">
        <v>61</v>
      </c>
      <c r="E3113">
        <v>9</v>
      </c>
      <c r="F3113">
        <v>1</v>
      </c>
      <c r="G3113">
        <v>11</v>
      </c>
      <c r="H3113">
        <v>0</v>
      </c>
      <c r="I3113">
        <v>8</v>
      </c>
      <c r="J3113" s="52"/>
    </row>
    <row r="3114" spans="1:10" hidden="1" x14ac:dyDescent="0.35">
      <c r="A3114" s="2">
        <v>45838</v>
      </c>
      <c r="B3114" t="s">
        <v>118</v>
      </c>
      <c r="C3114" t="s">
        <v>61</v>
      </c>
      <c r="E3114">
        <v>3</v>
      </c>
      <c r="F3114">
        <v>0</v>
      </c>
      <c r="G3114">
        <v>3</v>
      </c>
      <c r="H3114">
        <v>0</v>
      </c>
      <c r="I3114">
        <v>2</v>
      </c>
      <c r="J3114" s="52"/>
    </row>
    <row r="3115" spans="1:10" hidden="1" x14ac:dyDescent="0.35">
      <c r="A3115" s="2">
        <v>45838</v>
      </c>
      <c r="B3115" t="s">
        <v>118</v>
      </c>
      <c r="C3115" t="s">
        <v>91</v>
      </c>
      <c r="E3115">
        <v>1</v>
      </c>
      <c r="F3115">
        <v>0</v>
      </c>
      <c r="G3115">
        <v>2</v>
      </c>
      <c r="H3115">
        <v>0</v>
      </c>
      <c r="I3115">
        <v>1</v>
      </c>
      <c r="J3115" s="52"/>
    </row>
    <row r="3116" spans="1:10" hidden="1" x14ac:dyDescent="0.35">
      <c r="A3116" s="2">
        <v>45838</v>
      </c>
      <c r="B3116" t="s">
        <v>119</v>
      </c>
      <c r="C3116" t="s">
        <v>63</v>
      </c>
      <c r="E3116">
        <v>20</v>
      </c>
      <c r="F3116">
        <v>9</v>
      </c>
      <c r="G3116">
        <v>13</v>
      </c>
      <c r="H3116">
        <v>3</v>
      </c>
      <c r="I3116">
        <v>11</v>
      </c>
      <c r="J3116" s="52"/>
    </row>
    <row r="3117" spans="1:10" hidden="1" x14ac:dyDescent="0.35">
      <c r="A3117" s="2">
        <v>45838</v>
      </c>
      <c r="B3117" t="s">
        <v>77</v>
      </c>
      <c r="C3117" t="s">
        <v>73</v>
      </c>
      <c r="E3117">
        <v>11</v>
      </c>
      <c r="F3117">
        <v>4</v>
      </c>
      <c r="G3117">
        <v>12</v>
      </c>
      <c r="H3117">
        <v>7</v>
      </c>
      <c r="I3117">
        <v>4</v>
      </c>
      <c r="J3117" s="52"/>
    </row>
    <row r="3118" spans="1:10" hidden="1" x14ac:dyDescent="0.35">
      <c r="A3118" s="2">
        <v>45838</v>
      </c>
      <c r="B3118" t="s">
        <v>110</v>
      </c>
      <c r="C3118" t="s">
        <v>81</v>
      </c>
      <c r="E3118">
        <v>14</v>
      </c>
      <c r="F3118">
        <v>0</v>
      </c>
      <c r="G3118">
        <v>21</v>
      </c>
      <c r="H3118">
        <v>0</v>
      </c>
      <c r="I3118">
        <v>8</v>
      </c>
      <c r="J3118" s="52"/>
    </row>
    <row r="3119" spans="1:10" hidden="1" x14ac:dyDescent="0.35">
      <c r="A3119" s="2">
        <v>45838</v>
      </c>
      <c r="B3119" t="s">
        <v>85</v>
      </c>
      <c r="C3119" t="s">
        <v>83</v>
      </c>
      <c r="E3119">
        <v>25</v>
      </c>
      <c r="F3119">
        <v>4</v>
      </c>
      <c r="G3119">
        <v>24</v>
      </c>
      <c r="H3119">
        <v>2</v>
      </c>
      <c r="I3119">
        <v>10</v>
      </c>
      <c r="J3119" s="52"/>
    </row>
    <row r="3120" spans="1:10" hidden="1" x14ac:dyDescent="0.35">
      <c r="A3120" s="2">
        <v>45838</v>
      </c>
      <c r="B3120" t="s">
        <v>89</v>
      </c>
      <c r="C3120" t="s">
        <v>87</v>
      </c>
      <c r="E3120">
        <v>10</v>
      </c>
      <c r="F3120">
        <v>1</v>
      </c>
      <c r="G3120">
        <v>10</v>
      </c>
      <c r="H3120">
        <v>0</v>
      </c>
      <c r="I3120">
        <v>4</v>
      </c>
      <c r="J3120" s="52"/>
    </row>
    <row r="3121" spans="1:10" hidden="1" x14ac:dyDescent="0.35">
      <c r="A3121" s="2">
        <v>45838</v>
      </c>
      <c r="B3121" t="s">
        <v>98</v>
      </c>
      <c r="C3121" t="s">
        <v>94</v>
      </c>
      <c r="E3121">
        <v>32</v>
      </c>
      <c r="F3121">
        <v>0</v>
      </c>
      <c r="G3121">
        <v>29</v>
      </c>
      <c r="H3121">
        <v>0</v>
      </c>
      <c r="I3121">
        <v>11</v>
      </c>
      <c r="J3121" s="52"/>
    </row>
    <row r="3122" spans="1:10" hidden="1" x14ac:dyDescent="0.35">
      <c r="A3122" s="2">
        <v>45838</v>
      </c>
      <c r="B3122" t="s">
        <v>130</v>
      </c>
      <c r="C3122" t="s">
        <v>94</v>
      </c>
      <c r="E3122">
        <v>4</v>
      </c>
      <c r="F3122">
        <v>0</v>
      </c>
      <c r="G3122">
        <v>0</v>
      </c>
      <c r="H3122">
        <v>0</v>
      </c>
      <c r="I3122">
        <v>0</v>
      </c>
      <c r="J3122" s="52"/>
    </row>
    <row r="3123" spans="1:10" hidden="1" x14ac:dyDescent="0.35">
      <c r="A3123" s="2">
        <v>45868</v>
      </c>
      <c r="C3123" t="s">
        <v>24</v>
      </c>
      <c r="D3123">
        <v>175</v>
      </c>
      <c r="J3123" s="58">
        <v>140700</v>
      </c>
    </row>
    <row r="3124" spans="1:10" hidden="1" x14ac:dyDescent="0.35">
      <c r="A3124" s="2">
        <v>45868</v>
      </c>
      <c r="C3124" t="s">
        <v>9</v>
      </c>
      <c r="D3124">
        <v>165</v>
      </c>
      <c r="J3124" s="58">
        <v>172138.2</v>
      </c>
    </row>
    <row r="3125" spans="1:10" hidden="1" x14ac:dyDescent="0.35">
      <c r="A3125" s="2">
        <v>45868</v>
      </c>
      <c r="C3125" t="s">
        <v>37</v>
      </c>
      <c r="D3125">
        <v>310</v>
      </c>
      <c r="J3125" s="58">
        <v>356882</v>
      </c>
    </row>
    <row r="3126" spans="1:10" hidden="1" x14ac:dyDescent="0.35">
      <c r="A3126" s="2">
        <v>45868</v>
      </c>
      <c r="C3126" t="s">
        <v>23</v>
      </c>
      <c r="D3126">
        <v>215</v>
      </c>
      <c r="J3126" s="58">
        <v>145005</v>
      </c>
    </row>
    <row r="3127" spans="1:10" hidden="1" x14ac:dyDescent="0.35">
      <c r="A3127" s="2">
        <v>45868</v>
      </c>
      <c r="C3127" t="s">
        <v>27</v>
      </c>
      <c r="D3127">
        <v>365</v>
      </c>
      <c r="J3127" s="58">
        <v>427500</v>
      </c>
    </row>
    <row r="3128" spans="1:10" hidden="1" x14ac:dyDescent="0.35">
      <c r="A3128" s="2">
        <v>45868</v>
      </c>
      <c r="C3128" t="s">
        <v>26</v>
      </c>
      <c r="D3128">
        <v>173</v>
      </c>
      <c r="J3128" s="58">
        <v>157300</v>
      </c>
    </row>
    <row r="3129" spans="1:10" hidden="1" x14ac:dyDescent="0.35">
      <c r="A3129" s="2">
        <v>45868</v>
      </c>
      <c r="C3129" t="s">
        <v>20</v>
      </c>
      <c r="D3129">
        <v>320</v>
      </c>
      <c r="J3129" s="58">
        <v>394700</v>
      </c>
    </row>
    <row r="3130" spans="1:10" hidden="1" x14ac:dyDescent="0.35">
      <c r="A3130" s="2">
        <v>45868</v>
      </c>
      <c r="C3130" t="s">
        <v>25</v>
      </c>
      <c r="D3130">
        <v>189</v>
      </c>
      <c r="J3130" s="58">
        <v>245664</v>
      </c>
    </row>
    <row r="3131" spans="1:10" hidden="1" x14ac:dyDescent="0.35">
      <c r="A3131" s="2">
        <v>45868</v>
      </c>
      <c r="C3131" t="s">
        <v>19</v>
      </c>
      <c r="D3131">
        <v>374</v>
      </c>
      <c r="J3131" s="58">
        <v>222720</v>
      </c>
    </row>
    <row r="3132" spans="1:10" hidden="1" x14ac:dyDescent="0.35">
      <c r="A3132" s="2">
        <v>45868</v>
      </c>
      <c r="C3132" t="s">
        <v>21</v>
      </c>
      <c r="D3132">
        <v>295</v>
      </c>
      <c r="J3132" s="58">
        <v>220900</v>
      </c>
    </row>
    <row r="3133" spans="1:10" hidden="1" x14ac:dyDescent="0.35">
      <c r="A3133" s="2">
        <v>45868</v>
      </c>
      <c r="C3133" t="s">
        <v>18</v>
      </c>
      <c r="D3133">
        <v>378</v>
      </c>
      <c r="J3133" s="58">
        <v>400024</v>
      </c>
    </row>
    <row r="3134" spans="1:10" hidden="1" x14ac:dyDescent="0.35">
      <c r="A3134" s="2">
        <v>45868</v>
      </c>
      <c r="C3134" t="s">
        <v>22</v>
      </c>
      <c r="D3134">
        <v>349</v>
      </c>
      <c r="J3134" s="58">
        <v>302600</v>
      </c>
    </row>
    <row r="3135" spans="1:10" hidden="1" x14ac:dyDescent="0.35">
      <c r="A3135" s="2">
        <v>45868</v>
      </c>
      <c r="C3135" t="s">
        <v>54</v>
      </c>
      <c r="D3135">
        <v>292</v>
      </c>
      <c r="J3135" s="58">
        <v>156482</v>
      </c>
    </row>
    <row r="3136" spans="1:10" hidden="1" x14ac:dyDescent="0.35">
      <c r="A3136" s="2">
        <v>45868</v>
      </c>
      <c r="C3136" t="s">
        <v>55</v>
      </c>
      <c r="D3136">
        <v>315</v>
      </c>
      <c r="J3136" s="58">
        <v>94950</v>
      </c>
    </row>
    <row r="3137" spans="1:10" hidden="1" x14ac:dyDescent="0.35">
      <c r="A3137" s="2">
        <v>45868</v>
      </c>
      <c r="C3137" t="s">
        <v>58</v>
      </c>
      <c r="D3137">
        <v>306</v>
      </c>
      <c r="J3137" s="58">
        <v>210050</v>
      </c>
    </row>
    <row r="3138" spans="1:10" hidden="1" x14ac:dyDescent="0.35">
      <c r="A3138" s="2">
        <v>45868</v>
      </c>
      <c r="C3138" t="s">
        <v>62</v>
      </c>
      <c r="D3138">
        <v>94</v>
      </c>
      <c r="J3138" s="58">
        <v>42732</v>
      </c>
    </row>
    <row r="3139" spans="1:10" hidden="1" x14ac:dyDescent="0.35">
      <c r="A3139" s="2">
        <v>45868</v>
      </c>
      <c r="C3139" t="s">
        <v>61</v>
      </c>
      <c r="D3139">
        <v>463</v>
      </c>
      <c r="J3139" s="58">
        <v>108399</v>
      </c>
    </row>
    <row r="3140" spans="1:10" hidden="1" x14ac:dyDescent="0.35">
      <c r="A3140" s="2">
        <v>45868</v>
      </c>
      <c r="C3140" t="s">
        <v>63</v>
      </c>
      <c r="D3140">
        <v>222</v>
      </c>
      <c r="J3140" s="58">
        <v>206500</v>
      </c>
    </row>
    <row r="3141" spans="1:10" hidden="1" x14ac:dyDescent="0.35">
      <c r="A3141" s="2">
        <v>45868</v>
      </c>
      <c r="C3141" t="s">
        <v>73</v>
      </c>
      <c r="D3141">
        <v>232</v>
      </c>
      <c r="J3141" s="58">
        <v>137232</v>
      </c>
    </row>
    <row r="3142" spans="1:10" hidden="1" x14ac:dyDescent="0.35">
      <c r="A3142" s="2">
        <v>45868</v>
      </c>
      <c r="C3142" t="s">
        <v>81</v>
      </c>
      <c r="D3142">
        <v>184</v>
      </c>
      <c r="J3142" s="58">
        <v>80000</v>
      </c>
    </row>
    <row r="3143" spans="1:10" hidden="1" x14ac:dyDescent="0.35">
      <c r="A3143" s="2">
        <v>45868</v>
      </c>
      <c r="C3143" t="s">
        <v>83</v>
      </c>
      <c r="D3143">
        <v>216</v>
      </c>
      <c r="J3143" s="58">
        <v>127114</v>
      </c>
    </row>
    <row r="3144" spans="1:10" hidden="1" x14ac:dyDescent="0.35">
      <c r="A3144" s="2">
        <v>45868</v>
      </c>
      <c r="C3144" t="s">
        <v>87</v>
      </c>
      <c r="D3144">
        <v>110</v>
      </c>
      <c r="J3144" s="58">
        <v>83800</v>
      </c>
    </row>
    <row r="3145" spans="1:10" hidden="1" x14ac:dyDescent="0.35">
      <c r="A3145" s="2">
        <v>45868</v>
      </c>
      <c r="C3145" t="s">
        <v>94</v>
      </c>
      <c r="D3145">
        <v>256</v>
      </c>
      <c r="J3145" s="58">
        <v>235546</v>
      </c>
    </row>
    <row r="3146" spans="1:10" hidden="1" x14ac:dyDescent="0.35">
      <c r="A3146" s="2">
        <v>45868</v>
      </c>
      <c r="C3146" t="s">
        <v>115</v>
      </c>
      <c r="D3146">
        <v>167</v>
      </c>
      <c r="J3146" s="58">
        <v>113750</v>
      </c>
    </row>
    <row r="3147" spans="1:10" hidden="1" x14ac:dyDescent="0.35">
      <c r="A3147" s="2">
        <v>45868</v>
      </c>
      <c r="B3147" t="s">
        <v>110</v>
      </c>
      <c r="C3147" t="s">
        <v>20</v>
      </c>
      <c r="E3147">
        <v>31</v>
      </c>
      <c r="F3147">
        <v>5</v>
      </c>
      <c r="G3147">
        <v>39</v>
      </c>
      <c r="H3147">
        <v>1</v>
      </c>
      <c r="I3147">
        <v>14</v>
      </c>
      <c r="J3147" s="52"/>
    </row>
    <row r="3148" spans="1:10" hidden="1" x14ac:dyDescent="0.35">
      <c r="A3148" s="2">
        <v>45868</v>
      </c>
      <c r="B3148" t="s">
        <v>113</v>
      </c>
      <c r="C3148" t="s">
        <v>20</v>
      </c>
      <c r="E3148">
        <v>21</v>
      </c>
      <c r="F3148">
        <v>5</v>
      </c>
      <c r="G3148">
        <v>22</v>
      </c>
      <c r="H3148">
        <v>1</v>
      </c>
      <c r="I3148">
        <v>11</v>
      </c>
      <c r="J3148" s="52"/>
    </row>
    <row r="3149" spans="1:10" hidden="1" x14ac:dyDescent="0.35">
      <c r="A3149" s="2">
        <v>45868</v>
      </c>
      <c r="B3149" t="s">
        <v>113</v>
      </c>
      <c r="C3149" t="s">
        <v>26</v>
      </c>
      <c r="E3149">
        <v>23</v>
      </c>
      <c r="F3149">
        <v>1</v>
      </c>
      <c r="G3149">
        <v>3</v>
      </c>
      <c r="H3149">
        <v>57</v>
      </c>
      <c r="I3149">
        <v>11</v>
      </c>
      <c r="J3149" s="52"/>
    </row>
    <row r="3150" spans="1:10" hidden="1" x14ac:dyDescent="0.35">
      <c r="A3150" s="2">
        <v>45868</v>
      </c>
      <c r="B3150" t="s">
        <v>125</v>
      </c>
      <c r="C3150" t="s">
        <v>115</v>
      </c>
      <c r="E3150">
        <v>12</v>
      </c>
      <c r="F3150">
        <v>0</v>
      </c>
      <c r="G3150">
        <v>30</v>
      </c>
      <c r="H3150">
        <v>1</v>
      </c>
      <c r="I3150">
        <v>8</v>
      </c>
      <c r="J3150" s="52"/>
    </row>
    <row r="3151" spans="1:10" hidden="1" x14ac:dyDescent="0.35">
      <c r="A3151" s="2">
        <v>45868</v>
      </c>
      <c r="B3151" t="s">
        <v>38</v>
      </c>
      <c r="C3151" t="s">
        <v>18</v>
      </c>
      <c r="E3151">
        <v>30</v>
      </c>
      <c r="F3151">
        <v>16</v>
      </c>
      <c r="G3151">
        <v>36</v>
      </c>
      <c r="H3151">
        <v>7</v>
      </c>
      <c r="I3151">
        <v>18</v>
      </c>
      <c r="J3151" s="52"/>
    </row>
    <row r="3152" spans="1:10" hidden="1" x14ac:dyDescent="0.35">
      <c r="A3152" s="2">
        <v>45868</v>
      </c>
      <c r="B3152" t="s">
        <v>116</v>
      </c>
      <c r="C3152" t="s">
        <v>18</v>
      </c>
      <c r="E3152">
        <v>33</v>
      </c>
      <c r="F3152">
        <v>23</v>
      </c>
      <c r="G3152">
        <v>23</v>
      </c>
      <c r="H3152">
        <v>7</v>
      </c>
      <c r="I3152">
        <v>11</v>
      </c>
      <c r="J3152" s="52"/>
    </row>
    <row r="3153" spans="1:10" hidden="1" x14ac:dyDescent="0.35">
      <c r="A3153" s="2">
        <v>45868</v>
      </c>
      <c r="B3153" t="s">
        <v>122</v>
      </c>
      <c r="C3153" t="s">
        <v>25</v>
      </c>
      <c r="E3153">
        <v>59</v>
      </c>
      <c r="F3153">
        <v>1</v>
      </c>
      <c r="G3153">
        <v>40</v>
      </c>
      <c r="H3153">
        <v>1</v>
      </c>
      <c r="I3153">
        <v>17</v>
      </c>
      <c r="J3153" s="52"/>
    </row>
    <row r="3154" spans="1:10" hidden="1" x14ac:dyDescent="0.35">
      <c r="A3154" s="2">
        <v>45868</v>
      </c>
      <c r="B3154" t="s">
        <v>104</v>
      </c>
      <c r="C3154" t="s">
        <v>23</v>
      </c>
      <c r="E3154">
        <v>2</v>
      </c>
      <c r="F3154">
        <v>0</v>
      </c>
      <c r="G3154">
        <v>1</v>
      </c>
      <c r="H3154">
        <v>3</v>
      </c>
      <c r="I3154">
        <v>2</v>
      </c>
      <c r="J3154" s="52"/>
    </row>
    <row r="3155" spans="1:10" hidden="1" x14ac:dyDescent="0.35">
      <c r="A3155" s="2">
        <v>45868</v>
      </c>
      <c r="B3155" t="s">
        <v>122</v>
      </c>
      <c r="C3155" t="s">
        <v>23</v>
      </c>
      <c r="E3155">
        <v>16</v>
      </c>
      <c r="F3155">
        <v>2</v>
      </c>
      <c r="G3155">
        <v>14</v>
      </c>
      <c r="H3155">
        <v>0</v>
      </c>
      <c r="I3155">
        <v>5</v>
      </c>
      <c r="J3155" s="52"/>
    </row>
    <row r="3156" spans="1:10" hidden="1" x14ac:dyDescent="0.35">
      <c r="A3156" s="2">
        <v>45868</v>
      </c>
      <c r="B3156" t="s">
        <v>126</v>
      </c>
      <c r="C3156" t="s">
        <v>23</v>
      </c>
      <c r="E3156">
        <v>7</v>
      </c>
      <c r="F3156">
        <v>4</v>
      </c>
      <c r="G3156">
        <v>7</v>
      </c>
      <c r="H3156">
        <v>1</v>
      </c>
      <c r="I3156">
        <v>4</v>
      </c>
      <c r="J3156" s="52"/>
    </row>
    <row r="3157" spans="1:10" hidden="1" x14ac:dyDescent="0.35">
      <c r="A3157" s="2">
        <v>45868</v>
      </c>
      <c r="B3157" t="s">
        <v>126</v>
      </c>
      <c r="C3157" t="s">
        <v>24</v>
      </c>
      <c r="E3157">
        <v>7</v>
      </c>
      <c r="F3157">
        <v>1</v>
      </c>
      <c r="G3157">
        <v>8</v>
      </c>
      <c r="H3157">
        <v>0</v>
      </c>
      <c r="I3157">
        <v>4</v>
      </c>
      <c r="J3157" s="52"/>
    </row>
    <row r="3158" spans="1:10" hidden="1" x14ac:dyDescent="0.35">
      <c r="A3158" s="2">
        <v>45868</v>
      </c>
      <c r="B3158" t="s">
        <v>96</v>
      </c>
      <c r="C3158" t="s">
        <v>24</v>
      </c>
      <c r="E3158">
        <v>11</v>
      </c>
      <c r="F3158">
        <v>10</v>
      </c>
      <c r="G3158">
        <v>12</v>
      </c>
      <c r="H3158">
        <v>0</v>
      </c>
      <c r="I3158">
        <v>6</v>
      </c>
      <c r="J3158" s="52"/>
    </row>
    <row r="3159" spans="1:10" hidden="1" x14ac:dyDescent="0.35">
      <c r="A3159" s="2">
        <v>45868</v>
      </c>
      <c r="B3159" t="s">
        <v>101</v>
      </c>
      <c r="C3159" t="s">
        <v>37</v>
      </c>
      <c r="E3159">
        <v>24</v>
      </c>
      <c r="F3159">
        <v>2</v>
      </c>
      <c r="G3159">
        <v>8</v>
      </c>
      <c r="H3159">
        <v>2</v>
      </c>
      <c r="I3159">
        <v>9</v>
      </c>
      <c r="J3159" s="52"/>
    </row>
    <row r="3160" spans="1:10" hidden="1" x14ac:dyDescent="0.35">
      <c r="A3160" s="2">
        <v>45868</v>
      </c>
      <c r="B3160" t="s">
        <v>102</v>
      </c>
      <c r="C3160" t="s">
        <v>37</v>
      </c>
      <c r="E3160">
        <v>23</v>
      </c>
      <c r="F3160">
        <v>5</v>
      </c>
      <c r="G3160">
        <v>18</v>
      </c>
      <c r="H3160">
        <v>5</v>
      </c>
      <c r="I3160">
        <v>12</v>
      </c>
      <c r="J3160" s="52"/>
    </row>
    <row r="3161" spans="1:10" hidden="1" x14ac:dyDescent="0.35">
      <c r="A3161" s="2">
        <v>45868</v>
      </c>
      <c r="B3161" t="s">
        <v>126</v>
      </c>
      <c r="C3161" t="s">
        <v>37</v>
      </c>
      <c r="E3161">
        <v>10</v>
      </c>
      <c r="F3161">
        <v>1</v>
      </c>
      <c r="G3161">
        <v>8</v>
      </c>
      <c r="H3161">
        <v>0</v>
      </c>
      <c r="I3161">
        <v>3</v>
      </c>
      <c r="J3161" s="52"/>
    </row>
    <row r="3162" spans="1:10" hidden="1" x14ac:dyDescent="0.35">
      <c r="A3162" s="2">
        <v>45868</v>
      </c>
      <c r="B3162" t="s">
        <v>96</v>
      </c>
      <c r="C3162" t="s">
        <v>37</v>
      </c>
      <c r="E3162">
        <v>1</v>
      </c>
      <c r="F3162">
        <v>0</v>
      </c>
      <c r="G3162">
        <v>2</v>
      </c>
      <c r="H3162">
        <v>0</v>
      </c>
      <c r="I3162">
        <v>1</v>
      </c>
      <c r="J3162" s="52"/>
    </row>
    <row r="3163" spans="1:10" hidden="1" x14ac:dyDescent="0.35">
      <c r="A3163" s="2">
        <v>45868</v>
      </c>
      <c r="B3163" t="s">
        <v>112</v>
      </c>
      <c r="C3163" t="s">
        <v>19</v>
      </c>
      <c r="E3163">
        <v>36</v>
      </c>
      <c r="F3163">
        <v>2</v>
      </c>
      <c r="G3163">
        <v>37</v>
      </c>
      <c r="H3163">
        <v>2</v>
      </c>
      <c r="I3163">
        <v>10</v>
      </c>
      <c r="J3163" s="52"/>
    </row>
    <row r="3164" spans="1:10" hidden="1" x14ac:dyDescent="0.35">
      <c r="A3164" s="2">
        <v>45868</v>
      </c>
      <c r="B3164" t="s">
        <v>40</v>
      </c>
      <c r="C3164" t="s">
        <v>19</v>
      </c>
      <c r="E3164">
        <v>30</v>
      </c>
      <c r="F3164">
        <v>3</v>
      </c>
      <c r="G3164">
        <v>29</v>
      </c>
      <c r="H3164">
        <v>1</v>
      </c>
      <c r="I3164">
        <v>6</v>
      </c>
      <c r="J3164" s="52"/>
    </row>
    <row r="3165" spans="1:10" hidden="1" x14ac:dyDescent="0.35">
      <c r="A3165" s="2">
        <v>45868</v>
      </c>
      <c r="B3165" t="s">
        <v>121</v>
      </c>
      <c r="C3165" t="s">
        <v>22</v>
      </c>
      <c r="E3165">
        <v>13</v>
      </c>
      <c r="F3165">
        <v>17</v>
      </c>
      <c r="G3165">
        <v>31</v>
      </c>
      <c r="H3165">
        <v>8</v>
      </c>
      <c r="I3165">
        <v>14</v>
      </c>
      <c r="J3165" s="52"/>
    </row>
    <row r="3166" spans="1:10" hidden="1" x14ac:dyDescent="0.35">
      <c r="A3166" s="2">
        <v>45868</v>
      </c>
      <c r="B3166" t="s">
        <v>95</v>
      </c>
      <c r="C3166" t="s">
        <v>22</v>
      </c>
      <c r="E3166">
        <v>11</v>
      </c>
      <c r="F3166">
        <v>6</v>
      </c>
      <c r="G3166">
        <v>14</v>
      </c>
      <c r="H3166">
        <v>9</v>
      </c>
      <c r="I3166">
        <v>8</v>
      </c>
      <c r="J3166" s="52"/>
    </row>
    <row r="3167" spans="1:10" hidden="1" x14ac:dyDescent="0.35">
      <c r="A3167" s="2">
        <v>45868</v>
      </c>
      <c r="B3167" t="s">
        <v>43</v>
      </c>
      <c r="C3167" t="s">
        <v>27</v>
      </c>
      <c r="E3167">
        <v>25</v>
      </c>
      <c r="F3167">
        <v>0</v>
      </c>
      <c r="G3167">
        <v>25</v>
      </c>
      <c r="H3167">
        <v>0</v>
      </c>
      <c r="I3167">
        <v>13</v>
      </c>
      <c r="J3167" s="52"/>
    </row>
    <row r="3168" spans="1:10" hidden="1" x14ac:dyDescent="0.35">
      <c r="A3168" s="2">
        <v>45868</v>
      </c>
      <c r="B3168" t="s">
        <v>84</v>
      </c>
      <c r="C3168" t="s">
        <v>27</v>
      </c>
      <c r="E3168">
        <v>25</v>
      </c>
      <c r="F3168">
        <v>0</v>
      </c>
      <c r="G3168">
        <v>37</v>
      </c>
      <c r="H3168">
        <v>0</v>
      </c>
      <c r="I3168">
        <v>12</v>
      </c>
      <c r="J3168" s="52"/>
    </row>
    <row r="3169" spans="1:10" hidden="1" x14ac:dyDescent="0.35">
      <c r="A3169" s="2">
        <v>45868</v>
      </c>
      <c r="B3169" t="s">
        <v>101</v>
      </c>
      <c r="C3169" t="s">
        <v>9</v>
      </c>
      <c r="E3169">
        <v>26</v>
      </c>
      <c r="F3169">
        <v>1</v>
      </c>
      <c r="G3169">
        <v>26</v>
      </c>
      <c r="H3169">
        <v>2</v>
      </c>
      <c r="I3169">
        <v>11</v>
      </c>
      <c r="J3169" s="52"/>
    </row>
    <row r="3170" spans="1:10" hidden="1" x14ac:dyDescent="0.35">
      <c r="A3170" s="2">
        <v>45868</v>
      </c>
      <c r="B3170" t="s">
        <v>102</v>
      </c>
      <c r="C3170" t="s">
        <v>9</v>
      </c>
      <c r="E3170">
        <v>1</v>
      </c>
      <c r="F3170">
        <v>0</v>
      </c>
      <c r="G3170">
        <v>0</v>
      </c>
      <c r="H3170">
        <v>0</v>
      </c>
      <c r="I3170">
        <v>1</v>
      </c>
      <c r="J3170" s="52"/>
    </row>
    <row r="3171" spans="1:10" hidden="1" x14ac:dyDescent="0.35">
      <c r="A3171" s="2">
        <v>45868</v>
      </c>
      <c r="B3171" t="s">
        <v>75</v>
      </c>
      <c r="C3171" t="s">
        <v>21</v>
      </c>
      <c r="E3171">
        <v>12</v>
      </c>
      <c r="F3171">
        <v>0</v>
      </c>
      <c r="G3171">
        <v>17</v>
      </c>
      <c r="H3171">
        <v>2</v>
      </c>
      <c r="I3171">
        <v>5</v>
      </c>
      <c r="J3171" s="52"/>
    </row>
    <row r="3172" spans="1:10" hidden="1" x14ac:dyDescent="0.35">
      <c r="A3172" s="2">
        <v>45868</v>
      </c>
      <c r="B3172" t="s">
        <v>128</v>
      </c>
      <c r="C3172" t="s">
        <v>21</v>
      </c>
      <c r="E3172">
        <v>11</v>
      </c>
      <c r="F3172">
        <v>4</v>
      </c>
      <c r="G3172">
        <v>6</v>
      </c>
      <c r="H3172">
        <v>0</v>
      </c>
      <c r="I3172">
        <v>11</v>
      </c>
      <c r="J3172" s="52"/>
    </row>
    <row r="3173" spans="1:10" hidden="1" x14ac:dyDescent="0.35">
      <c r="A3173" s="2">
        <v>45868</v>
      </c>
      <c r="B3173" t="s">
        <v>117</v>
      </c>
      <c r="C3173" t="s">
        <v>54</v>
      </c>
      <c r="E3173">
        <v>21</v>
      </c>
      <c r="F3173">
        <v>12</v>
      </c>
      <c r="G3173">
        <v>17</v>
      </c>
      <c r="H3173">
        <v>7</v>
      </c>
      <c r="I3173">
        <v>11</v>
      </c>
      <c r="J3173" s="52"/>
    </row>
    <row r="3174" spans="1:10" hidden="1" x14ac:dyDescent="0.35">
      <c r="A3174" s="2">
        <v>45868</v>
      </c>
      <c r="B3174" t="s">
        <v>123</v>
      </c>
      <c r="C3174" t="s">
        <v>55</v>
      </c>
      <c r="E3174">
        <v>39</v>
      </c>
      <c r="F3174">
        <v>20</v>
      </c>
      <c r="G3174">
        <v>22</v>
      </c>
      <c r="H3174">
        <v>5</v>
      </c>
      <c r="I3174">
        <v>7</v>
      </c>
      <c r="J3174" s="52"/>
    </row>
    <row r="3175" spans="1:10" hidden="1" x14ac:dyDescent="0.35">
      <c r="A3175" s="2">
        <v>45868</v>
      </c>
      <c r="B3175" t="s">
        <v>107</v>
      </c>
      <c r="C3175" t="s">
        <v>58</v>
      </c>
      <c r="E3175">
        <v>15</v>
      </c>
      <c r="F3175">
        <v>11</v>
      </c>
      <c r="G3175">
        <v>36</v>
      </c>
      <c r="H3175">
        <v>6</v>
      </c>
      <c r="I3175">
        <v>12</v>
      </c>
      <c r="J3175" s="52"/>
    </row>
    <row r="3176" spans="1:10" hidden="1" x14ac:dyDescent="0.35">
      <c r="A3176" s="2">
        <v>45868</v>
      </c>
      <c r="B3176" t="s">
        <v>129</v>
      </c>
      <c r="C3176" t="s">
        <v>58</v>
      </c>
      <c r="E3176">
        <v>15</v>
      </c>
      <c r="F3176">
        <v>12</v>
      </c>
      <c r="G3176">
        <v>2</v>
      </c>
      <c r="H3176">
        <v>0</v>
      </c>
      <c r="I3176">
        <v>3</v>
      </c>
      <c r="J3176" s="52"/>
    </row>
    <row r="3177" spans="1:10" hidden="1" x14ac:dyDescent="0.35">
      <c r="A3177" s="2">
        <v>45868</v>
      </c>
      <c r="B3177" t="s">
        <v>64</v>
      </c>
      <c r="C3177" t="s">
        <v>62</v>
      </c>
      <c r="E3177">
        <v>17</v>
      </c>
      <c r="F3177">
        <v>3</v>
      </c>
      <c r="G3177">
        <v>21</v>
      </c>
      <c r="H3177">
        <v>5</v>
      </c>
      <c r="I3177">
        <v>3</v>
      </c>
      <c r="J3177" s="52"/>
    </row>
    <row r="3178" spans="1:10" hidden="1" x14ac:dyDescent="0.35">
      <c r="A3178" s="2">
        <v>45868</v>
      </c>
      <c r="B3178" t="s">
        <v>97</v>
      </c>
      <c r="C3178" t="s">
        <v>61</v>
      </c>
      <c r="E3178">
        <v>4</v>
      </c>
      <c r="F3178">
        <v>0</v>
      </c>
      <c r="G3178">
        <v>12</v>
      </c>
      <c r="H3178">
        <v>0</v>
      </c>
      <c r="I3178">
        <v>1</v>
      </c>
      <c r="J3178" s="52"/>
    </row>
    <row r="3179" spans="1:10" hidden="1" x14ac:dyDescent="0.35">
      <c r="A3179" s="2">
        <v>45868</v>
      </c>
      <c r="B3179" t="s">
        <v>118</v>
      </c>
      <c r="C3179" t="s">
        <v>61</v>
      </c>
      <c r="E3179">
        <v>13</v>
      </c>
      <c r="F3179">
        <v>1</v>
      </c>
      <c r="G3179">
        <v>17</v>
      </c>
      <c r="H3179">
        <v>0</v>
      </c>
      <c r="I3179">
        <v>7</v>
      </c>
      <c r="J3179" s="52"/>
    </row>
    <row r="3180" spans="1:10" hidden="1" x14ac:dyDescent="0.35">
      <c r="A3180" s="2">
        <v>45868</v>
      </c>
      <c r="B3180" t="s">
        <v>119</v>
      </c>
      <c r="C3180" t="s">
        <v>63</v>
      </c>
      <c r="E3180">
        <v>24</v>
      </c>
      <c r="F3180">
        <v>11</v>
      </c>
      <c r="G3180">
        <v>28</v>
      </c>
      <c r="H3180">
        <v>5</v>
      </c>
      <c r="I3180">
        <v>16</v>
      </c>
      <c r="J3180" s="52"/>
    </row>
    <row r="3181" spans="1:10" hidden="1" x14ac:dyDescent="0.35">
      <c r="A3181" s="2">
        <v>45868</v>
      </c>
      <c r="B3181" t="s">
        <v>77</v>
      </c>
      <c r="C3181" t="s">
        <v>73</v>
      </c>
      <c r="E3181">
        <v>13</v>
      </c>
      <c r="F3181">
        <v>5</v>
      </c>
      <c r="G3181">
        <v>23</v>
      </c>
      <c r="H3181">
        <v>15</v>
      </c>
      <c r="I3181">
        <v>10</v>
      </c>
      <c r="J3181" s="52"/>
    </row>
    <row r="3182" spans="1:10" hidden="1" x14ac:dyDescent="0.35">
      <c r="A3182" s="2">
        <v>45868</v>
      </c>
      <c r="B3182" t="s">
        <v>110</v>
      </c>
      <c r="C3182" t="s">
        <v>81</v>
      </c>
      <c r="E3182">
        <v>12</v>
      </c>
      <c r="F3182">
        <v>0</v>
      </c>
      <c r="G3182">
        <v>16</v>
      </c>
      <c r="H3182">
        <v>1</v>
      </c>
      <c r="I3182">
        <v>5</v>
      </c>
      <c r="J3182" s="52"/>
    </row>
    <row r="3183" spans="1:10" hidden="1" x14ac:dyDescent="0.35">
      <c r="A3183" s="2">
        <v>45868</v>
      </c>
      <c r="B3183" t="s">
        <v>85</v>
      </c>
      <c r="C3183" t="s">
        <v>83</v>
      </c>
      <c r="E3183">
        <v>29</v>
      </c>
      <c r="F3183">
        <v>11</v>
      </c>
      <c r="G3183">
        <v>33</v>
      </c>
      <c r="H3183">
        <v>5</v>
      </c>
      <c r="I3183">
        <v>9</v>
      </c>
      <c r="J3183" s="52"/>
    </row>
    <row r="3184" spans="1:10" hidden="1" x14ac:dyDescent="0.35">
      <c r="A3184" s="2">
        <v>45868</v>
      </c>
      <c r="B3184" t="s">
        <v>89</v>
      </c>
      <c r="C3184" t="s">
        <v>87</v>
      </c>
      <c r="E3184">
        <v>16</v>
      </c>
      <c r="F3184">
        <v>3</v>
      </c>
      <c r="G3184">
        <v>28</v>
      </c>
      <c r="H3184">
        <v>10</v>
      </c>
      <c r="I3184">
        <v>6</v>
      </c>
      <c r="J3184" s="52"/>
    </row>
    <row r="3185" spans="1:10" hidden="1" x14ac:dyDescent="0.35">
      <c r="A3185" s="2">
        <v>45868</v>
      </c>
      <c r="B3185" t="s">
        <v>98</v>
      </c>
      <c r="C3185" t="s">
        <v>94</v>
      </c>
      <c r="E3185">
        <v>19</v>
      </c>
      <c r="F3185">
        <v>0</v>
      </c>
      <c r="G3185">
        <v>25</v>
      </c>
      <c r="H3185">
        <v>3</v>
      </c>
      <c r="I3185">
        <v>15</v>
      </c>
      <c r="J3185" s="52"/>
    </row>
    <row r="3186" spans="1:10" hidden="1" x14ac:dyDescent="0.35">
      <c r="A3186" s="2">
        <v>45868</v>
      </c>
      <c r="B3186" t="s">
        <v>130</v>
      </c>
      <c r="C3186" t="s">
        <v>94</v>
      </c>
      <c r="E3186">
        <v>9</v>
      </c>
      <c r="F3186">
        <v>0</v>
      </c>
      <c r="G3186">
        <v>1</v>
      </c>
      <c r="H3186">
        <v>0</v>
      </c>
      <c r="I3186">
        <v>1</v>
      </c>
      <c r="J3186" s="52"/>
    </row>
    <row r="3187" spans="1:10" hidden="1" x14ac:dyDescent="0.35">
      <c r="A3187" s="2">
        <v>45899</v>
      </c>
      <c r="C3187" t="s">
        <v>24</v>
      </c>
      <c r="D3187">
        <v>319</v>
      </c>
      <c r="J3187" s="58">
        <v>119450</v>
      </c>
    </row>
    <row r="3188" spans="1:10" hidden="1" x14ac:dyDescent="0.35">
      <c r="A3188" s="2">
        <v>45899</v>
      </c>
      <c r="C3188" t="s">
        <v>9</v>
      </c>
      <c r="D3188">
        <v>231</v>
      </c>
      <c r="J3188" s="58">
        <v>212010</v>
      </c>
    </row>
    <row r="3189" spans="1:10" hidden="1" x14ac:dyDescent="0.35">
      <c r="A3189" s="2">
        <v>45899</v>
      </c>
      <c r="C3189" t="s">
        <v>37</v>
      </c>
      <c r="D3189">
        <v>436</v>
      </c>
      <c r="J3189" s="58">
        <v>339056</v>
      </c>
    </row>
    <row r="3190" spans="1:10" hidden="1" x14ac:dyDescent="0.35">
      <c r="A3190" s="2">
        <v>45899</v>
      </c>
      <c r="C3190" t="s">
        <v>23</v>
      </c>
      <c r="D3190">
        <v>199</v>
      </c>
      <c r="J3190" s="58">
        <v>112100</v>
      </c>
    </row>
    <row r="3191" spans="1:10" hidden="1" x14ac:dyDescent="0.35">
      <c r="A3191" s="2">
        <v>45899</v>
      </c>
      <c r="C3191" t="s">
        <v>27</v>
      </c>
      <c r="D3191">
        <v>302</v>
      </c>
      <c r="J3191" s="58">
        <v>422600</v>
      </c>
    </row>
    <row r="3192" spans="1:10" hidden="1" x14ac:dyDescent="0.35">
      <c r="A3192" s="2">
        <v>45899</v>
      </c>
      <c r="C3192" t="s">
        <v>26</v>
      </c>
      <c r="D3192">
        <v>156</v>
      </c>
      <c r="J3192" s="58">
        <v>139900</v>
      </c>
    </row>
    <row r="3193" spans="1:10" hidden="1" x14ac:dyDescent="0.35">
      <c r="A3193" s="2">
        <v>45899</v>
      </c>
      <c r="C3193" t="s">
        <v>20</v>
      </c>
      <c r="D3193">
        <v>292</v>
      </c>
      <c r="J3193" s="58">
        <v>383114</v>
      </c>
    </row>
    <row r="3194" spans="1:10" hidden="1" x14ac:dyDescent="0.35">
      <c r="A3194" s="2">
        <v>45899</v>
      </c>
      <c r="C3194" t="s">
        <v>25</v>
      </c>
      <c r="D3194">
        <v>178</v>
      </c>
      <c r="J3194" s="58">
        <v>214714</v>
      </c>
    </row>
    <row r="3195" spans="1:10" hidden="1" x14ac:dyDescent="0.35">
      <c r="A3195" s="2">
        <v>45899</v>
      </c>
      <c r="C3195" t="s">
        <v>19</v>
      </c>
      <c r="D3195">
        <v>346</v>
      </c>
      <c r="J3195" s="58">
        <v>337088</v>
      </c>
    </row>
    <row r="3196" spans="1:10" hidden="1" x14ac:dyDescent="0.35">
      <c r="A3196" s="2">
        <v>45899</v>
      </c>
      <c r="C3196" t="s">
        <v>21</v>
      </c>
      <c r="D3196">
        <v>413</v>
      </c>
      <c r="J3196" s="58">
        <v>143768</v>
      </c>
    </row>
    <row r="3197" spans="1:10" hidden="1" x14ac:dyDescent="0.35">
      <c r="A3197" s="2">
        <v>45899</v>
      </c>
      <c r="C3197" t="s">
        <v>18</v>
      </c>
      <c r="D3197">
        <v>377</v>
      </c>
      <c r="J3197" s="58">
        <v>254346</v>
      </c>
    </row>
    <row r="3198" spans="1:10" hidden="1" x14ac:dyDescent="0.35">
      <c r="A3198" s="2">
        <v>45899</v>
      </c>
      <c r="C3198" t="s">
        <v>22</v>
      </c>
      <c r="D3198">
        <v>345</v>
      </c>
      <c r="J3198" s="58">
        <v>289050</v>
      </c>
    </row>
    <row r="3199" spans="1:10" hidden="1" x14ac:dyDescent="0.35">
      <c r="A3199" s="2">
        <v>45899</v>
      </c>
      <c r="C3199" t="s">
        <v>54</v>
      </c>
      <c r="D3199">
        <v>322</v>
      </c>
      <c r="J3199" s="58">
        <v>149144</v>
      </c>
    </row>
    <row r="3200" spans="1:10" hidden="1" x14ac:dyDescent="0.35">
      <c r="A3200" s="2">
        <v>45899</v>
      </c>
      <c r="C3200" t="s">
        <v>55</v>
      </c>
      <c r="D3200">
        <v>360</v>
      </c>
      <c r="J3200" s="58">
        <v>197702</v>
      </c>
    </row>
    <row r="3201" spans="1:10" hidden="1" x14ac:dyDescent="0.35">
      <c r="A3201" s="2">
        <v>45899</v>
      </c>
      <c r="C3201" t="s">
        <v>58</v>
      </c>
      <c r="D3201">
        <v>295</v>
      </c>
      <c r="J3201" s="58">
        <v>210714</v>
      </c>
    </row>
    <row r="3202" spans="1:10" hidden="1" x14ac:dyDescent="0.35">
      <c r="A3202" s="2">
        <v>45899</v>
      </c>
      <c r="C3202" t="s">
        <v>62</v>
      </c>
      <c r="D3202">
        <v>171</v>
      </c>
      <c r="J3202" s="58">
        <v>53946</v>
      </c>
    </row>
    <row r="3203" spans="1:10" hidden="1" x14ac:dyDescent="0.35">
      <c r="A3203" s="2">
        <v>45899</v>
      </c>
      <c r="C3203" t="s">
        <v>61</v>
      </c>
      <c r="D3203">
        <v>476</v>
      </c>
      <c r="J3203" s="58">
        <v>235990</v>
      </c>
    </row>
    <row r="3204" spans="1:10" hidden="1" x14ac:dyDescent="0.35">
      <c r="A3204" s="2">
        <v>45899</v>
      </c>
      <c r="C3204" t="s">
        <v>63</v>
      </c>
      <c r="D3204">
        <v>155</v>
      </c>
      <c r="J3204" s="58">
        <v>108100</v>
      </c>
    </row>
    <row r="3205" spans="1:10" hidden="1" x14ac:dyDescent="0.35">
      <c r="A3205" s="2">
        <v>45899</v>
      </c>
      <c r="C3205" t="s">
        <v>73</v>
      </c>
      <c r="D3205">
        <v>285</v>
      </c>
      <c r="J3205" s="58">
        <v>111664</v>
      </c>
    </row>
    <row r="3206" spans="1:10" hidden="1" x14ac:dyDescent="0.35">
      <c r="A3206" s="2">
        <v>45899</v>
      </c>
      <c r="C3206" t="s">
        <v>81</v>
      </c>
      <c r="D3206">
        <v>204</v>
      </c>
      <c r="J3206" s="58">
        <v>148382</v>
      </c>
    </row>
    <row r="3207" spans="1:10" hidden="1" x14ac:dyDescent="0.35">
      <c r="A3207" s="2">
        <v>45899</v>
      </c>
      <c r="C3207" t="s">
        <v>83</v>
      </c>
      <c r="D3207">
        <v>203</v>
      </c>
      <c r="J3207" s="58">
        <v>126346</v>
      </c>
    </row>
    <row r="3208" spans="1:10" hidden="1" x14ac:dyDescent="0.35">
      <c r="A3208" s="2">
        <v>45899</v>
      </c>
      <c r="C3208" t="s">
        <v>87</v>
      </c>
      <c r="J3208" s="52"/>
    </row>
    <row r="3209" spans="1:10" hidden="1" x14ac:dyDescent="0.35">
      <c r="A3209" s="2">
        <v>45899</v>
      </c>
      <c r="C3209" t="s">
        <v>94</v>
      </c>
      <c r="D3209">
        <v>216</v>
      </c>
      <c r="J3209" s="58">
        <v>161450</v>
      </c>
    </row>
    <row r="3210" spans="1:10" hidden="1" x14ac:dyDescent="0.35">
      <c r="A3210" s="2">
        <v>45899</v>
      </c>
      <c r="C3210" t="s">
        <v>115</v>
      </c>
      <c r="D3210">
        <v>198</v>
      </c>
      <c r="J3210" s="58">
        <v>32000</v>
      </c>
    </row>
    <row r="3211" spans="1:10" hidden="1" x14ac:dyDescent="0.35">
      <c r="A3211" s="2">
        <v>45899</v>
      </c>
      <c r="B3211" t="s">
        <v>110</v>
      </c>
      <c r="C3211" t="s">
        <v>20</v>
      </c>
      <c r="E3211">
        <v>19</v>
      </c>
      <c r="F3211">
        <v>4</v>
      </c>
      <c r="G3211">
        <v>30</v>
      </c>
      <c r="H3211">
        <v>4</v>
      </c>
      <c r="I3211">
        <v>17</v>
      </c>
      <c r="J3211" s="52"/>
    </row>
    <row r="3212" spans="1:10" hidden="1" x14ac:dyDescent="0.35">
      <c r="A3212" s="2">
        <v>45899</v>
      </c>
      <c r="B3212" t="s">
        <v>110</v>
      </c>
      <c r="C3212" t="s">
        <v>26</v>
      </c>
      <c r="E3212">
        <v>0</v>
      </c>
      <c r="F3212">
        <v>4</v>
      </c>
      <c r="G3212">
        <v>0</v>
      </c>
      <c r="H3212">
        <v>0</v>
      </c>
      <c r="I3212">
        <v>2</v>
      </c>
      <c r="J3212" s="52"/>
    </row>
    <row r="3213" spans="1:10" hidden="1" x14ac:dyDescent="0.35">
      <c r="A3213" s="2">
        <v>45899</v>
      </c>
      <c r="B3213" t="s">
        <v>110</v>
      </c>
      <c r="C3213" t="s">
        <v>115</v>
      </c>
      <c r="E3213">
        <v>6</v>
      </c>
      <c r="F3213">
        <v>1</v>
      </c>
      <c r="G3213">
        <v>1</v>
      </c>
      <c r="H3213">
        <v>0</v>
      </c>
      <c r="I3213">
        <v>0</v>
      </c>
      <c r="J3213" s="52"/>
    </row>
    <row r="3214" spans="1:10" hidden="1" x14ac:dyDescent="0.35">
      <c r="A3214" s="2">
        <v>45899</v>
      </c>
      <c r="B3214" t="s">
        <v>113</v>
      </c>
      <c r="C3214" t="s">
        <v>20</v>
      </c>
      <c r="E3214">
        <v>16</v>
      </c>
      <c r="F3214">
        <v>4</v>
      </c>
      <c r="G3214">
        <v>17</v>
      </c>
      <c r="H3214">
        <v>4</v>
      </c>
      <c r="I3214">
        <v>8</v>
      </c>
      <c r="J3214" s="52"/>
    </row>
    <row r="3215" spans="1:10" hidden="1" x14ac:dyDescent="0.35">
      <c r="A3215" s="2">
        <v>45899</v>
      </c>
      <c r="B3215" t="s">
        <v>113</v>
      </c>
      <c r="C3215" t="s">
        <v>26</v>
      </c>
      <c r="E3215">
        <v>11</v>
      </c>
      <c r="F3215">
        <v>1</v>
      </c>
      <c r="G3215">
        <v>24</v>
      </c>
      <c r="H3215">
        <v>1</v>
      </c>
      <c r="I3215">
        <v>8</v>
      </c>
      <c r="J3215" s="52"/>
    </row>
    <row r="3216" spans="1:10" hidden="1" x14ac:dyDescent="0.35">
      <c r="A3216" s="2">
        <v>45899</v>
      </c>
      <c r="B3216" t="s">
        <v>113</v>
      </c>
      <c r="C3216" t="s">
        <v>115</v>
      </c>
      <c r="E3216">
        <v>0</v>
      </c>
      <c r="F3216">
        <v>2</v>
      </c>
      <c r="G3216">
        <v>3</v>
      </c>
      <c r="H3216">
        <v>0</v>
      </c>
      <c r="I3216">
        <v>1</v>
      </c>
      <c r="J3216" s="52"/>
    </row>
    <row r="3217" spans="1:10" hidden="1" x14ac:dyDescent="0.35">
      <c r="A3217" s="2">
        <v>45899</v>
      </c>
      <c r="B3217" t="s">
        <v>125</v>
      </c>
      <c r="C3217" t="s">
        <v>115</v>
      </c>
      <c r="E3217">
        <v>5</v>
      </c>
      <c r="F3217">
        <v>0</v>
      </c>
      <c r="G3217">
        <v>9</v>
      </c>
      <c r="H3217">
        <v>0</v>
      </c>
      <c r="I3217">
        <v>1</v>
      </c>
      <c r="J3217" s="52"/>
    </row>
    <row r="3218" spans="1:10" hidden="1" x14ac:dyDescent="0.35">
      <c r="A3218" s="2">
        <v>45899</v>
      </c>
      <c r="B3218" t="s">
        <v>38</v>
      </c>
      <c r="C3218" t="s">
        <v>18</v>
      </c>
      <c r="E3218">
        <v>31</v>
      </c>
      <c r="F3218">
        <v>12</v>
      </c>
      <c r="G3218">
        <v>39</v>
      </c>
      <c r="H3218">
        <v>6</v>
      </c>
      <c r="I3218">
        <v>11</v>
      </c>
      <c r="J3218" s="52"/>
    </row>
    <row r="3219" spans="1:10" hidden="1" x14ac:dyDescent="0.35">
      <c r="A3219" s="2">
        <v>45899</v>
      </c>
      <c r="B3219" t="s">
        <v>116</v>
      </c>
      <c r="C3219" t="s">
        <v>18</v>
      </c>
      <c r="E3219">
        <v>22</v>
      </c>
      <c r="F3219">
        <v>24</v>
      </c>
      <c r="G3219">
        <v>23</v>
      </c>
      <c r="H3219">
        <v>5</v>
      </c>
      <c r="I3219">
        <v>7</v>
      </c>
      <c r="J3219" s="52"/>
    </row>
    <row r="3220" spans="1:10" hidden="1" x14ac:dyDescent="0.35">
      <c r="A3220" s="2">
        <v>45899</v>
      </c>
      <c r="B3220" t="s">
        <v>122</v>
      </c>
      <c r="C3220" t="s">
        <v>25</v>
      </c>
      <c r="E3220">
        <v>39</v>
      </c>
      <c r="F3220">
        <v>1</v>
      </c>
      <c r="G3220">
        <v>26</v>
      </c>
      <c r="H3220">
        <v>0</v>
      </c>
      <c r="I3220">
        <v>15</v>
      </c>
      <c r="J3220" s="52"/>
    </row>
    <row r="3221" spans="1:10" hidden="1" x14ac:dyDescent="0.35">
      <c r="A3221" s="2">
        <v>45899</v>
      </c>
      <c r="B3221" t="s">
        <v>104</v>
      </c>
      <c r="C3221" t="s">
        <v>23</v>
      </c>
      <c r="E3221">
        <v>0</v>
      </c>
      <c r="F3221">
        <v>2</v>
      </c>
      <c r="G3221">
        <v>0</v>
      </c>
      <c r="H3221">
        <v>1</v>
      </c>
      <c r="I3221">
        <v>0</v>
      </c>
      <c r="J3221" s="52"/>
    </row>
    <row r="3222" spans="1:10" hidden="1" x14ac:dyDescent="0.35">
      <c r="A3222" s="2">
        <v>45899</v>
      </c>
      <c r="B3222" t="s">
        <v>122</v>
      </c>
      <c r="C3222" t="s">
        <v>23</v>
      </c>
      <c r="E3222">
        <v>5</v>
      </c>
      <c r="F3222">
        <v>1</v>
      </c>
      <c r="G3222">
        <v>5</v>
      </c>
      <c r="H3222">
        <v>0</v>
      </c>
      <c r="I3222">
        <v>3</v>
      </c>
      <c r="J3222" s="52"/>
    </row>
    <row r="3223" spans="1:10" hidden="1" x14ac:dyDescent="0.35">
      <c r="A3223" s="2">
        <v>45899</v>
      </c>
      <c r="B3223" t="s">
        <v>126</v>
      </c>
      <c r="C3223" t="s">
        <v>23</v>
      </c>
      <c r="E3223">
        <v>15</v>
      </c>
      <c r="F3223">
        <v>6</v>
      </c>
      <c r="G3223">
        <v>13</v>
      </c>
      <c r="H3223">
        <v>1</v>
      </c>
      <c r="I3223">
        <v>5</v>
      </c>
      <c r="J3223" s="52"/>
    </row>
    <row r="3224" spans="1:10" hidden="1" x14ac:dyDescent="0.35">
      <c r="A3224" s="2">
        <v>45899</v>
      </c>
      <c r="B3224" t="s">
        <v>126</v>
      </c>
      <c r="C3224" t="s">
        <v>24</v>
      </c>
      <c r="E3224">
        <v>9</v>
      </c>
      <c r="F3224">
        <v>5</v>
      </c>
      <c r="G3224">
        <v>5</v>
      </c>
      <c r="H3224">
        <v>0</v>
      </c>
      <c r="I3224">
        <v>2</v>
      </c>
      <c r="J3224" s="52"/>
    </row>
    <row r="3225" spans="1:10" hidden="1" x14ac:dyDescent="0.35">
      <c r="A3225" s="2">
        <v>45899</v>
      </c>
      <c r="B3225" t="s">
        <v>96</v>
      </c>
      <c r="C3225" t="s">
        <v>24</v>
      </c>
      <c r="E3225">
        <v>7</v>
      </c>
      <c r="F3225">
        <v>2</v>
      </c>
      <c r="G3225">
        <v>5</v>
      </c>
      <c r="H3225">
        <v>1</v>
      </c>
      <c r="I3225">
        <v>6</v>
      </c>
      <c r="J3225" s="52"/>
    </row>
    <row r="3226" spans="1:10" hidden="1" x14ac:dyDescent="0.35">
      <c r="A3226" s="2">
        <v>45899</v>
      </c>
      <c r="B3226" t="s">
        <v>101</v>
      </c>
      <c r="C3226" t="s">
        <v>37</v>
      </c>
      <c r="E3226">
        <v>18</v>
      </c>
      <c r="F3226">
        <v>3</v>
      </c>
      <c r="G3226">
        <v>9</v>
      </c>
      <c r="H3226">
        <v>2</v>
      </c>
      <c r="I3226">
        <v>5</v>
      </c>
      <c r="J3226" s="52"/>
    </row>
    <row r="3227" spans="1:10" hidden="1" x14ac:dyDescent="0.35">
      <c r="A3227" s="2">
        <v>45899</v>
      </c>
      <c r="B3227" t="s">
        <v>102</v>
      </c>
      <c r="C3227" t="s">
        <v>37</v>
      </c>
      <c r="E3227">
        <v>20</v>
      </c>
      <c r="F3227">
        <v>8</v>
      </c>
      <c r="G3227">
        <v>13</v>
      </c>
      <c r="H3227">
        <v>0</v>
      </c>
      <c r="I3227">
        <v>14</v>
      </c>
      <c r="J3227" s="52"/>
    </row>
    <row r="3228" spans="1:10" hidden="1" x14ac:dyDescent="0.35">
      <c r="A3228" s="2">
        <v>45899</v>
      </c>
      <c r="B3228" t="s">
        <v>126</v>
      </c>
      <c r="C3228" t="s">
        <v>37</v>
      </c>
      <c r="E3228">
        <v>7</v>
      </c>
      <c r="F3228">
        <v>0</v>
      </c>
      <c r="G3228">
        <v>5</v>
      </c>
      <c r="H3228">
        <v>0</v>
      </c>
      <c r="I3228">
        <v>4</v>
      </c>
      <c r="J3228" s="52"/>
    </row>
    <row r="3229" spans="1:10" hidden="1" x14ac:dyDescent="0.35">
      <c r="A3229" s="2">
        <v>45899</v>
      </c>
      <c r="B3229" t="s">
        <v>96</v>
      </c>
      <c r="C3229" t="s">
        <v>37</v>
      </c>
      <c r="E3229">
        <v>1</v>
      </c>
      <c r="F3229">
        <v>0</v>
      </c>
      <c r="G3229">
        <v>4</v>
      </c>
      <c r="H3229">
        <v>1</v>
      </c>
      <c r="I3229">
        <v>1</v>
      </c>
      <c r="J3229" s="52"/>
    </row>
    <row r="3230" spans="1:10" hidden="1" x14ac:dyDescent="0.35">
      <c r="A3230" s="2">
        <v>45899</v>
      </c>
      <c r="B3230" t="s">
        <v>112</v>
      </c>
      <c r="C3230" t="s">
        <v>19</v>
      </c>
      <c r="E3230">
        <v>41</v>
      </c>
      <c r="F3230">
        <v>5</v>
      </c>
      <c r="G3230">
        <v>39</v>
      </c>
      <c r="H3230">
        <v>1</v>
      </c>
      <c r="I3230">
        <v>11</v>
      </c>
      <c r="J3230" s="52"/>
    </row>
    <row r="3231" spans="1:10" hidden="1" x14ac:dyDescent="0.35">
      <c r="A3231" s="2">
        <v>45899</v>
      </c>
      <c r="B3231" t="s">
        <v>40</v>
      </c>
      <c r="C3231" t="s">
        <v>19</v>
      </c>
      <c r="E3231">
        <v>30</v>
      </c>
      <c r="F3231">
        <v>0</v>
      </c>
      <c r="G3231">
        <v>38</v>
      </c>
      <c r="H3231">
        <v>0</v>
      </c>
      <c r="I3231">
        <v>13</v>
      </c>
      <c r="J3231" s="52"/>
    </row>
    <row r="3232" spans="1:10" hidden="1" x14ac:dyDescent="0.35">
      <c r="A3232" s="2">
        <v>45899</v>
      </c>
      <c r="B3232" t="s">
        <v>121</v>
      </c>
      <c r="C3232" t="s">
        <v>22</v>
      </c>
      <c r="E3232">
        <v>30</v>
      </c>
      <c r="F3232">
        <v>8</v>
      </c>
      <c r="G3232">
        <v>29</v>
      </c>
      <c r="H3232">
        <v>6</v>
      </c>
      <c r="I3232">
        <v>16</v>
      </c>
      <c r="J3232" s="52"/>
    </row>
    <row r="3233" spans="1:10" hidden="1" x14ac:dyDescent="0.35">
      <c r="A3233" s="2">
        <v>45899</v>
      </c>
      <c r="B3233" t="s">
        <v>95</v>
      </c>
      <c r="C3233" t="s">
        <v>22</v>
      </c>
      <c r="E3233">
        <v>5</v>
      </c>
      <c r="F3233">
        <v>8</v>
      </c>
      <c r="G3233">
        <v>7</v>
      </c>
      <c r="H3233">
        <v>5</v>
      </c>
      <c r="I3233">
        <v>5</v>
      </c>
      <c r="J3233" s="52"/>
    </row>
    <row r="3234" spans="1:10" hidden="1" x14ac:dyDescent="0.35">
      <c r="A3234" s="2">
        <v>45899</v>
      </c>
      <c r="B3234" t="s">
        <v>43</v>
      </c>
      <c r="C3234" t="s">
        <v>27</v>
      </c>
      <c r="E3234">
        <v>29</v>
      </c>
      <c r="F3234">
        <v>0</v>
      </c>
      <c r="G3234">
        <v>32</v>
      </c>
      <c r="H3234">
        <v>0</v>
      </c>
      <c r="I3234">
        <v>12</v>
      </c>
      <c r="J3234" s="52"/>
    </row>
    <row r="3235" spans="1:10" hidden="1" x14ac:dyDescent="0.35">
      <c r="A3235" s="2">
        <v>45899</v>
      </c>
      <c r="B3235" t="s">
        <v>84</v>
      </c>
      <c r="C3235" t="s">
        <v>27</v>
      </c>
      <c r="E3235">
        <v>20</v>
      </c>
      <c r="F3235">
        <v>0</v>
      </c>
      <c r="G3235">
        <v>31</v>
      </c>
      <c r="H3235">
        <v>0</v>
      </c>
      <c r="I3235">
        <v>13</v>
      </c>
      <c r="J3235" s="52"/>
    </row>
    <row r="3236" spans="1:10" hidden="1" x14ac:dyDescent="0.35">
      <c r="A3236" s="2">
        <v>45899</v>
      </c>
      <c r="B3236" t="s">
        <v>101</v>
      </c>
      <c r="C3236" t="s">
        <v>9</v>
      </c>
      <c r="E3236">
        <v>31</v>
      </c>
      <c r="F3236">
        <v>0</v>
      </c>
      <c r="G3236">
        <v>36</v>
      </c>
      <c r="H3236">
        <v>2</v>
      </c>
      <c r="I3236">
        <v>16</v>
      </c>
      <c r="J3236" s="52"/>
    </row>
    <row r="3237" spans="1:10" hidden="1" x14ac:dyDescent="0.35">
      <c r="A3237" s="2">
        <v>45899</v>
      </c>
      <c r="B3237" t="s">
        <v>75</v>
      </c>
      <c r="C3237" t="s">
        <v>21</v>
      </c>
      <c r="E3237">
        <v>19</v>
      </c>
      <c r="F3237">
        <v>4</v>
      </c>
      <c r="G3237">
        <v>11</v>
      </c>
      <c r="H3237">
        <v>1</v>
      </c>
      <c r="I3237">
        <v>5</v>
      </c>
      <c r="J3237" s="52"/>
    </row>
    <row r="3238" spans="1:10" hidden="1" x14ac:dyDescent="0.35">
      <c r="A3238" s="2">
        <v>45899</v>
      </c>
      <c r="B3238" t="s">
        <v>128</v>
      </c>
      <c r="C3238" t="s">
        <v>21</v>
      </c>
      <c r="E3238">
        <v>26</v>
      </c>
      <c r="F3238">
        <v>6</v>
      </c>
      <c r="G3238">
        <v>6</v>
      </c>
      <c r="H3238">
        <v>1</v>
      </c>
      <c r="I3238">
        <v>5</v>
      </c>
      <c r="J3238" s="52"/>
    </row>
    <row r="3239" spans="1:10" hidden="1" x14ac:dyDescent="0.35">
      <c r="A3239" s="2">
        <v>45899</v>
      </c>
      <c r="B3239" t="s">
        <v>117</v>
      </c>
      <c r="C3239" t="s">
        <v>54</v>
      </c>
      <c r="E3239">
        <v>21</v>
      </c>
      <c r="F3239">
        <v>9</v>
      </c>
      <c r="G3239">
        <v>22</v>
      </c>
      <c r="H3239">
        <v>7</v>
      </c>
      <c r="I3239">
        <v>10</v>
      </c>
      <c r="J3239" s="52"/>
    </row>
    <row r="3240" spans="1:10" hidden="1" x14ac:dyDescent="0.35">
      <c r="A3240" s="2">
        <v>45899</v>
      </c>
      <c r="B3240" t="s">
        <v>123</v>
      </c>
      <c r="C3240" t="s">
        <v>55</v>
      </c>
      <c r="E3240">
        <v>19</v>
      </c>
      <c r="F3240">
        <v>21</v>
      </c>
      <c r="G3240">
        <v>13</v>
      </c>
      <c r="H3240">
        <v>8</v>
      </c>
      <c r="I3240">
        <v>12</v>
      </c>
      <c r="J3240" s="52"/>
    </row>
    <row r="3241" spans="1:10" hidden="1" x14ac:dyDescent="0.35">
      <c r="A3241" s="2">
        <v>45899</v>
      </c>
      <c r="B3241" t="s">
        <v>57</v>
      </c>
      <c r="C3241" t="s">
        <v>55</v>
      </c>
      <c r="E3241">
        <v>13</v>
      </c>
      <c r="F3241">
        <v>0</v>
      </c>
      <c r="G3241">
        <v>3</v>
      </c>
      <c r="H3241">
        <v>0</v>
      </c>
      <c r="I3241">
        <v>3</v>
      </c>
      <c r="J3241" s="52"/>
    </row>
    <row r="3242" spans="1:10" hidden="1" x14ac:dyDescent="0.35">
      <c r="A3242" s="2">
        <v>45899</v>
      </c>
      <c r="B3242" t="s">
        <v>107</v>
      </c>
      <c r="C3242" t="s">
        <v>58</v>
      </c>
      <c r="E3242">
        <v>10</v>
      </c>
      <c r="F3242">
        <v>12</v>
      </c>
      <c r="G3242">
        <v>23</v>
      </c>
      <c r="H3242">
        <v>9</v>
      </c>
      <c r="I3242">
        <v>9</v>
      </c>
      <c r="J3242" s="52"/>
    </row>
    <row r="3243" spans="1:10" hidden="1" x14ac:dyDescent="0.35">
      <c r="A3243" s="2">
        <v>45899</v>
      </c>
      <c r="B3243" t="s">
        <v>129</v>
      </c>
      <c r="C3243" t="s">
        <v>58</v>
      </c>
      <c r="E3243">
        <v>17</v>
      </c>
      <c r="F3243">
        <v>10</v>
      </c>
      <c r="G3243">
        <v>7</v>
      </c>
      <c r="H3243">
        <v>1</v>
      </c>
      <c r="I3243">
        <v>6</v>
      </c>
      <c r="J3243" s="52"/>
    </row>
    <row r="3244" spans="1:10" hidden="1" x14ac:dyDescent="0.35">
      <c r="A3244" s="2">
        <v>45899</v>
      </c>
      <c r="B3244" t="s">
        <v>64</v>
      </c>
      <c r="C3244" t="s">
        <v>62</v>
      </c>
      <c r="E3244">
        <v>15</v>
      </c>
      <c r="F3244">
        <v>2</v>
      </c>
      <c r="G3244">
        <v>20</v>
      </c>
      <c r="H3244">
        <v>7</v>
      </c>
      <c r="I3244">
        <v>4</v>
      </c>
      <c r="J3244" s="52"/>
    </row>
    <row r="3245" spans="1:10" hidden="1" x14ac:dyDescent="0.35">
      <c r="A3245" s="2">
        <v>45899</v>
      </c>
      <c r="B3245" t="s">
        <v>97</v>
      </c>
      <c r="C3245" t="s">
        <v>61</v>
      </c>
      <c r="E3245">
        <v>14</v>
      </c>
      <c r="F3245">
        <v>2</v>
      </c>
      <c r="G3245">
        <v>15</v>
      </c>
      <c r="H3245">
        <v>2</v>
      </c>
      <c r="I3245">
        <v>10</v>
      </c>
      <c r="J3245" s="52"/>
    </row>
    <row r="3246" spans="1:10" hidden="1" x14ac:dyDescent="0.35">
      <c r="A3246" s="2">
        <v>45899</v>
      </c>
      <c r="B3246" t="s">
        <v>118</v>
      </c>
      <c r="C3246" t="s">
        <v>61</v>
      </c>
      <c r="E3246">
        <v>13</v>
      </c>
      <c r="F3246">
        <v>3</v>
      </c>
      <c r="G3246">
        <v>9</v>
      </c>
      <c r="H3246">
        <v>1</v>
      </c>
      <c r="I3246">
        <v>7</v>
      </c>
      <c r="J3246" s="52"/>
    </row>
    <row r="3247" spans="1:10" hidden="1" x14ac:dyDescent="0.35">
      <c r="A3247" s="2">
        <v>45899</v>
      </c>
      <c r="B3247" t="s">
        <v>119</v>
      </c>
      <c r="C3247" t="s">
        <v>63</v>
      </c>
      <c r="E3247">
        <v>15</v>
      </c>
      <c r="F3247">
        <v>9</v>
      </c>
      <c r="G3247">
        <v>8</v>
      </c>
      <c r="H3247">
        <v>3</v>
      </c>
      <c r="I3247">
        <v>8</v>
      </c>
      <c r="J3247" s="52"/>
    </row>
    <row r="3248" spans="1:10" hidden="1" x14ac:dyDescent="0.35">
      <c r="A3248" s="2">
        <v>45899</v>
      </c>
      <c r="B3248" t="s">
        <v>77</v>
      </c>
      <c r="C3248" t="s">
        <v>73</v>
      </c>
      <c r="E3248">
        <v>14</v>
      </c>
      <c r="F3248">
        <v>2</v>
      </c>
      <c r="G3248">
        <v>10</v>
      </c>
      <c r="H3248">
        <v>3</v>
      </c>
      <c r="I3248">
        <v>8</v>
      </c>
      <c r="J3248" s="52"/>
    </row>
    <row r="3249" spans="1:10" hidden="1" x14ac:dyDescent="0.35">
      <c r="A3249" s="2">
        <v>45899</v>
      </c>
      <c r="B3249" t="s">
        <v>110</v>
      </c>
      <c r="C3249" t="s">
        <v>81</v>
      </c>
      <c r="E3249">
        <v>14</v>
      </c>
      <c r="F3249">
        <v>0</v>
      </c>
      <c r="G3249">
        <v>14</v>
      </c>
      <c r="H3249">
        <v>0</v>
      </c>
      <c r="I3249">
        <v>9</v>
      </c>
      <c r="J3249" s="52"/>
    </row>
    <row r="3250" spans="1:10" hidden="1" x14ac:dyDescent="0.35">
      <c r="A3250" s="2">
        <v>45899</v>
      </c>
      <c r="B3250" t="s">
        <v>85</v>
      </c>
      <c r="C3250" t="s">
        <v>83</v>
      </c>
      <c r="E3250">
        <v>16</v>
      </c>
      <c r="F3250">
        <v>8</v>
      </c>
      <c r="G3250">
        <v>24</v>
      </c>
      <c r="H3250">
        <v>3</v>
      </c>
      <c r="I3250">
        <v>9</v>
      </c>
      <c r="J3250" s="52"/>
    </row>
    <row r="3251" spans="1:10" hidden="1" x14ac:dyDescent="0.35">
      <c r="A3251" s="2">
        <v>45899</v>
      </c>
      <c r="B3251" t="s">
        <v>89</v>
      </c>
      <c r="C3251" t="s">
        <v>87</v>
      </c>
      <c r="E3251">
        <v>0</v>
      </c>
      <c r="F3251">
        <v>0</v>
      </c>
      <c r="G3251">
        <v>34</v>
      </c>
      <c r="H3251">
        <v>16</v>
      </c>
      <c r="I3251">
        <v>0</v>
      </c>
      <c r="J3251" s="52"/>
    </row>
    <row r="3252" spans="1:10" hidden="1" x14ac:dyDescent="0.35">
      <c r="A3252" s="2">
        <v>45899</v>
      </c>
      <c r="B3252" t="s">
        <v>98</v>
      </c>
      <c r="C3252" t="s">
        <v>94</v>
      </c>
      <c r="E3252">
        <v>12</v>
      </c>
      <c r="F3252">
        <v>2</v>
      </c>
      <c r="G3252">
        <v>22</v>
      </c>
      <c r="H3252">
        <v>2</v>
      </c>
      <c r="I3252">
        <v>10</v>
      </c>
      <c r="J3252" s="52"/>
    </row>
    <row r="3253" spans="1:10" hidden="1" x14ac:dyDescent="0.35">
      <c r="A3253" s="2">
        <v>45899</v>
      </c>
      <c r="B3253" t="s">
        <v>130</v>
      </c>
      <c r="C3253" t="s">
        <v>94</v>
      </c>
      <c r="E3253">
        <v>14</v>
      </c>
      <c r="F3253">
        <v>0</v>
      </c>
      <c r="G3253">
        <v>1</v>
      </c>
      <c r="H3253">
        <v>0</v>
      </c>
      <c r="I3253">
        <v>1</v>
      </c>
      <c r="J3253" s="52"/>
    </row>
    <row r="3254" spans="1:10" hidden="1" x14ac:dyDescent="0.35">
      <c r="A3254" s="2">
        <v>45930</v>
      </c>
      <c r="C3254" t="s">
        <v>24</v>
      </c>
      <c r="D3254">
        <v>294</v>
      </c>
      <c r="J3254" s="58">
        <v>166164</v>
      </c>
    </row>
    <row r="3255" spans="1:10" hidden="1" x14ac:dyDescent="0.35">
      <c r="A3255" s="2">
        <v>45930</v>
      </c>
      <c r="C3255" t="s">
        <v>9</v>
      </c>
      <c r="D3255">
        <v>353</v>
      </c>
      <c r="J3255" s="58">
        <v>151564</v>
      </c>
    </row>
    <row r="3256" spans="1:10" hidden="1" x14ac:dyDescent="0.35">
      <c r="A3256" s="2">
        <v>45930</v>
      </c>
      <c r="C3256" t="s">
        <v>37</v>
      </c>
      <c r="D3256">
        <v>462</v>
      </c>
      <c r="J3256" s="58">
        <v>306674</v>
      </c>
    </row>
    <row r="3257" spans="1:10" hidden="1" x14ac:dyDescent="0.35">
      <c r="A3257" s="2">
        <v>45930</v>
      </c>
      <c r="C3257" t="s">
        <v>23</v>
      </c>
      <c r="D3257">
        <v>260</v>
      </c>
      <c r="J3257" s="58">
        <v>140450</v>
      </c>
    </row>
    <row r="3258" spans="1:10" hidden="1" x14ac:dyDescent="0.35">
      <c r="A3258" s="2">
        <v>45930</v>
      </c>
      <c r="C3258" t="s">
        <v>27</v>
      </c>
      <c r="D3258">
        <v>291</v>
      </c>
      <c r="J3258" s="58">
        <v>417600</v>
      </c>
    </row>
    <row r="3259" spans="1:10" hidden="1" x14ac:dyDescent="0.35">
      <c r="A3259" s="2">
        <v>45930</v>
      </c>
      <c r="C3259" t="s">
        <v>26</v>
      </c>
      <c r="D3259">
        <v>166</v>
      </c>
      <c r="J3259" s="58">
        <v>120400</v>
      </c>
    </row>
    <row r="3260" spans="1:10" hidden="1" x14ac:dyDescent="0.35">
      <c r="A3260" s="2">
        <v>45930</v>
      </c>
      <c r="C3260" t="s">
        <v>20</v>
      </c>
      <c r="D3260">
        <v>287</v>
      </c>
      <c r="J3260" s="58">
        <v>228914</v>
      </c>
    </row>
    <row r="3261" spans="1:10" hidden="1" x14ac:dyDescent="0.35">
      <c r="A3261" s="2">
        <v>45930</v>
      </c>
      <c r="C3261" t="s">
        <v>25</v>
      </c>
      <c r="D3261">
        <v>212</v>
      </c>
      <c r="J3261" s="58">
        <v>194788</v>
      </c>
    </row>
    <row r="3262" spans="1:10" hidden="1" x14ac:dyDescent="0.35">
      <c r="A3262" s="2">
        <v>45930</v>
      </c>
      <c r="C3262" t="s">
        <v>19</v>
      </c>
      <c r="D3262">
        <v>352</v>
      </c>
      <c r="F3262" s="44"/>
      <c r="J3262" s="58">
        <v>315296</v>
      </c>
    </row>
    <row r="3263" spans="1:10" hidden="1" x14ac:dyDescent="0.35">
      <c r="A3263" s="2">
        <v>45930</v>
      </c>
      <c r="C3263" t="s">
        <v>21</v>
      </c>
      <c r="D3263">
        <v>353</v>
      </c>
      <c r="J3263" s="58">
        <v>170178</v>
      </c>
    </row>
    <row r="3264" spans="1:10" hidden="1" x14ac:dyDescent="0.35">
      <c r="A3264" s="2">
        <v>45930</v>
      </c>
      <c r="C3264" t="s">
        <v>18</v>
      </c>
      <c r="D3264">
        <v>438</v>
      </c>
      <c r="J3264" s="58">
        <v>281438</v>
      </c>
    </row>
    <row r="3265" spans="1:10" hidden="1" x14ac:dyDescent="0.35">
      <c r="A3265" s="2">
        <v>45930</v>
      </c>
      <c r="C3265" t="s">
        <v>22</v>
      </c>
      <c r="D3265">
        <v>287</v>
      </c>
      <c r="J3265" s="58">
        <v>302300</v>
      </c>
    </row>
    <row r="3266" spans="1:10" hidden="1" x14ac:dyDescent="0.35">
      <c r="A3266" s="2">
        <v>45930</v>
      </c>
      <c r="C3266" t="s">
        <v>54</v>
      </c>
      <c r="D3266">
        <v>401</v>
      </c>
      <c r="J3266" s="58">
        <v>157092</v>
      </c>
    </row>
    <row r="3267" spans="1:10" hidden="1" x14ac:dyDescent="0.35">
      <c r="A3267" s="2">
        <v>45930</v>
      </c>
      <c r="C3267" t="s">
        <v>55</v>
      </c>
      <c r="D3267">
        <v>296</v>
      </c>
      <c r="J3267" s="58">
        <v>125820</v>
      </c>
    </row>
    <row r="3268" spans="1:10" hidden="1" x14ac:dyDescent="0.35">
      <c r="A3268" s="2">
        <v>45930</v>
      </c>
      <c r="C3268" t="s">
        <v>58</v>
      </c>
      <c r="D3268">
        <v>344</v>
      </c>
      <c r="J3268" s="58">
        <v>141682</v>
      </c>
    </row>
    <row r="3269" spans="1:10" hidden="1" x14ac:dyDescent="0.35">
      <c r="A3269" s="2">
        <v>45930</v>
      </c>
      <c r="C3269" t="s">
        <v>62</v>
      </c>
      <c r="D3269">
        <v>248</v>
      </c>
      <c r="J3269" s="58">
        <v>39064</v>
      </c>
    </row>
    <row r="3270" spans="1:10" hidden="1" x14ac:dyDescent="0.35">
      <c r="A3270" s="2">
        <v>45930</v>
      </c>
      <c r="C3270" t="s">
        <v>61</v>
      </c>
      <c r="D3270">
        <v>421</v>
      </c>
      <c r="J3270" s="58">
        <v>148480</v>
      </c>
    </row>
    <row r="3271" spans="1:10" hidden="1" x14ac:dyDescent="0.35">
      <c r="A3271" s="2">
        <v>45930</v>
      </c>
      <c r="C3271" t="s">
        <v>63</v>
      </c>
      <c r="D3271">
        <v>162</v>
      </c>
      <c r="J3271" s="58">
        <v>136300</v>
      </c>
    </row>
    <row r="3272" spans="1:10" hidden="1" x14ac:dyDescent="0.35">
      <c r="A3272" s="2">
        <v>45930</v>
      </c>
      <c r="C3272" t="s">
        <v>73</v>
      </c>
      <c r="D3272">
        <v>241</v>
      </c>
      <c r="J3272" s="58">
        <v>90764</v>
      </c>
    </row>
    <row r="3273" spans="1:10" hidden="1" x14ac:dyDescent="0.35">
      <c r="A3273" s="2">
        <v>45930</v>
      </c>
      <c r="C3273" t="s">
        <v>81</v>
      </c>
      <c r="D3273">
        <v>213</v>
      </c>
      <c r="J3273" s="58">
        <v>27000</v>
      </c>
    </row>
    <row r="3274" spans="1:10" hidden="1" x14ac:dyDescent="0.35">
      <c r="A3274" s="2">
        <v>45930</v>
      </c>
      <c r="C3274" t="s">
        <v>83</v>
      </c>
      <c r="D3274">
        <v>213</v>
      </c>
      <c r="J3274" s="58">
        <v>93994</v>
      </c>
    </row>
    <row r="3275" spans="1:10" hidden="1" x14ac:dyDescent="0.35">
      <c r="A3275" s="2">
        <v>45930</v>
      </c>
      <c r="C3275" t="s">
        <v>94</v>
      </c>
      <c r="D3275">
        <v>240</v>
      </c>
      <c r="J3275" s="58">
        <v>216164</v>
      </c>
    </row>
    <row r="3276" spans="1:10" hidden="1" x14ac:dyDescent="0.35">
      <c r="A3276" s="2">
        <v>45930</v>
      </c>
      <c r="C3276" t="s">
        <v>115</v>
      </c>
      <c r="D3276">
        <v>191</v>
      </c>
      <c r="J3276" s="58">
        <v>48500</v>
      </c>
    </row>
    <row r="3277" spans="1:10" hidden="1" x14ac:dyDescent="0.35">
      <c r="A3277" s="2">
        <v>45930</v>
      </c>
      <c r="B3277" t="s">
        <v>110</v>
      </c>
      <c r="C3277" t="s">
        <v>20</v>
      </c>
      <c r="E3277">
        <v>18</v>
      </c>
      <c r="F3277">
        <v>0</v>
      </c>
      <c r="G3277">
        <v>20</v>
      </c>
      <c r="H3277">
        <v>3</v>
      </c>
      <c r="I3277">
        <v>11</v>
      </c>
      <c r="J3277" s="52"/>
    </row>
    <row r="3278" spans="1:10" hidden="1" x14ac:dyDescent="0.35">
      <c r="A3278" s="2">
        <v>45930</v>
      </c>
      <c r="B3278" t="s">
        <v>110</v>
      </c>
      <c r="C3278" t="s">
        <v>115</v>
      </c>
      <c r="E3278">
        <v>1</v>
      </c>
      <c r="F3278">
        <v>0</v>
      </c>
      <c r="G3278">
        <v>0</v>
      </c>
      <c r="H3278">
        <v>0</v>
      </c>
      <c r="I3278">
        <v>1</v>
      </c>
      <c r="J3278" s="52"/>
    </row>
    <row r="3279" spans="1:10" hidden="1" x14ac:dyDescent="0.35">
      <c r="A3279" s="2">
        <v>45930</v>
      </c>
      <c r="B3279" t="s">
        <v>113</v>
      </c>
      <c r="C3279" t="s">
        <v>20</v>
      </c>
      <c r="E3279">
        <v>22</v>
      </c>
      <c r="F3279">
        <v>7</v>
      </c>
      <c r="G3279">
        <v>17</v>
      </c>
      <c r="H3279">
        <v>1</v>
      </c>
      <c r="I3279">
        <v>4</v>
      </c>
      <c r="J3279" s="52"/>
    </row>
    <row r="3280" spans="1:10" hidden="1" x14ac:dyDescent="0.35">
      <c r="A3280" s="2">
        <v>45930</v>
      </c>
      <c r="B3280" t="s">
        <v>113</v>
      </c>
      <c r="C3280" t="s">
        <v>26</v>
      </c>
      <c r="E3280">
        <v>26</v>
      </c>
      <c r="F3280">
        <v>2</v>
      </c>
      <c r="G3280">
        <v>52</v>
      </c>
      <c r="H3280">
        <v>0</v>
      </c>
      <c r="I3280">
        <v>8</v>
      </c>
      <c r="J3280" s="52"/>
    </row>
    <row r="3281" spans="1:10" hidden="1" x14ac:dyDescent="0.35">
      <c r="A3281" s="2">
        <v>45930</v>
      </c>
      <c r="B3281" t="s">
        <v>113</v>
      </c>
      <c r="C3281" t="s">
        <v>115</v>
      </c>
      <c r="E3281">
        <v>2</v>
      </c>
      <c r="F3281">
        <v>0</v>
      </c>
      <c r="G3281">
        <v>0</v>
      </c>
      <c r="H3281">
        <v>0</v>
      </c>
      <c r="I3281">
        <v>1</v>
      </c>
      <c r="J3281" s="52"/>
    </row>
    <row r="3282" spans="1:10" hidden="1" x14ac:dyDescent="0.35">
      <c r="A3282" s="2">
        <v>45930</v>
      </c>
      <c r="B3282" t="s">
        <v>125</v>
      </c>
      <c r="C3282" t="s">
        <v>115</v>
      </c>
      <c r="E3282">
        <v>13</v>
      </c>
      <c r="F3282">
        <v>2</v>
      </c>
      <c r="G3282">
        <v>15</v>
      </c>
      <c r="H3282">
        <v>1</v>
      </c>
      <c r="I3282">
        <v>1</v>
      </c>
      <c r="J3282" s="52"/>
    </row>
    <row r="3283" spans="1:10" hidden="1" x14ac:dyDescent="0.35">
      <c r="A3283" s="2">
        <v>45930</v>
      </c>
      <c r="B3283" t="s">
        <v>38</v>
      </c>
      <c r="C3283" t="s">
        <v>18</v>
      </c>
      <c r="E3283">
        <v>20</v>
      </c>
      <c r="F3283">
        <v>12</v>
      </c>
      <c r="G3283">
        <v>21</v>
      </c>
      <c r="H3283">
        <v>5</v>
      </c>
      <c r="I3283">
        <v>12</v>
      </c>
      <c r="J3283" s="52"/>
    </row>
    <row r="3284" spans="1:10" hidden="1" x14ac:dyDescent="0.35">
      <c r="A3284" s="2">
        <v>45930</v>
      </c>
      <c r="B3284" t="s">
        <v>116</v>
      </c>
      <c r="C3284" t="s">
        <v>18</v>
      </c>
      <c r="E3284">
        <v>23</v>
      </c>
      <c r="F3284">
        <v>32</v>
      </c>
      <c r="G3284">
        <v>18</v>
      </c>
      <c r="H3284">
        <v>5</v>
      </c>
      <c r="I3284">
        <v>8</v>
      </c>
      <c r="J3284" s="52"/>
    </row>
    <row r="3285" spans="1:10" hidden="1" x14ac:dyDescent="0.35">
      <c r="A3285" s="2">
        <v>45930</v>
      </c>
      <c r="B3285" t="s">
        <v>122</v>
      </c>
      <c r="C3285" t="s">
        <v>25</v>
      </c>
      <c r="E3285">
        <v>51</v>
      </c>
      <c r="F3285">
        <v>2</v>
      </c>
      <c r="G3285">
        <v>35</v>
      </c>
      <c r="H3285">
        <v>2</v>
      </c>
      <c r="I3285">
        <v>13</v>
      </c>
      <c r="J3285" s="52"/>
    </row>
    <row r="3286" spans="1:10" hidden="1" x14ac:dyDescent="0.35">
      <c r="A3286" s="2">
        <v>45930</v>
      </c>
      <c r="B3286" t="s">
        <v>122</v>
      </c>
      <c r="C3286" t="s">
        <v>23</v>
      </c>
      <c r="E3286">
        <v>5</v>
      </c>
      <c r="F3286">
        <v>1</v>
      </c>
      <c r="G3286">
        <v>11</v>
      </c>
      <c r="H3286">
        <v>0</v>
      </c>
      <c r="I3286">
        <v>4</v>
      </c>
      <c r="J3286" s="52"/>
    </row>
    <row r="3287" spans="1:10" hidden="1" x14ac:dyDescent="0.35">
      <c r="A3287" s="2">
        <v>45930</v>
      </c>
      <c r="B3287" t="s">
        <v>126</v>
      </c>
      <c r="C3287" t="s">
        <v>23</v>
      </c>
      <c r="E3287">
        <v>11</v>
      </c>
      <c r="F3287">
        <v>5</v>
      </c>
      <c r="G3287">
        <v>3</v>
      </c>
      <c r="H3287">
        <v>2</v>
      </c>
      <c r="I3287">
        <v>5</v>
      </c>
      <c r="J3287" s="52"/>
    </row>
    <row r="3288" spans="1:10" hidden="1" x14ac:dyDescent="0.35">
      <c r="A3288" s="2">
        <v>45930</v>
      </c>
      <c r="B3288" t="s">
        <v>126</v>
      </c>
      <c r="C3288" t="s">
        <v>24</v>
      </c>
      <c r="E3288">
        <v>13</v>
      </c>
      <c r="F3288">
        <v>3</v>
      </c>
      <c r="G3288">
        <v>8</v>
      </c>
      <c r="H3288">
        <v>3</v>
      </c>
      <c r="I3288">
        <v>6</v>
      </c>
      <c r="J3288" s="52"/>
    </row>
    <row r="3289" spans="1:10" hidden="1" x14ac:dyDescent="0.35">
      <c r="A3289" s="2">
        <v>45930</v>
      </c>
      <c r="B3289" t="s">
        <v>96</v>
      </c>
      <c r="C3289" t="s">
        <v>24</v>
      </c>
      <c r="E3289">
        <v>4</v>
      </c>
      <c r="F3289">
        <v>1</v>
      </c>
      <c r="G3289">
        <v>4</v>
      </c>
      <c r="H3289">
        <v>1</v>
      </c>
      <c r="I3289">
        <v>5</v>
      </c>
      <c r="J3289" s="52"/>
    </row>
    <row r="3290" spans="1:10" hidden="1" x14ac:dyDescent="0.35">
      <c r="A3290" s="2">
        <v>45930</v>
      </c>
      <c r="B3290" t="s">
        <v>101</v>
      </c>
      <c r="C3290" t="s">
        <v>37</v>
      </c>
      <c r="E3290">
        <v>14</v>
      </c>
      <c r="F3290">
        <v>0</v>
      </c>
      <c r="G3290">
        <v>9</v>
      </c>
      <c r="H3290">
        <v>0</v>
      </c>
      <c r="I3290">
        <v>7</v>
      </c>
      <c r="J3290" s="52"/>
    </row>
    <row r="3291" spans="1:10" hidden="1" x14ac:dyDescent="0.35">
      <c r="A3291" s="2">
        <v>45930</v>
      </c>
      <c r="B3291" t="s">
        <v>102</v>
      </c>
      <c r="C3291" t="s">
        <v>37</v>
      </c>
      <c r="E3291">
        <v>22</v>
      </c>
      <c r="F3291">
        <v>4</v>
      </c>
      <c r="G3291">
        <v>17</v>
      </c>
      <c r="H3291">
        <v>1</v>
      </c>
      <c r="I3291">
        <v>8</v>
      </c>
      <c r="J3291" s="52"/>
    </row>
    <row r="3292" spans="1:10" hidden="1" x14ac:dyDescent="0.35">
      <c r="A3292" s="2">
        <v>45930</v>
      </c>
      <c r="B3292" t="s">
        <v>126</v>
      </c>
      <c r="C3292" t="s">
        <v>37</v>
      </c>
      <c r="E3292">
        <v>16</v>
      </c>
      <c r="F3292">
        <v>1</v>
      </c>
      <c r="G3292">
        <v>8</v>
      </c>
      <c r="H3292">
        <v>1</v>
      </c>
      <c r="I3292">
        <v>1</v>
      </c>
      <c r="J3292" s="52"/>
    </row>
    <row r="3293" spans="1:10" hidden="1" x14ac:dyDescent="0.35">
      <c r="A3293" s="2">
        <v>45930</v>
      </c>
      <c r="B3293" t="s">
        <v>96</v>
      </c>
      <c r="C3293" t="s">
        <v>37</v>
      </c>
      <c r="E3293">
        <v>9</v>
      </c>
      <c r="F3293">
        <v>3</v>
      </c>
      <c r="G3293">
        <v>0</v>
      </c>
      <c r="H3293">
        <v>0</v>
      </c>
      <c r="I3293">
        <v>5</v>
      </c>
      <c r="J3293" s="52"/>
    </row>
    <row r="3294" spans="1:10" hidden="1" x14ac:dyDescent="0.35">
      <c r="A3294" s="2">
        <v>45930</v>
      </c>
      <c r="B3294" t="s">
        <v>112</v>
      </c>
      <c r="C3294" t="s">
        <v>19</v>
      </c>
      <c r="E3294">
        <v>24</v>
      </c>
      <c r="F3294">
        <v>0</v>
      </c>
      <c r="G3294">
        <v>30</v>
      </c>
      <c r="H3294">
        <v>3</v>
      </c>
      <c r="I3294">
        <v>15</v>
      </c>
      <c r="J3294" s="52"/>
    </row>
    <row r="3295" spans="1:10" hidden="1" x14ac:dyDescent="0.35">
      <c r="A3295" s="2">
        <v>45930</v>
      </c>
      <c r="B3295" t="s">
        <v>40</v>
      </c>
      <c r="C3295" t="s">
        <v>19</v>
      </c>
      <c r="E3295">
        <v>32</v>
      </c>
      <c r="F3295">
        <v>3</v>
      </c>
      <c r="G3295">
        <v>34</v>
      </c>
      <c r="H3295">
        <v>0</v>
      </c>
      <c r="I3295">
        <v>8</v>
      </c>
      <c r="J3295" s="52"/>
    </row>
    <row r="3296" spans="1:10" hidden="1" x14ac:dyDescent="0.35">
      <c r="A3296" s="2">
        <v>45930</v>
      </c>
      <c r="B3296" t="s">
        <v>121</v>
      </c>
      <c r="C3296" t="s">
        <v>22</v>
      </c>
      <c r="E3296">
        <v>26</v>
      </c>
      <c r="F3296">
        <v>9</v>
      </c>
      <c r="G3296">
        <v>23</v>
      </c>
      <c r="H3296">
        <v>5</v>
      </c>
      <c r="I3296">
        <v>12</v>
      </c>
      <c r="J3296" s="52"/>
    </row>
    <row r="3297" spans="1:10" hidden="1" x14ac:dyDescent="0.35">
      <c r="A3297" s="2">
        <v>45930</v>
      </c>
      <c r="B3297" t="s">
        <v>95</v>
      </c>
      <c r="C3297" t="s">
        <v>22</v>
      </c>
      <c r="E3297">
        <v>10</v>
      </c>
      <c r="F3297">
        <v>8</v>
      </c>
      <c r="G3297">
        <v>6</v>
      </c>
      <c r="H3297">
        <v>3</v>
      </c>
      <c r="I3297">
        <v>8</v>
      </c>
      <c r="J3297" s="52"/>
    </row>
    <row r="3298" spans="1:10" hidden="1" x14ac:dyDescent="0.35">
      <c r="A3298" s="2">
        <v>45930</v>
      </c>
      <c r="B3298" t="s">
        <v>43</v>
      </c>
      <c r="C3298" t="s">
        <v>27</v>
      </c>
      <c r="E3298">
        <v>18</v>
      </c>
      <c r="F3298">
        <v>0</v>
      </c>
      <c r="G3298">
        <v>22</v>
      </c>
      <c r="H3298">
        <v>0</v>
      </c>
      <c r="I3298">
        <v>12</v>
      </c>
      <c r="J3298" s="52"/>
    </row>
    <row r="3299" spans="1:10" hidden="1" x14ac:dyDescent="0.35">
      <c r="A3299" s="2">
        <v>45930</v>
      </c>
      <c r="B3299" t="s">
        <v>84</v>
      </c>
      <c r="C3299" t="s">
        <v>27</v>
      </c>
      <c r="E3299">
        <v>18</v>
      </c>
      <c r="F3299">
        <v>0</v>
      </c>
      <c r="G3299">
        <v>32</v>
      </c>
      <c r="H3299">
        <v>0</v>
      </c>
      <c r="I3299">
        <v>13</v>
      </c>
      <c r="J3299" s="52"/>
    </row>
    <row r="3300" spans="1:10" hidden="1" x14ac:dyDescent="0.35">
      <c r="A3300" s="2">
        <v>45930</v>
      </c>
      <c r="B3300" t="s">
        <v>101</v>
      </c>
      <c r="C3300" t="s">
        <v>9</v>
      </c>
      <c r="E3300">
        <v>40</v>
      </c>
      <c r="F3300">
        <v>0</v>
      </c>
      <c r="G3300">
        <v>36</v>
      </c>
      <c r="H3300">
        <v>2</v>
      </c>
      <c r="I3300">
        <v>10</v>
      </c>
      <c r="J3300" s="52"/>
    </row>
    <row r="3301" spans="1:10" hidden="1" x14ac:dyDescent="0.35">
      <c r="A3301" s="2">
        <v>45930</v>
      </c>
      <c r="B3301" t="s">
        <v>75</v>
      </c>
      <c r="C3301" t="s">
        <v>21</v>
      </c>
      <c r="E3301">
        <v>16</v>
      </c>
      <c r="F3301">
        <v>1</v>
      </c>
      <c r="G3301">
        <v>13</v>
      </c>
      <c r="H3301">
        <v>3</v>
      </c>
      <c r="I3301">
        <v>4</v>
      </c>
      <c r="J3301" s="52"/>
    </row>
    <row r="3302" spans="1:10" hidden="1" x14ac:dyDescent="0.35">
      <c r="A3302" s="2">
        <v>45930</v>
      </c>
      <c r="B3302" t="s">
        <v>128</v>
      </c>
      <c r="C3302" t="s">
        <v>21</v>
      </c>
      <c r="E3302">
        <v>16</v>
      </c>
      <c r="F3302">
        <v>1</v>
      </c>
      <c r="G3302">
        <v>4</v>
      </c>
      <c r="H3302">
        <v>0</v>
      </c>
      <c r="I3302">
        <v>7</v>
      </c>
      <c r="J3302" s="52"/>
    </row>
    <row r="3303" spans="1:10" hidden="1" x14ac:dyDescent="0.35">
      <c r="A3303" s="2">
        <v>45930</v>
      </c>
      <c r="B3303" t="s">
        <v>117</v>
      </c>
      <c r="C3303" t="s">
        <v>54</v>
      </c>
      <c r="E3303">
        <v>10</v>
      </c>
      <c r="F3303">
        <v>3</v>
      </c>
      <c r="G3303">
        <v>25</v>
      </c>
      <c r="H3303">
        <v>3</v>
      </c>
      <c r="I3303">
        <v>10</v>
      </c>
      <c r="J3303" s="52"/>
    </row>
    <row r="3304" spans="1:10" hidden="1" x14ac:dyDescent="0.35">
      <c r="A3304" s="2">
        <v>45930</v>
      </c>
      <c r="B3304" t="s">
        <v>147</v>
      </c>
      <c r="C3304" t="s">
        <v>54</v>
      </c>
      <c r="E3304">
        <v>28</v>
      </c>
      <c r="F3304">
        <v>8</v>
      </c>
      <c r="G3304">
        <v>0</v>
      </c>
      <c r="H3304">
        <v>0</v>
      </c>
      <c r="I3304">
        <v>1</v>
      </c>
      <c r="J3304" s="52"/>
    </row>
    <row r="3305" spans="1:10" hidden="1" x14ac:dyDescent="0.35">
      <c r="A3305" s="2">
        <v>45930</v>
      </c>
      <c r="B3305" t="s">
        <v>123</v>
      </c>
      <c r="C3305" t="s">
        <v>55</v>
      </c>
      <c r="E3305">
        <v>24</v>
      </c>
      <c r="F3305">
        <v>17</v>
      </c>
      <c r="G3305">
        <v>16</v>
      </c>
      <c r="H3305">
        <v>12</v>
      </c>
      <c r="I3305">
        <v>9</v>
      </c>
      <c r="J3305" s="52"/>
    </row>
    <row r="3306" spans="1:10" hidden="1" x14ac:dyDescent="0.35">
      <c r="A3306" s="2">
        <v>45930</v>
      </c>
      <c r="B3306" t="s">
        <v>57</v>
      </c>
      <c r="C3306" t="s">
        <v>55</v>
      </c>
      <c r="E3306">
        <v>2</v>
      </c>
      <c r="F3306">
        <v>2</v>
      </c>
      <c r="G3306">
        <v>1</v>
      </c>
      <c r="H3306">
        <v>0</v>
      </c>
      <c r="I3306">
        <v>1</v>
      </c>
      <c r="J3306" s="52"/>
    </row>
    <row r="3307" spans="1:10" hidden="1" x14ac:dyDescent="0.35">
      <c r="A3307" s="2">
        <v>45930</v>
      </c>
      <c r="B3307" t="s">
        <v>107</v>
      </c>
      <c r="C3307" t="s">
        <v>58</v>
      </c>
      <c r="E3307">
        <v>15</v>
      </c>
      <c r="F3307">
        <v>13</v>
      </c>
      <c r="G3307">
        <v>24</v>
      </c>
      <c r="H3307">
        <v>11</v>
      </c>
      <c r="I3307">
        <v>8</v>
      </c>
      <c r="J3307" s="52"/>
    </row>
    <row r="3308" spans="1:10" hidden="1" x14ac:dyDescent="0.35">
      <c r="A3308" s="2">
        <v>45930</v>
      </c>
      <c r="B3308" t="s">
        <v>129</v>
      </c>
      <c r="C3308" t="s">
        <v>58</v>
      </c>
      <c r="E3308">
        <v>14</v>
      </c>
      <c r="F3308">
        <v>9</v>
      </c>
      <c r="G3308">
        <v>3</v>
      </c>
      <c r="H3308">
        <v>1</v>
      </c>
      <c r="I3308">
        <v>2</v>
      </c>
      <c r="J3308" s="52"/>
    </row>
    <row r="3309" spans="1:10" hidden="1" x14ac:dyDescent="0.35">
      <c r="A3309" s="2">
        <v>45930</v>
      </c>
      <c r="B3309" t="s">
        <v>64</v>
      </c>
      <c r="C3309" t="s">
        <v>62</v>
      </c>
      <c r="E3309">
        <v>20</v>
      </c>
      <c r="F3309">
        <v>6</v>
      </c>
      <c r="G3309">
        <v>18</v>
      </c>
      <c r="H3309">
        <v>3</v>
      </c>
      <c r="I3309">
        <v>3</v>
      </c>
      <c r="J3309" s="52"/>
    </row>
    <row r="3310" spans="1:10" hidden="1" x14ac:dyDescent="0.35">
      <c r="A3310" s="2">
        <v>45930</v>
      </c>
      <c r="B3310" t="s">
        <v>97</v>
      </c>
      <c r="C3310" t="s">
        <v>61</v>
      </c>
      <c r="E3310">
        <v>17</v>
      </c>
      <c r="F3310">
        <v>1</v>
      </c>
      <c r="G3310">
        <v>9</v>
      </c>
      <c r="H3310">
        <v>0</v>
      </c>
      <c r="I3310">
        <v>7</v>
      </c>
      <c r="J3310" s="52"/>
    </row>
    <row r="3311" spans="1:10" hidden="1" x14ac:dyDescent="0.35">
      <c r="A3311" s="2">
        <v>45930</v>
      </c>
      <c r="B3311" t="s">
        <v>118</v>
      </c>
      <c r="C3311" t="s">
        <v>61</v>
      </c>
      <c r="E3311">
        <v>12</v>
      </c>
      <c r="F3311">
        <v>4</v>
      </c>
      <c r="G3311">
        <v>6</v>
      </c>
      <c r="H3311">
        <v>0</v>
      </c>
      <c r="I3311">
        <v>4</v>
      </c>
      <c r="J3311" s="52"/>
    </row>
    <row r="3312" spans="1:10" hidden="1" x14ac:dyDescent="0.35">
      <c r="A3312" s="2">
        <v>45930</v>
      </c>
      <c r="B3312" t="s">
        <v>119</v>
      </c>
      <c r="C3312" t="s">
        <v>63</v>
      </c>
      <c r="E3312">
        <v>23</v>
      </c>
      <c r="F3312">
        <v>1</v>
      </c>
      <c r="G3312">
        <v>18</v>
      </c>
      <c r="H3312">
        <v>5</v>
      </c>
      <c r="I3312">
        <v>10</v>
      </c>
      <c r="J3312" s="52"/>
    </row>
    <row r="3313" spans="1:10" hidden="1" x14ac:dyDescent="0.35">
      <c r="A3313" s="2">
        <v>45930</v>
      </c>
      <c r="B3313" t="s">
        <v>77</v>
      </c>
      <c r="C3313" t="s">
        <v>73</v>
      </c>
      <c r="E3313">
        <v>10</v>
      </c>
      <c r="F3313">
        <v>2</v>
      </c>
      <c r="G3313">
        <v>15</v>
      </c>
      <c r="H3313">
        <v>9</v>
      </c>
      <c r="I3313">
        <v>6</v>
      </c>
      <c r="J3313" s="52"/>
    </row>
    <row r="3314" spans="1:10" hidden="1" x14ac:dyDescent="0.35">
      <c r="A3314" s="2">
        <v>45930</v>
      </c>
      <c r="B3314" t="s">
        <v>110</v>
      </c>
      <c r="C3314" t="s">
        <v>81</v>
      </c>
      <c r="E3314">
        <v>16</v>
      </c>
      <c r="F3314">
        <v>1</v>
      </c>
      <c r="G3314">
        <v>16</v>
      </c>
      <c r="H3314">
        <v>1</v>
      </c>
      <c r="I3314">
        <v>2</v>
      </c>
      <c r="J3314" s="52"/>
    </row>
    <row r="3315" spans="1:10" hidden="1" x14ac:dyDescent="0.35">
      <c r="A3315" s="2">
        <v>45930</v>
      </c>
      <c r="B3315" t="s">
        <v>85</v>
      </c>
      <c r="C3315" t="s">
        <v>83</v>
      </c>
      <c r="E3315">
        <v>14</v>
      </c>
      <c r="F3315">
        <v>18</v>
      </c>
      <c r="G3315">
        <v>38</v>
      </c>
      <c r="H3315">
        <v>7</v>
      </c>
      <c r="I3315">
        <v>7</v>
      </c>
      <c r="J3315" s="52"/>
    </row>
    <row r="3316" spans="1:10" hidden="1" x14ac:dyDescent="0.35">
      <c r="A3316" s="2">
        <v>45930</v>
      </c>
      <c r="B3316" t="s">
        <v>98</v>
      </c>
      <c r="C3316" t="s">
        <v>94</v>
      </c>
      <c r="E3316">
        <v>15</v>
      </c>
      <c r="F3316">
        <v>1</v>
      </c>
      <c r="G3316">
        <v>17</v>
      </c>
      <c r="H3316">
        <v>0</v>
      </c>
      <c r="I3316">
        <v>9</v>
      </c>
      <c r="J3316" s="52"/>
    </row>
    <row r="3317" spans="1:10" hidden="1" x14ac:dyDescent="0.35">
      <c r="A3317" s="2">
        <v>45930</v>
      </c>
      <c r="B3317" t="s">
        <v>130</v>
      </c>
      <c r="C3317" t="s">
        <v>94</v>
      </c>
      <c r="E3317">
        <v>13</v>
      </c>
      <c r="F3317">
        <v>1</v>
      </c>
      <c r="G3317">
        <v>3</v>
      </c>
      <c r="H3317">
        <v>0</v>
      </c>
      <c r="I3317">
        <v>5</v>
      </c>
      <c r="J3317" s="52"/>
    </row>
    <row r="3318" spans="1:10" hidden="1" x14ac:dyDescent="0.35">
      <c r="A3318" s="2">
        <v>45960</v>
      </c>
      <c r="C3318" t="s">
        <v>24</v>
      </c>
      <c r="D3318">
        <v>310</v>
      </c>
      <c r="J3318" s="58">
        <v>136946</v>
      </c>
    </row>
    <row r="3319" spans="1:10" hidden="1" x14ac:dyDescent="0.35">
      <c r="A3319" s="2">
        <v>45960</v>
      </c>
      <c r="C3319" t="s">
        <v>9</v>
      </c>
      <c r="D3319">
        <v>354</v>
      </c>
      <c r="J3319" s="58">
        <v>170460</v>
      </c>
    </row>
    <row r="3320" spans="1:10" hidden="1" x14ac:dyDescent="0.35">
      <c r="A3320" s="2">
        <v>45960</v>
      </c>
      <c r="C3320" t="s">
        <v>37</v>
      </c>
      <c r="D3320">
        <v>458</v>
      </c>
      <c r="J3320" s="58">
        <v>348656</v>
      </c>
    </row>
    <row r="3321" spans="1:10" hidden="1" x14ac:dyDescent="0.35">
      <c r="A3321" s="2">
        <v>45960</v>
      </c>
      <c r="C3321" t="s">
        <v>23</v>
      </c>
      <c r="D3321">
        <v>222</v>
      </c>
      <c r="J3321" s="58">
        <v>178000</v>
      </c>
    </row>
    <row r="3322" spans="1:10" hidden="1" x14ac:dyDescent="0.35">
      <c r="A3322" s="2">
        <v>45960</v>
      </c>
      <c r="C3322" t="s">
        <v>27</v>
      </c>
      <c r="D3322">
        <v>453</v>
      </c>
      <c r="J3322" s="58">
        <v>427500</v>
      </c>
    </row>
    <row r="3323" spans="1:10" hidden="1" x14ac:dyDescent="0.35">
      <c r="A3323" s="2">
        <v>45960</v>
      </c>
      <c r="C3323" t="s">
        <v>26</v>
      </c>
      <c r="D3323">
        <v>153</v>
      </c>
      <c r="J3323" s="58">
        <v>124500</v>
      </c>
    </row>
    <row r="3324" spans="1:10" hidden="1" x14ac:dyDescent="0.35">
      <c r="A3324" s="2">
        <v>45960</v>
      </c>
      <c r="C3324" t="s">
        <v>20</v>
      </c>
      <c r="D3324">
        <v>314</v>
      </c>
      <c r="J3324" s="58">
        <v>419441.2</v>
      </c>
    </row>
    <row r="3325" spans="1:10" hidden="1" x14ac:dyDescent="0.35">
      <c r="A3325" s="2">
        <v>45960</v>
      </c>
      <c r="C3325" t="s">
        <v>25</v>
      </c>
      <c r="D3325">
        <v>226</v>
      </c>
      <c r="J3325" s="58">
        <v>124496</v>
      </c>
    </row>
    <row r="3326" spans="1:10" hidden="1" x14ac:dyDescent="0.35">
      <c r="A3326" s="2">
        <v>45960</v>
      </c>
      <c r="C3326" t="s">
        <v>19</v>
      </c>
      <c r="D3326">
        <v>353</v>
      </c>
      <c r="J3326" s="58">
        <v>293638</v>
      </c>
    </row>
    <row r="3327" spans="1:10" hidden="1" x14ac:dyDescent="0.35">
      <c r="A3327" s="2">
        <v>45960</v>
      </c>
      <c r="C3327" t="s">
        <v>21</v>
      </c>
      <c r="D3327">
        <v>341</v>
      </c>
      <c r="J3327" s="58">
        <v>116327.86</v>
      </c>
    </row>
    <row r="3328" spans="1:10" hidden="1" x14ac:dyDescent="0.35">
      <c r="A3328" s="2">
        <v>45960</v>
      </c>
      <c r="C3328" t="s">
        <v>18</v>
      </c>
      <c r="D3328">
        <v>486</v>
      </c>
      <c r="J3328" s="58">
        <v>296828</v>
      </c>
    </row>
    <row r="3329" spans="1:10" hidden="1" x14ac:dyDescent="0.35">
      <c r="A3329" s="2">
        <v>45960</v>
      </c>
      <c r="C3329" t="s">
        <v>22</v>
      </c>
      <c r="D3329">
        <v>321</v>
      </c>
      <c r="J3329" s="58">
        <v>252400</v>
      </c>
    </row>
    <row r="3330" spans="1:10" hidden="1" x14ac:dyDescent="0.35">
      <c r="A3330" s="2">
        <v>45960</v>
      </c>
      <c r="C3330" t="s">
        <v>54</v>
      </c>
      <c r="D3330">
        <v>429</v>
      </c>
      <c r="J3330" s="58">
        <v>173801</v>
      </c>
    </row>
    <row r="3331" spans="1:10" hidden="1" x14ac:dyDescent="0.35">
      <c r="A3331" s="2">
        <v>45960</v>
      </c>
      <c r="C3331" t="s">
        <v>55</v>
      </c>
      <c r="D3331">
        <v>383</v>
      </c>
      <c r="J3331" s="58">
        <v>88492</v>
      </c>
    </row>
    <row r="3332" spans="1:10" hidden="1" x14ac:dyDescent="0.35">
      <c r="A3332" s="2">
        <v>45960</v>
      </c>
      <c r="C3332" t="s">
        <v>58</v>
      </c>
      <c r="D3332">
        <v>363</v>
      </c>
      <c r="J3332" s="58">
        <v>185282</v>
      </c>
    </row>
    <row r="3333" spans="1:10" hidden="1" x14ac:dyDescent="0.35">
      <c r="A3333" s="2">
        <v>45960</v>
      </c>
      <c r="C3333" t="s">
        <v>62</v>
      </c>
      <c r="D3333">
        <v>224</v>
      </c>
      <c r="J3333" s="58">
        <v>12582</v>
      </c>
    </row>
    <row r="3334" spans="1:10" hidden="1" x14ac:dyDescent="0.35">
      <c r="A3334" s="2">
        <v>45960</v>
      </c>
      <c r="C3334" t="s">
        <v>61</v>
      </c>
      <c r="D3334">
        <v>373</v>
      </c>
      <c r="J3334" s="58">
        <v>95990</v>
      </c>
    </row>
    <row r="3335" spans="1:10" hidden="1" x14ac:dyDescent="0.35">
      <c r="A3335" s="2">
        <v>45960</v>
      </c>
      <c r="C3335" t="s">
        <v>63</v>
      </c>
      <c r="D3335">
        <v>217</v>
      </c>
      <c r="J3335" s="58">
        <v>166900</v>
      </c>
    </row>
    <row r="3336" spans="1:10" hidden="1" x14ac:dyDescent="0.35">
      <c r="A3336" s="2">
        <v>45960</v>
      </c>
      <c r="C3336" t="s">
        <v>73</v>
      </c>
      <c r="D3336">
        <v>290</v>
      </c>
      <c r="J3336" s="58">
        <v>84232</v>
      </c>
    </row>
    <row r="3337" spans="1:10" hidden="1" x14ac:dyDescent="0.35">
      <c r="A3337" s="2">
        <v>45960</v>
      </c>
      <c r="C3337" t="s">
        <v>81</v>
      </c>
      <c r="D3337">
        <v>220</v>
      </c>
      <c r="J3337" s="58">
        <v>153832</v>
      </c>
    </row>
    <row r="3338" spans="1:10" hidden="1" x14ac:dyDescent="0.35">
      <c r="A3338" s="2">
        <v>45960</v>
      </c>
      <c r="C3338" t="s">
        <v>83</v>
      </c>
      <c r="D3338">
        <v>162</v>
      </c>
      <c r="J3338" s="58">
        <v>111046</v>
      </c>
    </row>
    <row r="3339" spans="1:10" hidden="1" x14ac:dyDescent="0.35">
      <c r="A3339" s="2">
        <v>45960</v>
      </c>
      <c r="C3339" t="s">
        <v>94</v>
      </c>
      <c r="D3339">
        <v>306</v>
      </c>
      <c r="J3339" s="58">
        <v>223614</v>
      </c>
    </row>
    <row r="3340" spans="1:10" hidden="1" x14ac:dyDescent="0.35">
      <c r="A3340" s="2">
        <v>45960</v>
      </c>
      <c r="C3340" t="s">
        <v>115</v>
      </c>
      <c r="D3340">
        <v>211</v>
      </c>
      <c r="J3340" s="58">
        <v>28000</v>
      </c>
    </row>
    <row r="3341" spans="1:10" hidden="1" x14ac:dyDescent="0.35">
      <c r="A3341" s="2">
        <v>45960</v>
      </c>
      <c r="B3341" t="s">
        <v>110</v>
      </c>
      <c r="C3341" t="s">
        <v>20</v>
      </c>
      <c r="E3341">
        <v>23</v>
      </c>
      <c r="F3341">
        <v>10</v>
      </c>
      <c r="G3341">
        <v>23</v>
      </c>
      <c r="H3341">
        <v>3</v>
      </c>
      <c r="I3341">
        <v>11</v>
      </c>
      <c r="J3341" s="52"/>
    </row>
    <row r="3342" spans="1:10" hidden="1" x14ac:dyDescent="0.35">
      <c r="A3342" s="2">
        <v>45960</v>
      </c>
      <c r="B3342" t="s">
        <v>113</v>
      </c>
      <c r="C3342" t="s">
        <v>20</v>
      </c>
      <c r="E3342">
        <v>30</v>
      </c>
      <c r="F3342">
        <v>8</v>
      </c>
      <c r="G3342">
        <v>37</v>
      </c>
      <c r="H3342">
        <v>3</v>
      </c>
      <c r="I3342">
        <v>16</v>
      </c>
      <c r="J3342" s="52"/>
    </row>
    <row r="3343" spans="1:10" hidden="1" x14ac:dyDescent="0.35">
      <c r="A3343" s="2">
        <v>45960</v>
      </c>
      <c r="B3343" t="s">
        <v>113</v>
      </c>
      <c r="C3343" t="s">
        <v>26</v>
      </c>
      <c r="E3343">
        <v>20</v>
      </c>
      <c r="F3343">
        <v>4</v>
      </c>
      <c r="G3343">
        <v>46</v>
      </c>
      <c r="H3343">
        <v>2</v>
      </c>
      <c r="I3343">
        <v>9</v>
      </c>
      <c r="J3343" s="52"/>
    </row>
    <row r="3344" spans="1:10" hidden="1" x14ac:dyDescent="0.35">
      <c r="A3344" s="2">
        <v>45960</v>
      </c>
      <c r="B3344" t="s">
        <v>113</v>
      </c>
      <c r="C3344" t="s">
        <v>115</v>
      </c>
      <c r="E3344">
        <v>3</v>
      </c>
      <c r="F3344">
        <v>0</v>
      </c>
      <c r="G3344">
        <v>2</v>
      </c>
      <c r="H3344">
        <v>3</v>
      </c>
      <c r="I3344">
        <v>2</v>
      </c>
      <c r="J3344" s="52"/>
    </row>
    <row r="3345" spans="1:10" hidden="1" x14ac:dyDescent="0.35">
      <c r="A3345" s="2">
        <v>45960</v>
      </c>
      <c r="B3345" t="s">
        <v>125</v>
      </c>
      <c r="C3345" t="s">
        <v>115</v>
      </c>
      <c r="E3345">
        <v>15</v>
      </c>
      <c r="F3345">
        <v>2</v>
      </c>
      <c r="G3345">
        <v>21</v>
      </c>
      <c r="H3345">
        <v>0</v>
      </c>
      <c r="I3345">
        <v>0</v>
      </c>
      <c r="J3345" s="52"/>
    </row>
    <row r="3346" spans="1:10" hidden="1" x14ac:dyDescent="0.35">
      <c r="A3346" s="2">
        <v>45960</v>
      </c>
      <c r="B3346" t="s">
        <v>38</v>
      </c>
      <c r="C3346" t="s">
        <v>18</v>
      </c>
      <c r="E3346">
        <v>23</v>
      </c>
      <c r="F3346">
        <v>14</v>
      </c>
      <c r="G3346">
        <v>36</v>
      </c>
      <c r="H3346">
        <v>3</v>
      </c>
      <c r="I3346">
        <v>11</v>
      </c>
      <c r="J3346" s="52"/>
    </row>
    <row r="3347" spans="1:10" hidden="1" x14ac:dyDescent="0.35">
      <c r="A3347" s="2">
        <v>45960</v>
      </c>
      <c r="B3347" t="s">
        <v>116</v>
      </c>
      <c r="C3347" t="s">
        <v>18</v>
      </c>
      <c r="E3347">
        <v>29</v>
      </c>
      <c r="F3347">
        <v>33</v>
      </c>
      <c r="G3347">
        <v>19</v>
      </c>
      <c r="H3347">
        <v>6</v>
      </c>
      <c r="I3347">
        <v>9</v>
      </c>
      <c r="J3347" s="52"/>
    </row>
    <row r="3348" spans="1:10" hidden="1" x14ac:dyDescent="0.35">
      <c r="A3348" s="2">
        <v>45960</v>
      </c>
      <c r="B3348" t="s">
        <v>122</v>
      </c>
      <c r="C3348" t="s">
        <v>25</v>
      </c>
      <c r="E3348">
        <v>47</v>
      </c>
      <c r="F3348">
        <v>2</v>
      </c>
      <c r="G3348">
        <v>37</v>
      </c>
      <c r="H3348">
        <v>1</v>
      </c>
      <c r="I3348">
        <v>8</v>
      </c>
      <c r="J3348" s="52"/>
    </row>
    <row r="3349" spans="1:10" hidden="1" x14ac:dyDescent="0.35">
      <c r="A3349" s="2">
        <v>45960</v>
      </c>
      <c r="B3349" t="s">
        <v>122</v>
      </c>
      <c r="C3349" t="s">
        <v>23</v>
      </c>
      <c r="E3349">
        <v>6</v>
      </c>
      <c r="F3349">
        <v>3</v>
      </c>
      <c r="G3349">
        <v>8</v>
      </c>
      <c r="H3349">
        <v>1</v>
      </c>
      <c r="I3349">
        <v>3</v>
      </c>
      <c r="J3349" s="52"/>
    </row>
    <row r="3350" spans="1:10" hidden="1" x14ac:dyDescent="0.35">
      <c r="A3350" s="2">
        <v>45960</v>
      </c>
      <c r="B3350" t="s">
        <v>126</v>
      </c>
      <c r="C3350" t="s">
        <v>23</v>
      </c>
      <c r="E3350">
        <v>18</v>
      </c>
      <c r="F3350">
        <v>4</v>
      </c>
      <c r="G3350">
        <v>11</v>
      </c>
      <c r="H3350">
        <v>2</v>
      </c>
      <c r="I3350">
        <v>8</v>
      </c>
      <c r="J3350" s="52"/>
    </row>
    <row r="3351" spans="1:10" hidden="1" x14ac:dyDescent="0.35">
      <c r="A3351" s="2">
        <v>45960</v>
      </c>
      <c r="B3351" t="s">
        <v>102</v>
      </c>
      <c r="C3351" t="s">
        <v>24</v>
      </c>
      <c r="E3351">
        <v>2</v>
      </c>
      <c r="F3351">
        <v>0</v>
      </c>
      <c r="G3351">
        <v>0</v>
      </c>
      <c r="H3351">
        <v>0</v>
      </c>
      <c r="I3351">
        <v>2</v>
      </c>
      <c r="J3351" s="52"/>
    </row>
    <row r="3352" spans="1:10" hidden="1" x14ac:dyDescent="0.35">
      <c r="A3352" s="2">
        <v>45960</v>
      </c>
      <c r="B3352" t="s">
        <v>126</v>
      </c>
      <c r="C3352" t="s">
        <v>24</v>
      </c>
      <c r="E3352">
        <v>8</v>
      </c>
      <c r="F3352">
        <v>3</v>
      </c>
      <c r="G3352">
        <v>5</v>
      </c>
      <c r="H3352">
        <v>1</v>
      </c>
      <c r="I3352">
        <v>4</v>
      </c>
      <c r="J3352" s="52"/>
    </row>
    <row r="3353" spans="1:10" hidden="1" x14ac:dyDescent="0.35">
      <c r="A3353" s="2">
        <v>45960</v>
      </c>
      <c r="B3353" t="s">
        <v>96</v>
      </c>
      <c r="C3353" t="s">
        <v>24</v>
      </c>
      <c r="E3353">
        <v>11</v>
      </c>
      <c r="F3353">
        <v>1</v>
      </c>
      <c r="G3353">
        <v>3</v>
      </c>
      <c r="H3353">
        <v>1</v>
      </c>
      <c r="I3353">
        <v>4</v>
      </c>
      <c r="J3353" s="52"/>
    </row>
    <row r="3354" spans="1:10" hidden="1" x14ac:dyDescent="0.35">
      <c r="A3354" s="2">
        <v>45960</v>
      </c>
      <c r="B3354" t="s">
        <v>101</v>
      </c>
      <c r="C3354" t="s">
        <v>37</v>
      </c>
      <c r="E3354">
        <v>14</v>
      </c>
      <c r="F3354">
        <v>2</v>
      </c>
      <c r="G3354">
        <v>2</v>
      </c>
      <c r="H3354">
        <v>1</v>
      </c>
      <c r="I3354">
        <v>7</v>
      </c>
      <c r="J3354" s="52"/>
    </row>
    <row r="3355" spans="1:10" hidden="1" x14ac:dyDescent="0.35">
      <c r="A3355" s="2">
        <v>45960</v>
      </c>
      <c r="B3355" t="s">
        <v>102</v>
      </c>
      <c r="C3355" t="s">
        <v>37</v>
      </c>
      <c r="E3355">
        <v>12</v>
      </c>
      <c r="F3355">
        <v>6</v>
      </c>
      <c r="G3355">
        <v>25</v>
      </c>
      <c r="H3355">
        <v>3</v>
      </c>
      <c r="I3355">
        <v>8</v>
      </c>
      <c r="J3355" s="52"/>
    </row>
    <row r="3356" spans="1:10" hidden="1" x14ac:dyDescent="0.35">
      <c r="A3356" s="2">
        <v>45960</v>
      </c>
      <c r="B3356" t="s">
        <v>126</v>
      </c>
      <c r="C3356" t="s">
        <v>37</v>
      </c>
      <c r="E3356">
        <v>12</v>
      </c>
      <c r="F3356">
        <v>2</v>
      </c>
      <c r="G3356">
        <v>5</v>
      </c>
      <c r="H3356">
        <v>0</v>
      </c>
      <c r="I3356">
        <v>3</v>
      </c>
      <c r="J3356" s="52"/>
    </row>
    <row r="3357" spans="1:10" hidden="1" x14ac:dyDescent="0.35">
      <c r="A3357" s="2">
        <v>45960</v>
      </c>
      <c r="B3357" t="s">
        <v>96</v>
      </c>
      <c r="C3357" t="s">
        <v>37</v>
      </c>
      <c r="E3357">
        <v>6</v>
      </c>
      <c r="F3357">
        <v>3</v>
      </c>
      <c r="G3357">
        <v>6</v>
      </c>
      <c r="H3357">
        <v>1</v>
      </c>
      <c r="I3357">
        <v>5</v>
      </c>
      <c r="J3357" s="52"/>
    </row>
    <row r="3358" spans="1:10" hidden="1" x14ac:dyDescent="0.35">
      <c r="A3358" s="2">
        <v>45960</v>
      </c>
      <c r="B3358" t="s">
        <v>112</v>
      </c>
      <c r="C3358" t="s">
        <v>19</v>
      </c>
      <c r="E3358">
        <v>44</v>
      </c>
      <c r="F3358">
        <v>5</v>
      </c>
      <c r="G3358">
        <v>43</v>
      </c>
      <c r="H3358">
        <v>5</v>
      </c>
      <c r="I3358">
        <v>14</v>
      </c>
      <c r="J3358" s="52"/>
    </row>
    <row r="3359" spans="1:10" hidden="1" x14ac:dyDescent="0.35">
      <c r="A3359" s="2">
        <v>45960</v>
      </c>
      <c r="B3359" t="s">
        <v>40</v>
      </c>
      <c r="C3359" t="s">
        <v>19</v>
      </c>
      <c r="E3359">
        <v>27</v>
      </c>
      <c r="F3359">
        <v>1</v>
      </c>
      <c r="G3359">
        <v>29</v>
      </c>
      <c r="H3359">
        <v>4</v>
      </c>
      <c r="I3359">
        <v>7</v>
      </c>
      <c r="J3359" s="52"/>
    </row>
    <row r="3360" spans="1:10" hidden="1" x14ac:dyDescent="0.35">
      <c r="A3360" s="2">
        <v>45960</v>
      </c>
      <c r="B3360" t="s">
        <v>121</v>
      </c>
      <c r="C3360" t="s">
        <v>22</v>
      </c>
      <c r="E3360">
        <v>27</v>
      </c>
      <c r="F3360">
        <v>18</v>
      </c>
      <c r="G3360">
        <v>24</v>
      </c>
      <c r="H3360">
        <v>11</v>
      </c>
      <c r="I3360">
        <v>14</v>
      </c>
      <c r="J3360" s="52"/>
    </row>
    <row r="3361" spans="1:10" hidden="1" x14ac:dyDescent="0.35">
      <c r="A3361" s="2">
        <v>45960</v>
      </c>
      <c r="B3361" t="s">
        <v>95</v>
      </c>
      <c r="C3361" t="s">
        <v>22</v>
      </c>
      <c r="E3361">
        <v>6</v>
      </c>
      <c r="F3361">
        <v>2</v>
      </c>
      <c r="G3361">
        <v>15</v>
      </c>
      <c r="H3361">
        <v>4</v>
      </c>
      <c r="I3361">
        <v>4</v>
      </c>
      <c r="J3361" s="52"/>
    </row>
    <row r="3362" spans="1:10" hidden="1" x14ac:dyDescent="0.35">
      <c r="A3362" s="2">
        <v>45960</v>
      </c>
      <c r="B3362" t="s">
        <v>43</v>
      </c>
      <c r="C3362" t="s">
        <v>27</v>
      </c>
      <c r="E3362">
        <v>28</v>
      </c>
      <c r="F3362">
        <v>0</v>
      </c>
      <c r="G3362">
        <v>34</v>
      </c>
      <c r="H3362">
        <v>0</v>
      </c>
      <c r="I3362">
        <v>10</v>
      </c>
      <c r="J3362" s="52"/>
    </row>
    <row r="3363" spans="1:10" hidden="1" x14ac:dyDescent="0.35">
      <c r="A3363" s="2">
        <v>45960</v>
      </c>
      <c r="B3363" t="s">
        <v>84</v>
      </c>
      <c r="C3363" t="s">
        <v>27</v>
      </c>
      <c r="E3363">
        <v>31</v>
      </c>
      <c r="F3363">
        <v>0</v>
      </c>
      <c r="G3363">
        <v>36</v>
      </c>
      <c r="H3363">
        <v>0</v>
      </c>
      <c r="I3363">
        <v>17</v>
      </c>
      <c r="J3363" s="52"/>
    </row>
    <row r="3364" spans="1:10" hidden="1" x14ac:dyDescent="0.35">
      <c r="A3364" s="2">
        <v>45960</v>
      </c>
      <c r="B3364" t="s">
        <v>101</v>
      </c>
      <c r="C3364" t="s">
        <v>9</v>
      </c>
      <c r="E3364">
        <v>23</v>
      </c>
      <c r="F3364">
        <v>1</v>
      </c>
      <c r="G3364">
        <v>30</v>
      </c>
      <c r="H3364">
        <v>1</v>
      </c>
      <c r="I3364">
        <v>12</v>
      </c>
      <c r="J3364" s="52"/>
    </row>
    <row r="3365" spans="1:10" hidden="1" x14ac:dyDescent="0.35">
      <c r="A3365" s="2">
        <v>45960</v>
      </c>
      <c r="B3365" t="s">
        <v>75</v>
      </c>
      <c r="C3365" t="s">
        <v>21</v>
      </c>
      <c r="E3365">
        <v>11</v>
      </c>
      <c r="F3365">
        <v>1</v>
      </c>
      <c r="G3365">
        <v>7</v>
      </c>
      <c r="H3365">
        <v>1</v>
      </c>
      <c r="I3365">
        <v>2</v>
      </c>
      <c r="J3365" s="52"/>
    </row>
    <row r="3366" spans="1:10" hidden="1" x14ac:dyDescent="0.35">
      <c r="A3366" s="2">
        <v>45960</v>
      </c>
      <c r="B3366" t="s">
        <v>128</v>
      </c>
      <c r="C3366" t="s">
        <v>21</v>
      </c>
      <c r="E3366">
        <v>25</v>
      </c>
      <c r="F3366">
        <v>5</v>
      </c>
      <c r="G3366">
        <v>9</v>
      </c>
      <c r="H3366">
        <v>0</v>
      </c>
      <c r="I3366">
        <v>6</v>
      </c>
      <c r="J3366" s="52"/>
    </row>
    <row r="3367" spans="1:10" hidden="1" x14ac:dyDescent="0.35">
      <c r="A3367" s="2">
        <v>45960</v>
      </c>
      <c r="B3367" t="s">
        <v>117</v>
      </c>
      <c r="C3367" t="s">
        <v>54</v>
      </c>
      <c r="E3367">
        <v>30</v>
      </c>
      <c r="F3367">
        <v>9</v>
      </c>
      <c r="G3367">
        <v>32</v>
      </c>
      <c r="H3367">
        <v>5</v>
      </c>
      <c r="I3367">
        <v>8</v>
      </c>
      <c r="J3367" s="52"/>
    </row>
    <row r="3368" spans="1:10" hidden="1" x14ac:dyDescent="0.35">
      <c r="A3368" s="2">
        <v>45960</v>
      </c>
      <c r="B3368" t="s">
        <v>147</v>
      </c>
      <c r="C3368" t="s">
        <v>54</v>
      </c>
      <c r="E3368">
        <v>14</v>
      </c>
      <c r="F3368">
        <v>10</v>
      </c>
      <c r="G3368">
        <v>5</v>
      </c>
      <c r="H3368">
        <v>0</v>
      </c>
      <c r="I3368">
        <v>4</v>
      </c>
      <c r="J3368" s="52"/>
    </row>
    <row r="3369" spans="1:10" hidden="1" x14ac:dyDescent="0.35">
      <c r="A3369" s="2">
        <v>45960</v>
      </c>
      <c r="B3369" t="s">
        <v>123</v>
      </c>
      <c r="C3369" t="s">
        <v>55</v>
      </c>
      <c r="E3369">
        <v>31</v>
      </c>
      <c r="F3369">
        <v>14</v>
      </c>
      <c r="G3369">
        <v>18</v>
      </c>
      <c r="H3369">
        <v>7</v>
      </c>
      <c r="I3369">
        <v>6</v>
      </c>
      <c r="J3369" s="52"/>
    </row>
    <row r="3370" spans="1:10" hidden="1" x14ac:dyDescent="0.35">
      <c r="A3370" s="2">
        <v>45960</v>
      </c>
      <c r="B3370" t="s">
        <v>57</v>
      </c>
      <c r="C3370" t="s">
        <v>55</v>
      </c>
      <c r="E3370">
        <v>12</v>
      </c>
      <c r="F3370">
        <v>0</v>
      </c>
      <c r="G3370">
        <v>5</v>
      </c>
      <c r="H3370">
        <v>0</v>
      </c>
      <c r="I3370">
        <v>1</v>
      </c>
      <c r="J3370" s="52"/>
    </row>
    <row r="3371" spans="1:10" hidden="1" x14ac:dyDescent="0.35">
      <c r="A3371" s="2">
        <v>45960</v>
      </c>
      <c r="B3371" t="s">
        <v>107</v>
      </c>
      <c r="C3371" t="s">
        <v>58</v>
      </c>
      <c r="E3371">
        <v>27</v>
      </c>
      <c r="F3371">
        <v>10</v>
      </c>
      <c r="G3371">
        <v>26</v>
      </c>
      <c r="H3371">
        <v>9</v>
      </c>
      <c r="I3371">
        <v>11</v>
      </c>
      <c r="J3371" s="52"/>
    </row>
    <row r="3372" spans="1:10" hidden="1" x14ac:dyDescent="0.35">
      <c r="A3372" s="2">
        <v>45960</v>
      </c>
      <c r="B3372" t="s">
        <v>129</v>
      </c>
      <c r="C3372" t="s">
        <v>58</v>
      </c>
      <c r="E3372">
        <v>19</v>
      </c>
      <c r="F3372">
        <v>11</v>
      </c>
      <c r="G3372">
        <v>2</v>
      </c>
      <c r="H3372">
        <v>1</v>
      </c>
      <c r="I3372">
        <v>3</v>
      </c>
      <c r="J3372" s="52"/>
    </row>
    <row r="3373" spans="1:10" hidden="1" x14ac:dyDescent="0.35">
      <c r="A3373" s="2">
        <v>45960</v>
      </c>
      <c r="B3373" t="s">
        <v>64</v>
      </c>
      <c r="C3373" t="s">
        <v>62</v>
      </c>
      <c r="E3373">
        <v>10</v>
      </c>
      <c r="F3373">
        <v>3</v>
      </c>
      <c r="G3373">
        <v>14</v>
      </c>
      <c r="H3373">
        <v>3</v>
      </c>
      <c r="I3373">
        <v>1</v>
      </c>
      <c r="J3373" s="52"/>
    </row>
    <row r="3374" spans="1:10" hidden="1" x14ac:dyDescent="0.35">
      <c r="A3374" s="2">
        <v>45960</v>
      </c>
      <c r="B3374" t="s">
        <v>97</v>
      </c>
      <c r="C3374" t="s">
        <v>61</v>
      </c>
      <c r="E3374">
        <v>1</v>
      </c>
      <c r="F3374">
        <v>0</v>
      </c>
      <c r="G3374">
        <v>8</v>
      </c>
      <c r="H3374">
        <v>1</v>
      </c>
      <c r="I3374">
        <v>1</v>
      </c>
      <c r="J3374" s="52"/>
    </row>
    <row r="3375" spans="1:10" hidden="1" x14ac:dyDescent="0.35">
      <c r="A3375" s="2">
        <v>45960</v>
      </c>
      <c r="B3375" t="s">
        <v>118</v>
      </c>
      <c r="C3375" t="s">
        <v>61</v>
      </c>
      <c r="E3375">
        <v>24</v>
      </c>
      <c r="F3375">
        <v>8</v>
      </c>
      <c r="G3375">
        <v>7</v>
      </c>
      <c r="H3375">
        <v>1</v>
      </c>
      <c r="I3375">
        <v>6</v>
      </c>
      <c r="J3375" s="52"/>
    </row>
    <row r="3376" spans="1:10" hidden="1" x14ac:dyDescent="0.35">
      <c r="A3376" s="2">
        <v>45960</v>
      </c>
      <c r="B3376" t="s">
        <v>119</v>
      </c>
      <c r="C3376" t="s">
        <v>63</v>
      </c>
      <c r="E3376">
        <v>22</v>
      </c>
      <c r="F3376">
        <v>6</v>
      </c>
      <c r="G3376">
        <v>21</v>
      </c>
      <c r="H3376">
        <v>4</v>
      </c>
      <c r="I3376">
        <v>12</v>
      </c>
      <c r="J3376" s="52"/>
    </row>
    <row r="3377" spans="1:10" hidden="1" x14ac:dyDescent="0.35">
      <c r="A3377" s="2">
        <v>45960</v>
      </c>
      <c r="B3377" t="s">
        <v>77</v>
      </c>
      <c r="C3377" t="s">
        <v>73</v>
      </c>
      <c r="E3377">
        <v>6</v>
      </c>
      <c r="F3377">
        <v>3</v>
      </c>
      <c r="G3377">
        <v>10</v>
      </c>
      <c r="H3377">
        <v>13</v>
      </c>
      <c r="I3377">
        <v>6</v>
      </c>
      <c r="J3377" s="52"/>
    </row>
    <row r="3378" spans="1:10" hidden="1" x14ac:dyDescent="0.35">
      <c r="A3378" s="2">
        <v>45960</v>
      </c>
      <c r="B3378" t="s">
        <v>110</v>
      </c>
      <c r="C3378" t="s">
        <v>81</v>
      </c>
      <c r="E3378">
        <v>19</v>
      </c>
      <c r="F3378">
        <v>1</v>
      </c>
      <c r="G3378">
        <v>19</v>
      </c>
      <c r="H3378">
        <v>0</v>
      </c>
      <c r="I3378">
        <v>10</v>
      </c>
      <c r="J3378" s="52"/>
    </row>
    <row r="3379" spans="1:10" hidden="1" x14ac:dyDescent="0.35">
      <c r="A3379" s="2">
        <v>45960</v>
      </c>
      <c r="B3379" t="s">
        <v>85</v>
      </c>
      <c r="C3379" t="s">
        <v>83</v>
      </c>
      <c r="E3379">
        <v>24</v>
      </c>
      <c r="F3379">
        <v>7</v>
      </c>
      <c r="G3379">
        <v>33</v>
      </c>
      <c r="H3379">
        <v>3</v>
      </c>
      <c r="I3379">
        <v>8</v>
      </c>
      <c r="J3379" s="52"/>
    </row>
    <row r="3380" spans="1:10" hidden="1" x14ac:dyDescent="0.35">
      <c r="A3380" s="2">
        <v>45960</v>
      </c>
      <c r="B3380" t="s">
        <v>98</v>
      </c>
      <c r="C3380" t="s">
        <v>94</v>
      </c>
      <c r="E3380">
        <v>15</v>
      </c>
      <c r="F3380">
        <v>3</v>
      </c>
      <c r="G3380">
        <v>15</v>
      </c>
      <c r="H3380">
        <v>2</v>
      </c>
      <c r="I3380">
        <v>12</v>
      </c>
      <c r="J3380" s="52"/>
    </row>
    <row r="3381" spans="1:10" hidden="1" x14ac:dyDescent="0.35">
      <c r="A3381" s="2">
        <v>45960</v>
      </c>
      <c r="B3381" t="s">
        <v>130</v>
      </c>
      <c r="C3381" t="s">
        <v>94</v>
      </c>
      <c r="E3381">
        <v>14</v>
      </c>
      <c r="F3381">
        <v>1</v>
      </c>
      <c r="G3381">
        <v>6</v>
      </c>
      <c r="H3381">
        <v>0</v>
      </c>
      <c r="I3381">
        <v>3</v>
      </c>
      <c r="J3381" s="52"/>
    </row>
    <row r="3382" spans="1:10" hidden="1" x14ac:dyDescent="0.35">
      <c r="A3382" s="2">
        <v>45991</v>
      </c>
      <c r="C3382" t="s">
        <v>24</v>
      </c>
      <c r="D3382">
        <v>358</v>
      </c>
      <c r="J3382" s="52">
        <v>109900</v>
      </c>
    </row>
    <row r="3383" spans="1:10" hidden="1" x14ac:dyDescent="0.35">
      <c r="A3383" s="2">
        <v>45991</v>
      </c>
      <c r="C3383" t="s">
        <v>9</v>
      </c>
      <c r="D3383">
        <v>322</v>
      </c>
      <c r="J3383" s="58">
        <v>85328</v>
      </c>
    </row>
    <row r="3384" spans="1:10" hidden="1" x14ac:dyDescent="0.35">
      <c r="A3384" s="2">
        <v>45991</v>
      </c>
      <c r="C3384" t="s">
        <v>37</v>
      </c>
      <c r="D3384">
        <v>333</v>
      </c>
      <c r="J3384" s="112">
        <v>342892</v>
      </c>
    </row>
    <row r="3385" spans="1:10" hidden="1" x14ac:dyDescent="0.35">
      <c r="A3385" s="2">
        <v>45991</v>
      </c>
      <c r="C3385" t="s">
        <v>23</v>
      </c>
      <c r="D3385">
        <v>285</v>
      </c>
      <c r="J3385" s="112">
        <v>87000</v>
      </c>
    </row>
    <row r="3386" spans="1:10" hidden="1" x14ac:dyDescent="0.35">
      <c r="A3386" s="2">
        <v>45991</v>
      </c>
      <c r="C3386" t="s">
        <v>27</v>
      </c>
      <c r="D3386">
        <v>346</v>
      </c>
      <c r="J3386" s="112">
        <v>417000</v>
      </c>
    </row>
    <row r="3387" spans="1:10" hidden="1" x14ac:dyDescent="0.35">
      <c r="A3387" s="2">
        <v>45991</v>
      </c>
      <c r="C3387" t="s">
        <v>26</v>
      </c>
      <c r="D3387">
        <v>165</v>
      </c>
      <c r="J3387" s="112">
        <v>163000</v>
      </c>
    </row>
    <row r="3388" spans="1:10" hidden="1" x14ac:dyDescent="0.35">
      <c r="A3388" s="2">
        <v>45991</v>
      </c>
      <c r="C3388" t="s">
        <v>20</v>
      </c>
      <c r="D3388">
        <v>366</v>
      </c>
      <c r="J3388" s="58">
        <v>243428</v>
      </c>
    </row>
    <row r="3389" spans="1:10" hidden="1" x14ac:dyDescent="0.35">
      <c r="A3389" s="2">
        <v>45991</v>
      </c>
      <c r="C3389" t="s">
        <v>25</v>
      </c>
      <c r="D3389">
        <v>219</v>
      </c>
      <c r="J3389" s="112">
        <v>117114</v>
      </c>
    </row>
    <row r="3390" spans="1:10" hidden="1" x14ac:dyDescent="0.35">
      <c r="A3390" s="2">
        <v>45991</v>
      </c>
      <c r="C3390" t="s">
        <v>19</v>
      </c>
      <c r="D3390">
        <v>344</v>
      </c>
      <c r="J3390" s="58">
        <v>263946</v>
      </c>
    </row>
    <row r="3391" spans="1:10" hidden="1" x14ac:dyDescent="0.35">
      <c r="A3391" s="2">
        <v>45991</v>
      </c>
      <c r="C3391" t="s">
        <v>21</v>
      </c>
      <c r="D3391">
        <v>342</v>
      </c>
      <c r="J3391" s="58">
        <v>100496</v>
      </c>
    </row>
    <row r="3392" spans="1:10" hidden="1" x14ac:dyDescent="0.35">
      <c r="A3392" s="2">
        <v>45991</v>
      </c>
      <c r="C3392" t="s">
        <v>18</v>
      </c>
      <c r="D3392">
        <v>477</v>
      </c>
      <c r="J3392" s="58">
        <v>271628</v>
      </c>
    </row>
    <row r="3393" spans="1:10" hidden="1" x14ac:dyDescent="0.35">
      <c r="A3393" s="2">
        <v>45991</v>
      </c>
      <c r="C3393" t="s">
        <v>22</v>
      </c>
      <c r="D3393">
        <v>380</v>
      </c>
      <c r="J3393" s="112">
        <v>233550</v>
      </c>
    </row>
    <row r="3394" spans="1:10" hidden="1" x14ac:dyDescent="0.35">
      <c r="A3394" s="2">
        <v>45991</v>
      </c>
      <c r="C3394" t="s">
        <v>54</v>
      </c>
      <c r="D3394">
        <v>412</v>
      </c>
      <c r="J3394" s="112">
        <v>136627</v>
      </c>
    </row>
    <row r="3395" spans="1:10" hidden="1" x14ac:dyDescent="0.35">
      <c r="A3395" s="2">
        <v>45991</v>
      </c>
      <c r="C3395" t="s">
        <v>55</v>
      </c>
      <c r="D3395">
        <v>354</v>
      </c>
      <c r="J3395" s="112">
        <v>128472</v>
      </c>
    </row>
    <row r="3396" spans="1:10" hidden="1" x14ac:dyDescent="0.35">
      <c r="A3396" s="2">
        <v>45991</v>
      </c>
      <c r="C3396" t="s">
        <v>58</v>
      </c>
      <c r="D3396">
        <v>290</v>
      </c>
      <c r="J3396" s="112">
        <v>216146</v>
      </c>
    </row>
    <row r="3397" spans="1:10" hidden="1" x14ac:dyDescent="0.35">
      <c r="A3397" s="2">
        <v>45991</v>
      </c>
      <c r="C3397" t="s">
        <v>62</v>
      </c>
      <c r="D3397">
        <v>242</v>
      </c>
      <c r="J3397" s="58">
        <v>96660</v>
      </c>
    </row>
    <row r="3398" spans="1:10" hidden="1" x14ac:dyDescent="0.35">
      <c r="A3398" s="2">
        <v>45991</v>
      </c>
      <c r="C3398" t="s">
        <v>61</v>
      </c>
      <c r="D3398">
        <v>358</v>
      </c>
      <c r="J3398" s="112">
        <v>121000</v>
      </c>
    </row>
    <row r="3399" spans="1:10" hidden="1" x14ac:dyDescent="0.35">
      <c r="A3399" s="2">
        <v>45991</v>
      </c>
      <c r="C3399" t="s">
        <v>63</v>
      </c>
      <c r="D3399">
        <v>301</v>
      </c>
      <c r="J3399" s="112">
        <v>205500</v>
      </c>
    </row>
    <row r="3400" spans="1:10" hidden="1" x14ac:dyDescent="0.35">
      <c r="A3400" s="2">
        <v>45991</v>
      </c>
      <c r="C3400" t="s">
        <v>73</v>
      </c>
      <c r="D3400">
        <v>228</v>
      </c>
      <c r="J3400" s="58">
        <v>141146</v>
      </c>
    </row>
    <row r="3401" spans="1:10" hidden="1" x14ac:dyDescent="0.35">
      <c r="A3401" s="2">
        <v>45991</v>
      </c>
      <c r="C3401" t="s">
        <v>81</v>
      </c>
      <c r="D3401">
        <v>217</v>
      </c>
      <c r="J3401" s="112">
        <v>89900</v>
      </c>
    </row>
    <row r="3402" spans="1:10" hidden="1" x14ac:dyDescent="0.35">
      <c r="A3402" s="2">
        <v>45991</v>
      </c>
      <c r="C3402" t="s">
        <v>83</v>
      </c>
      <c r="D3402">
        <v>175</v>
      </c>
      <c r="J3402" s="58">
        <v>97646</v>
      </c>
    </row>
    <row r="3403" spans="1:10" hidden="1" x14ac:dyDescent="0.35">
      <c r="A3403" s="2">
        <v>45991</v>
      </c>
      <c r="C3403" t="s">
        <v>94</v>
      </c>
      <c r="D3403">
        <v>269</v>
      </c>
      <c r="J3403" s="112">
        <v>213714</v>
      </c>
    </row>
    <row r="3404" spans="1:10" hidden="1" x14ac:dyDescent="0.35">
      <c r="A3404" s="2">
        <v>45991</v>
      </c>
      <c r="C3404" t="s">
        <v>115</v>
      </c>
      <c r="D3404">
        <v>163</v>
      </c>
      <c r="J3404" s="112">
        <v>86450</v>
      </c>
    </row>
    <row r="3405" spans="1:10" hidden="1" x14ac:dyDescent="0.35">
      <c r="A3405" s="2">
        <v>45991</v>
      </c>
      <c r="B3405" t="s">
        <v>110</v>
      </c>
      <c r="C3405" t="s">
        <v>20</v>
      </c>
      <c r="E3405">
        <v>9</v>
      </c>
      <c r="F3405">
        <v>1</v>
      </c>
      <c r="G3405">
        <v>23</v>
      </c>
      <c r="H3405">
        <v>1</v>
      </c>
      <c r="I3405">
        <v>6</v>
      </c>
      <c r="J3405" s="52"/>
    </row>
    <row r="3406" spans="1:10" hidden="1" x14ac:dyDescent="0.35">
      <c r="A3406" s="2">
        <v>45991</v>
      </c>
      <c r="B3406" t="s">
        <v>113</v>
      </c>
      <c r="C3406" t="s">
        <v>20</v>
      </c>
      <c r="E3406">
        <v>30</v>
      </c>
      <c r="F3406">
        <v>4</v>
      </c>
      <c r="G3406">
        <v>32</v>
      </c>
      <c r="H3406">
        <v>3</v>
      </c>
      <c r="I3406">
        <v>10</v>
      </c>
      <c r="J3406" s="52"/>
    </row>
    <row r="3407" spans="1:10" hidden="1" x14ac:dyDescent="0.35">
      <c r="A3407" s="2">
        <v>45991</v>
      </c>
      <c r="B3407" t="s">
        <v>148</v>
      </c>
      <c r="C3407" t="s">
        <v>26</v>
      </c>
      <c r="E3407">
        <v>21</v>
      </c>
      <c r="F3407">
        <v>0</v>
      </c>
      <c r="G3407">
        <v>2</v>
      </c>
      <c r="H3407">
        <v>0</v>
      </c>
      <c r="I3407">
        <v>5</v>
      </c>
      <c r="J3407" s="52"/>
    </row>
    <row r="3408" spans="1:10" hidden="1" x14ac:dyDescent="0.35">
      <c r="A3408" s="2">
        <v>45991</v>
      </c>
      <c r="B3408" t="s">
        <v>113</v>
      </c>
      <c r="C3408" t="s">
        <v>26</v>
      </c>
      <c r="E3408">
        <v>9</v>
      </c>
      <c r="F3408">
        <v>1</v>
      </c>
      <c r="G3408">
        <v>21</v>
      </c>
      <c r="H3408">
        <v>0</v>
      </c>
      <c r="I3408">
        <v>6</v>
      </c>
      <c r="J3408" s="52"/>
    </row>
    <row r="3409" spans="1:10" hidden="1" x14ac:dyDescent="0.35">
      <c r="A3409" s="2">
        <v>45991</v>
      </c>
      <c r="B3409" t="s">
        <v>113</v>
      </c>
      <c r="C3409" t="s">
        <v>115</v>
      </c>
      <c r="E3409">
        <v>3</v>
      </c>
      <c r="F3409">
        <v>1</v>
      </c>
      <c r="G3409">
        <v>1</v>
      </c>
      <c r="H3409">
        <v>1</v>
      </c>
      <c r="I3409">
        <v>3</v>
      </c>
      <c r="J3409" s="52"/>
    </row>
    <row r="3410" spans="1:10" hidden="1" x14ac:dyDescent="0.35">
      <c r="A3410" s="2">
        <v>45991</v>
      </c>
      <c r="B3410" t="s">
        <v>125</v>
      </c>
      <c r="C3410" t="s">
        <v>115</v>
      </c>
      <c r="E3410">
        <v>0</v>
      </c>
      <c r="F3410">
        <v>0</v>
      </c>
      <c r="G3410">
        <v>12</v>
      </c>
      <c r="H3410">
        <v>4</v>
      </c>
      <c r="I3410">
        <v>0</v>
      </c>
      <c r="J3410" s="52"/>
    </row>
    <row r="3411" spans="1:10" hidden="1" x14ac:dyDescent="0.35">
      <c r="A3411" s="2">
        <v>45991</v>
      </c>
      <c r="B3411" t="s">
        <v>148</v>
      </c>
      <c r="C3411" t="s">
        <v>115</v>
      </c>
      <c r="E3411">
        <v>18</v>
      </c>
      <c r="F3411">
        <v>8</v>
      </c>
      <c r="G3411">
        <v>5</v>
      </c>
      <c r="H3411">
        <v>0</v>
      </c>
      <c r="I3411">
        <v>3</v>
      </c>
      <c r="J3411" s="52"/>
    </row>
    <row r="3412" spans="1:10" hidden="1" x14ac:dyDescent="0.35">
      <c r="A3412" s="2">
        <v>45991</v>
      </c>
      <c r="B3412" t="s">
        <v>38</v>
      </c>
      <c r="C3412" t="s">
        <v>18</v>
      </c>
      <c r="E3412">
        <v>17</v>
      </c>
      <c r="F3412">
        <v>9</v>
      </c>
      <c r="G3412">
        <v>25</v>
      </c>
      <c r="H3412">
        <v>5</v>
      </c>
      <c r="I3412">
        <v>9</v>
      </c>
      <c r="J3412" s="52"/>
    </row>
    <row r="3413" spans="1:10" hidden="1" x14ac:dyDescent="0.35">
      <c r="A3413" s="2">
        <v>45991</v>
      </c>
      <c r="B3413" t="s">
        <v>116</v>
      </c>
      <c r="C3413" t="s">
        <v>18</v>
      </c>
      <c r="E3413">
        <v>42</v>
      </c>
      <c r="F3413">
        <v>21</v>
      </c>
      <c r="G3413">
        <v>14</v>
      </c>
      <c r="H3413">
        <v>3</v>
      </c>
      <c r="I3413">
        <v>9</v>
      </c>
      <c r="J3413" s="52"/>
    </row>
    <row r="3414" spans="1:10" hidden="1" x14ac:dyDescent="0.35">
      <c r="A3414" s="2">
        <v>45991</v>
      </c>
      <c r="B3414" t="s">
        <v>122</v>
      </c>
      <c r="C3414" t="s">
        <v>25</v>
      </c>
      <c r="E3414">
        <v>38</v>
      </c>
      <c r="F3414">
        <v>1</v>
      </c>
      <c r="G3414">
        <v>30</v>
      </c>
      <c r="H3414">
        <v>0</v>
      </c>
      <c r="I3414">
        <v>8</v>
      </c>
      <c r="J3414" s="52"/>
    </row>
    <row r="3415" spans="1:10" hidden="1" x14ac:dyDescent="0.35">
      <c r="A3415" s="2">
        <v>45991</v>
      </c>
      <c r="B3415" t="s">
        <v>122</v>
      </c>
      <c r="C3415" t="s">
        <v>23</v>
      </c>
      <c r="E3415">
        <v>5</v>
      </c>
      <c r="F3415">
        <v>2</v>
      </c>
      <c r="G3415">
        <v>7</v>
      </c>
      <c r="H3415">
        <v>0</v>
      </c>
      <c r="I3415">
        <v>0</v>
      </c>
      <c r="J3415" s="52"/>
    </row>
    <row r="3416" spans="1:10" hidden="1" x14ac:dyDescent="0.35">
      <c r="A3416" s="2">
        <v>45991</v>
      </c>
      <c r="B3416" t="s">
        <v>126</v>
      </c>
      <c r="C3416" t="s">
        <v>23</v>
      </c>
      <c r="E3416">
        <v>16</v>
      </c>
      <c r="F3416">
        <v>5</v>
      </c>
      <c r="G3416">
        <v>12</v>
      </c>
      <c r="H3416">
        <v>3</v>
      </c>
      <c r="I3416">
        <v>6</v>
      </c>
      <c r="J3416" s="52"/>
    </row>
    <row r="3417" spans="1:10" hidden="1" x14ac:dyDescent="0.35">
      <c r="A3417" s="2">
        <v>45991</v>
      </c>
      <c r="B3417" t="s">
        <v>126</v>
      </c>
      <c r="C3417" t="s">
        <v>24</v>
      </c>
      <c r="E3417">
        <v>8</v>
      </c>
      <c r="F3417">
        <v>1</v>
      </c>
      <c r="G3417">
        <v>8</v>
      </c>
      <c r="H3417">
        <v>1</v>
      </c>
      <c r="I3417">
        <v>3</v>
      </c>
      <c r="J3417" s="52"/>
    </row>
    <row r="3418" spans="1:10" hidden="1" x14ac:dyDescent="0.35">
      <c r="A3418" s="2">
        <v>45991</v>
      </c>
      <c r="B3418" t="s">
        <v>96</v>
      </c>
      <c r="C3418" t="s">
        <v>24</v>
      </c>
      <c r="E3418">
        <v>5</v>
      </c>
      <c r="F3418">
        <v>3</v>
      </c>
      <c r="G3418">
        <v>5</v>
      </c>
      <c r="H3418">
        <v>2</v>
      </c>
      <c r="I3418">
        <v>4</v>
      </c>
      <c r="J3418" s="52"/>
    </row>
    <row r="3419" spans="1:10" hidden="1" x14ac:dyDescent="0.35">
      <c r="A3419" s="2">
        <v>45991</v>
      </c>
      <c r="B3419" t="s">
        <v>101</v>
      </c>
      <c r="C3419" t="s">
        <v>24</v>
      </c>
      <c r="E3419">
        <v>1</v>
      </c>
      <c r="F3419">
        <v>0</v>
      </c>
      <c r="G3419">
        <v>0</v>
      </c>
      <c r="H3419">
        <v>0</v>
      </c>
      <c r="I3419">
        <v>1</v>
      </c>
      <c r="J3419" s="52"/>
    </row>
    <row r="3420" spans="1:10" hidden="1" x14ac:dyDescent="0.35">
      <c r="A3420" s="2">
        <v>45991</v>
      </c>
      <c r="B3420" t="s">
        <v>101</v>
      </c>
      <c r="C3420" t="s">
        <v>37</v>
      </c>
      <c r="E3420">
        <v>13</v>
      </c>
      <c r="F3420">
        <v>3</v>
      </c>
      <c r="G3420">
        <v>8</v>
      </c>
      <c r="H3420">
        <v>0</v>
      </c>
      <c r="I3420">
        <v>3</v>
      </c>
      <c r="J3420" s="52"/>
    </row>
    <row r="3421" spans="1:10" hidden="1" x14ac:dyDescent="0.35">
      <c r="A3421" s="2">
        <v>45991</v>
      </c>
      <c r="B3421" t="s">
        <v>102</v>
      </c>
      <c r="C3421" t="s">
        <v>37</v>
      </c>
      <c r="E3421">
        <v>24</v>
      </c>
      <c r="F3421">
        <v>4</v>
      </c>
      <c r="G3421">
        <v>18</v>
      </c>
      <c r="H3421">
        <v>3</v>
      </c>
      <c r="I3421">
        <v>11</v>
      </c>
      <c r="J3421" s="52"/>
    </row>
    <row r="3422" spans="1:10" hidden="1" x14ac:dyDescent="0.35">
      <c r="A3422" s="2">
        <v>45991</v>
      </c>
      <c r="B3422" t="s">
        <v>126</v>
      </c>
      <c r="C3422" t="s">
        <v>37</v>
      </c>
      <c r="E3422">
        <v>11</v>
      </c>
      <c r="F3422">
        <v>2</v>
      </c>
      <c r="G3422">
        <v>7</v>
      </c>
      <c r="H3422">
        <v>1</v>
      </c>
      <c r="I3422">
        <v>4</v>
      </c>
      <c r="J3422" s="52"/>
    </row>
    <row r="3423" spans="1:10" hidden="1" x14ac:dyDescent="0.35">
      <c r="A3423" s="2">
        <v>45991</v>
      </c>
      <c r="B3423" t="s">
        <v>96</v>
      </c>
      <c r="C3423" t="s">
        <v>37</v>
      </c>
      <c r="E3423">
        <v>2</v>
      </c>
      <c r="F3423">
        <v>0</v>
      </c>
      <c r="G3423">
        <v>8</v>
      </c>
      <c r="H3423">
        <v>0</v>
      </c>
      <c r="I3423">
        <v>6</v>
      </c>
      <c r="J3423" s="52"/>
    </row>
    <row r="3424" spans="1:10" hidden="1" x14ac:dyDescent="0.35">
      <c r="A3424" s="2">
        <v>45991</v>
      </c>
      <c r="B3424" t="s">
        <v>112</v>
      </c>
      <c r="C3424" t="s">
        <v>19</v>
      </c>
      <c r="E3424">
        <v>37</v>
      </c>
      <c r="F3424">
        <v>4</v>
      </c>
      <c r="G3424">
        <v>30</v>
      </c>
      <c r="H3424">
        <v>0</v>
      </c>
      <c r="I3424">
        <v>12</v>
      </c>
      <c r="J3424" s="52"/>
    </row>
    <row r="3425" spans="1:10" hidden="1" x14ac:dyDescent="0.35">
      <c r="A3425" s="2">
        <v>45991</v>
      </c>
      <c r="B3425" t="s">
        <v>40</v>
      </c>
      <c r="C3425" t="s">
        <v>19</v>
      </c>
      <c r="E3425">
        <v>40</v>
      </c>
      <c r="F3425">
        <v>21</v>
      </c>
      <c r="G3425">
        <v>1</v>
      </c>
      <c r="H3425">
        <v>0</v>
      </c>
      <c r="I3425">
        <v>7</v>
      </c>
      <c r="J3425" s="52"/>
    </row>
    <row r="3426" spans="1:10" hidden="1" x14ac:dyDescent="0.35">
      <c r="A3426" s="2">
        <v>45991</v>
      </c>
      <c r="B3426" t="s">
        <v>121</v>
      </c>
      <c r="C3426" t="s">
        <v>22</v>
      </c>
      <c r="E3426">
        <v>25</v>
      </c>
      <c r="F3426">
        <v>10</v>
      </c>
      <c r="G3426">
        <v>21</v>
      </c>
      <c r="H3426">
        <v>8</v>
      </c>
      <c r="I3426">
        <v>9</v>
      </c>
      <c r="J3426" s="52"/>
    </row>
    <row r="3427" spans="1:10" hidden="1" x14ac:dyDescent="0.35">
      <c r="A3427" s="2">
        <v>45991</v>
      </c>
      <c r="B3427" t="s">
        <v>95</v>
      </c>
      <c r="C3427" t="s">
        <v>22</v>
      </c>
      <c r="E3427">
        <v>14</v>
      </c>
      <c r="F3427">
        <v>3</v>
      </c>
      <c r="G3427">
        <v>12</v>
      </c>
      <c r="H3427">
        <v>3</v>
      </c>
      <c r="I3427">
        <v>7</v>
      </c>
      <c r="J3427" s="52"/>
    </row>
    <row r="3428" spans="1:10" hidden="1" x14ac:dyDescent="0.35">
      <c r="A3428" s="2">
        <v>45991</v>
      </c>
      <c r="B3428" t="s">
        <v>43</v>
      </c>
      <c r="C3428" t="s">
        <v>27</v>
      </c>
      <c r="E3428">
        <v>21</v>
      </c>
      <c r="F3428">
        <v>0</v>
      </c>
      <c r="G3428">
        <v>29</v>
      </c>
      <c r="H3428">
        <v>0</v>
      </c>
      <c r="I3428">
        <v>15</v>
      </c>
      <c r="J3428" s="52"/>
    </row>
    <row r="3429" spans="1:10" hidden="1" x14ac:dyDescent="0.35">
      <c r="A3429" s="2">
        <v>45991</v>
      </c>
      <c r="B3429" t="s">
        <v>84</v>
      </c>
      <c r="C3429" t="s">
        <v>27</v>
      </c>
      <c r="E3429">
        <v>19</v>
      </c>
      <c r="F3429">
        <v>0</v>
      </c>
      <c r="G3429">
        <v>27</v>
      </c>
      <c r="H3429">
        <v>0</v>
      </c>
      <c r="I3429">
        <v>11</v>
      </c>
      <c r="J3429" s="52"/>
    </row>
    <row r="3430" spans="1:10" hidden="1" x14ac:dyDescent="0.35">
      <c r="A3430" s="2">
        <v>45991</v>
      </c>
      <c r="B3430" t="s">
        <v>101</v>
      </c>
      <c r="C3430" t="s">
        <v>9</v>
      </c>
      <c r="E3430">
        <v>27</v>
      </c>
      <c r="F3430">
        <v>1</v>
      </c>
      <c r="G3430">
        <v>15</v>
      </c>
      <c r="H3430">
        <v>3</v>
      </c>
      <c r="I3430">
        <v>6</v>
      </c>
      <c r="J3430" s="52"/>
    </row>
    <row r="3431" spans="1:10" hidden="1" x14ac:dyDescent="0.35">
      <c r="A3431" s="2">
        <v>45991</v>
      </c>
      <c r="B3431" t="s">
        <v>75</v>
      </c>
      <c r="C3431" t="s">
        <v>21</v>
      </c>
      <c r="E3431">
        <v>16</v>
      </c>
      <c r="F3431">
        <v>12</v>
      </c>
      <c r="G3431">
        <v>9</v>
      </c>
      <c r="H3431">
        <v>6</v>
      </c>
      <c r="I3431">
        <v>3</v>
      </c>
      <c r="J3431" s="52"/>
    </row>
    <row r="3432" spans="1:10" hidden="1" x14ac:dyDescent="0.35">
      <c r="A3432" s="2">
        <v>45991</v>
      </c>
      <c r="B3432" t="s">
        <v>128</v>
      </c>
      <c r="C3432" t="s">
        <v>21</v>
      </c>
      <c r="E3432">
        <v>22</v>
      </c>
      <c r="F3432">
        <v>3</v>
      </c>
      <c r="G3432">
        <v>4</v>
      </c>
      <c r="H3432">
        <v>2</v>
      </c>
      <c r="I3432">
        <v>4</v>
      </c>
      <c r="J3432" s="52"/>
    </row>
    <row r="3433" spans="1:10" hidden="1" x14ac:dyDescent="0.35">
      <c r="A3433" s="2">
        <v>45991</v>
      </c>
      <c r="B3433" t="s">
        <v>117</v>
      </c>
      <c r="C3433" t="s">
        <v>54</v>
      </c>
      <c r="E3433">
        <v>20</v>
      </c>
      <c r="F3433">
        <v>4</v>
      </c>
      <c r="G3433">
        <v>18</v>
      </c>
      <c r="H3433">
        <v>1</v>
      </c>
      <c r="I3433">
        <v>8</v>
      </c>
      <c r="J3433" s="52"/>
    </row>
    <row r="3434" spans="1:10" hidden="1" x14ac:dyDescent="0.35">
      <c r="A3434" s="2">
        <v>45991</v>
      </c>
      <c r="B3434" t="s">
        <v>147</v>
      </c>
      <c r="C3434" t="s">
        <v>54</v>
      </c>
      <c r="E3434">
        <v>21</v>
      </c>
      <c r="F3434">
        <v>4</v>
      </c>
      <c r="G3434">
        <v>0</v>
      </c>
      <c r="H3434">
        <v>0</v>
      </c>
      <c r="I3434">
        <v>1</v>
      </c>
      <c r="J3434" s="52"/>
    </row>
    <row r="3435" spans="1:10" hidden="1" x14ac:dyDescent="0.35">
      <c r="A3435" s="2">
        <v>45991</v>
      </c>
      <c r="B3435" t="s">
        <v>123</v>
      </c>
      <c r="C3435" t="s">
        <v>55</v>
      </c>
      <c r="E3435">
        <v>18</v>
      </c>
      <c r="F3435">
        <v>5</v>
      </c>
      <c r="G3435">
        <v>12</v>
      </c>
      <c r="H3435">
        <v>4</v>
      </c>
      <c r="I3435">
        <v>8</v>
      </c>
      <c r="J3435" s="52"/>
    </row>
    <row r="3436" spans="1:10" hidden="1" x14ac:dyDescent="0.35">
      <c r="A3436" s="2">
        <v>45991</v>
      </c>
      <c r="B3436" t="s">
        <v>57</v>
      </c>
      <c r="C3436" t="s">
        <v>55</v>
      </c>
      <c r="E3436">
        <v>11</v>
      </c>
      <c r="F3436">
        <v>4</v>
      </c>
      <c r="G3436">
        <v>6</v>
      </c>
      <c r="H3436">
        <v>0</v>
      </c>
      <c r="I3436">
        <v>2</v>
      </c>
      <c r="J3436" s="52"/>
    </row>
    <row r="3437" spans="1:10" hidden="1" x14ac:dyDescent="0.35">
      <c r="A3437" s="2">
        <v>45991</v>
      </c>
      <c r="B3437" t="s">
        <v>107</v>
      </c>
      <c r="C3437" t="s">
        <v>58</v>
      </c>
      <c r="E3437">
        <v>16</v>
      </c>
      <c r="F3437">
        <v>12</v>
      </c>
      <c r="G3437">
        <v>15</v>
      </c>
      <c r="H3437">
        <v>8</v>
      </c>
      <c r="I3437">
        <v>10</v>
      </c>
      <c r="J3437" s="52"/>
    </row>
    <row r="3438" spans="1:10" hidden="1" x14ac:dyDescent="0.35">
      <c r="A3438" s="2">
        <v>45991</v>
      </c>
      <c r="B3438" t="s">
        <v>129</v>
      </c>
      <c r="C3438" t="s">
        <v>58</v>
      </c>
      <c r="E3438">
        <v>8</v>
      </c>
      <c r="F3438">
        <v>8</v>
      </c>
      <c r="G3438">
        <v>6</v>
      </c>
      <c r="H3438">
        <v>1</v>
      </c>
      <c r="I3438">
        <v>6</v>
      </c>
      <c r="J3438" s="52"/>
    </row>
    <row r="3439" spans="1:10" hidden="1" x14ac:dyDescent="0.35">
      <c r="A3439" s="2">
        <v>45991</v>
      </c>
      <c r="B3439" t="s">
        <v>64</v>
      </c>
      <c r="C3439" t="s">
        <v>62</v>
      </c>
      <c r="E3439">
        <v>18</v>
      </c>
      <c r="F3439">
        <v>2</v>
      </c>
      <c r="G3439">
        <v>19</v>
      </c>
      <c r="H3439">
        <v>7</v>
      </c>
      <c r="I3439">
        <v>7</v>
      </c>
      <c r="J3439" s="52"/>
    </row>
    <row r="3440" spans="1:10" hidden="1" x14ac:dyDescent="0.35">
      <c r="A3440" s="2">
        <v>45991</v>
      </c>
      <c r="B3440" t="s">
        <v>97</v>
      </c>
      <c r="C3440" t="s">
        <v>61</v>
      </c>
      <c r="E3440">
        <v>0</v>
      </c>
      <c r="F3440">
        <v>0</v>
      </c>
      <c r="G3440">
        <v>2</v>
      </c>
      <c r="H3440">
        <v>1</v>
      </c>
      <c r="I3440">
        <v>0</v>
      </c>
      <c r="J3440" s="52"/>
    </row>
    <row r="3441" spans="1:10" hidden="1" x14ac:dyDescent="0.35">
      <c r="A3441" s="2">
        <v>45991</v>
      </c>
      <c r="B3441" t="s">
        <v>118</v>
      </c>
      <c r="C3441" t="s">
        <v>61</v>
      </c>
      <c r="E3441">
        <v>25</v>
      </c>
      <c r="F3441">
        <v>4</v>
      </c>
      <c r="G3441">
        <v>14</v>
      </c>
      <c r="H3441">
        <v>1</v>
      </c>
      <c r="I3441">
        <v>9</v>
      </c>
      <c r="J3441" s="52"/>
    </row>
    <row r="3442" spans="1:10" hidden="1" x14ac:dyDescent="0.35">
      <c r="A3442" s="2">
        <v>45991</v>
      </c>
      <c r="B3442" t="s">
        <v>119</v>
      </c>
      <c r="C3442" t="s">
        <v>63</v>
      </c>
      <c r="E3442">
        <v>31</v>
      </c>
      <c r="F3442">
        <v>11</v>
      </c>
      <c r="G3442">
        <v>16</v>
      </c>
      <c r="H3442">
        <v>6</v>
      </c>
      <c r="I3442">
        <v>15</v>
      </c>
      <c r="J3442" s="52"/>
    </row>
    <row r="3443" spans="1:10" hidden="1" x14ac:dyDescent="0.35">
      <c r="A3443" s="2">
        <v>45991</v>
      </c>
      <c r="B3443" t="s">
        <v>77</v>
      </c>
      <c r="C3443" t="s">
        <v>73</v>
      </c>
      <c r="E3443">
        <v>8</v>
      </c>
      <c r="F3443">
        <v>8</v>
      </c>
      <c r="G3443">
        <v>10</v>
      </c>
      <c r="H3443">
        <v>10</v>
      </c>
      <c r="I3443">
        <v>10</v>
      </c>
      <c r="J3443" s="52"/>
    </row>
    <row r="3444" spans="1:10" hidden="1" x14ac:dyDescent="0.35">
      <c r="A3444" s="2">
        <v>45991</v>
      </c>
      <c r="B3444" t="s">
        <v>149</v>
      </c>
      <c r="C3444" t="s">
        <v>73</v>
      </c>
      <c r="E3444">
        <v>9</v>
      </c>
      <c r="F3444">
        <v>0</v>
      </c>
      <c r="G3444">
        <v>0</v>
      </c>
      <c r="H3444">
        <v>0</v>
      </c>
      <c r="I3444">
        <v>0</v>
      </c>
      <c r="J3444" s="52"/>
    </row>
    <row r="3445" spans="1:10" hidden="1" x14ac:dyDescent="0.35">
      <c r="A3445" s="2">
        <v>45991</v>
      </c>
      <c r="B3445" t="s">
        <v>110</v>
      </c>
      <c r="C3445" t="s">
        <v>81</v>
      </c>
      <c r="E3445">
        <v>12</v>
      </c>
      <c r="F3445">
        <v>1</v>
      </c>
      <c r="G3445">
        <v>20</v>
      </c>
      <c r="H3445">
        <v>2</v>
      </c>
      <c r="I3445">
        <v>6</v>
      </c>
      <c r="J3445" s="52"/>
    </row>
    <row r="3446" spans="1:10" hidden="1" x14ac:dyDescent="0.35">
      <c r="A3446" s="2">
        <v>45991</v>
      </c>
      <c r="B3446" t="s">
        <v>85</v>
      </c>
      <c r="C3446" t="s">
        <v>83</v>
      </c>
      <c r="E3446">
        <v>15</v>
      </c>
      <c r="F3446">
        <v>8</v>
      </c>
      <c r="G3446">
        <v>15</v>
      </c>
      <c r="H3446">
        <v>0</v>
      </c>
      <c r="I3446">
        <v>7</v>
      </c>
      <c r="J3446" s="52"/>
    </row>
    <row r="3447" spans="1:10" hidden="1" x14ac:dyDescent="0.35">
      <c r="A3447" s="2">
        <v>45991</v>
      </c>
      <c r="B3447" t="s">
        <v>98</v>
      </c>
      <c r="C3447" t="s">
        <v>94</v>
      </c>
      <c r="E3447">
        <v>11</v>
      </c>
      <c r="F3447">
        <v>0</v>
      </c>
      <c r="G3447">
        <v>16</v>
      </c>
      <c r="H3447">
        <v>4</v>
      </c>
      <c r="I3447">
        <v>9</v>
      </c>
      <c r="J3447" s="52"/>
    </row>
    <row r="3448" spans="1:10" hidden="1" x14ac:dyDescent="0.35">
      <c r="A3448" s="2">
        <v>45991</v>
      </c>
      <c r="B3448" t="s">
        <v>130</v>
      </c>
      <c r="C3448" t="s">
        <v>94</v>
      </c>
      <c r="E3448">
        <v>11</v>
      </c>
      <c r="F3448">
        <v>1</v>
      </c>
      <c r="G3448">
        <v>3</v>
      </c>
      <c r="H3448">
        <v>1</v>
      </c>
      <c r="I3448">
        <v>6</v>
      </c>
      <c r="J3448" s="52"/>
    </row>
    <row r="3449" spans="1:10" hidden="1" x14ac:dyDescent="0.35">
      <c r="A3449" s="2">
        <v>46021</v>
      </c>
      <c r="B3449" t="s">
        <v>110</v>
      </c>
      <c r="C3449" t="s">
        <v>20</v>
      </c>
      <c r="E3449">
        <v>14</v>
      </c>
      <c r="F3449">
        <v>3</v>
      </c>
      <c r="G3449">
        <v>23</v>
      </c>
      <c r="H3449">
        <v>0</v>
      </c>
      <c r="I3449">
        <v>12</v>
      </c>
      <c r="J3449" s="52"/>
    </row>
    <row r="3450" spans="1:10" hidden="1" x14ac:dyDescent="0.35">
      <c r="A3450" s="2">
        <v>46021</v>
      </c>
      <c r="B3450" t="s">
        <v>113</v>
      </c>
      <c r="C3450" t="s">
        <v>20</v>
      </c>
      <c r="E3450">
        <v>22</v>
      </c>
      <c r="F3450">
        <v>3</v>
      </c>
      <c r="G3450">
        <v>28</v>
      </c>
      <c r="H3450">
        <v>2</v>
      </c>
      <c r="I3450">
        <v>10</v>
      </c>
      <c r="J3450" s="52"/>
    </row>
    <row r="3451" spans="1:10" hidden="1" x14ac:dyDescent="0.35">
      <c r="A3451" s="2">
        <v>46021</v>
      </c>
      <c r="B3451" t="s">
        <v>148</v>
      </c>
      <c r="C3451" t="s">
        <v>26</v>
      </c>
      <c r="E3451">
        <v>11</v>
      </c>
      <c r="F3451">
        <v>1</v>
      </c>
      <c r="G3451">
        <v>7</v>
      </c>
      <c r="H3451">
        <v>0</v>
      </c>
      <c r="I3451">
        <v>4</v>
      </c>
      <c r="J3451" s="52"/>
    </row>
    <row r="3452" spans="1:10" hidden="1" x14ac:dyDescent="0.35">
      <c r="A3452" s="2">
        <v>46021</v>
      </c>
      <c r="B3452" t="s">
        <v>113</v>
      </c>
      <c r="C3452" t="s">
        <v>26</v>
      </c>
      <c r="E3452">
        <v>1</v>
      </c>
      <c r="F3452">
        <v>0</v>
      </c>
      <c r="G3452">
        <v>34</v>
      </c>
      <c r="H3452">
        <v>0</v>
      </c>
      <c r="I3452">
        <v>5</v>
      </c>
      <c r="J3452" s="52"/>
    </row>
    <row r="3453" spans="1:10" hidden="1" x14ac:dyDescent="0.35">
      <c r="A3453" s="2">
        <v>46021</v>
      </c>
      <c r="B3453" t="s">
        <v>113</v>
      </c>
      <c r="C3453" t="s">
        <v>115</v>
      </c>
      <c r="E3453">
        <v>0</v>
      </c>
      <c r="F3453">
        <v>1</v>
      </c>
      <c r="G3453">
        <v>3</v>
      </c>
      <c r="H3453">
        <v>0</v>
      </c>
      <c r="I3453">
        <v>1</v>
      </c>
      <c r="J3453" s="52"/>
    </row>
    <row r="3454" spans="1:10" hidden="1" x14ac:dyDescent="0.35">
      <c r="A3454" s="2">
        <v>46021</v>
      </c>
      <c r="B3454" t="s">
        <v>148</v>
      </c>
      <c r="C3454" t="s">
        <v>115</v>
      </c>
      <c r="E3454">
        <v>12</v>
      </c>
      <c r="F3454">
        <v>0</v>
      </c>
      <c r="G3454">
        <v>11</v>
      </c>
      <c r="H3454">
        <v>0</v>
      </c>
      <c r="I3454">
        <v>6</v>
      </c>
      <c r="J3454" s="52"/>
    </row>
    <row r="3455" spans="1:10" hidden="1" x14ac:dyDescent="0.35">
      <c r="A3455" s="2">
        <v>46021</v>
      </c>
      <c r="B3455" t="s">
        <v>38</v>
      </c>
      <c r="C3455" t="s">
        <v>18</v>
      </c>
      <c r="E3455">
        <v>9</v>
      </c>
      <c r="F3455">
        <v>11</v>
      </c>
      <c r="G3455">
        <v>32</v>
      </c>
      <c r="H3455">
        <v>7</v>
      </c>
      <c r="I3455">
        <v>9</v>
      </c>
      <c r="J3455" s="52"/>
    </row>
    <row r="3456" spans="1:10" hidden="1" x14ac:dyDescent="0.35">
      <c r="A3456" s="2">
        <v>46021</v>
      </c>
      <c r="B3456" t="s">
        <v>116</v>
      </c>
      <c r="C3456" t="s">
        <v>18</v>
      </c>
      <c r="E3456">
        <v>20</v>
      </c>
      <c r="F3456">
        <v>11</v>
      </c>
      <c r="G3456">
        <v>18</v>
      </c>
      <c r="H3456">
        <v>5</v>
      </c>
      <c r="I3456">
        <v>11</v>
      </c>
      <c r="J3456" s="52"/>
    </row>
    <row r="3457" spans="1:10" hidden="1" x14ac:dyDescent="0.35">
      <c r="A3457" s="2">
        <v>46021</v>
      </c>
      <c r="B3457" t="s">
        <v>122</v>
      </c>
      <c r="C3457" t="s">
        <v>25</v>
      </c>
      <c r="E3457">
        <v>18</v>
      </c>
      <c r="F3457">
        <v>0</v>
      </c>
      <c r="G3457">
        <v>23</v>
      </c>
      <c r="H3457">
        <v>2</v>
      </c>
      <c r="I3457">
        <v>16</v>
      </c>
      <c r="J3457" s="52"/>
    </row>
    <row r="3458" spans="1:10" hidden="1" x14ac:dyDescent="0.35">
      <c r="A3458" s="2">
        <v>46021</v>
      </c>
      <c r="B3458" t="s">
        <v>122</v>
      </c>
      <c r="C3458" t="s">
        <v>23</v>
      </c>
      <c r="E3458">
        <v>1</v>
      </c>
      <c r="F3458">
        <v>1</v>
      </c>
      <c r="G3458">
        <v>1</v>
      </c>
      <c r="H3458">
        <v>0</v>
      </c>
      <c r="I3458">
        <v>1</v>
      </c>
      <c r="J3458" s="52"/>
    </row>
    <row r="3459" spans="1:10" hidden="1" x14ac:dyDescent="0.35">
      <c r="A3459" s="2">
        <v>46021</v>
      </c>
      <c r="B3459" t="s">
        <v>126</v>
      </c>
      <c r="C3459" t="s">
        <v>23</v>
      </c>
      <c r="E3459">
        <v>14</v>
      </c>
      <c r="F3459">
        <v>2</v>
      </c>
      <c r="G3459">
        <v>15</v>
      </c>
      <c r="H3459">
        <v>3</v>
      </c>
      <c r="I3459">
        <v>7</v>
      </c>
      <c r="J3459" s="52"/>
    </row>
    <row r="3460" spans="1:10" hidden="1" x14ac:dyDescent="0.35">
      <c r="A3460" s="2">
        <v>46021</v>
      </c>
      <c r="B3460" t="s">
        <v>101</v>
      </c>
      <c r="C3460" t="s">
        <v>23</v>
      </c>
      <c r="E3460">
        <v>5</v>
      </c>
      <c r="F3460">
        <v>1</v>
      </c>
      <c r="G3460">
        <v>0</v>
      </c>
      <c r="H3460">
        <v>0</v>
      </c>
      <c r="I3460">
        <v>1</v>
      </c>
      <c r="J3460" s="52"/>
    </row>
    <row r="3461" spans="1:10" hidden="1" x14ac:dyDescent="0.35">
      <c r="A3461" s="2">
        <v>46021</v>
      </c>
      <c r="B3461" t="s">
        <v>101</v>
      </c>
      <c r="C3461" t="s">
        <v>24</v>
      </c>
      <c r="E3461">
        <v>1</v>
      </c>
      <c r="F3461">
        <v>0</v>
      </c>
      <c r="G3461">
        <v>0</v>
      </c>
      <c r="H3461">
        <v>0</v>
      </c>
      <c r="I3461">
        <v>1</v>
      </c>
      <c r="J3461" s="52"/>
    </row>
    <row r="3462" spans="1:10" hidden="1" x14ac:dyDescent="0.35">
      <c r="A3462" s="2">
        <v>46021</v>
      </c>
      <c r="B3462" t="s">
        <v>126</v>
      </c>
      <c r="C3462" t="s">
        <v>24</v>
      </c>
      <c r="E3462">
        <v>4</v>
      </c>
      <c r="F3462">
        <v>5</v>
      </c>
      <c r="G3462">
        <v>5</v>
      </c>
      <c r="H3462">
        <v>2</v>
      </c>
      <c r="I3462">
        <v>8</v>
      </c>
      <c r="J3462" s="52"/>
    </row>
    <row r="3463" spans="1:10" hidden="1" x14ac:dyDescent="0.35">
      <c r="A3463" s="2">
        <v>46021</v>
      </c>
      <c r="B3463" t="s">
        <v>96</v>
      </c>
      <c r="C3463" t="s">
        <v>24</v>
      </c>
      <c r="E3463">
        <v>5</v>
      </c>
      <c r="F3463">
        <v>0</v>
      </c>
      <c r="G3463">
        <v>5</v>
      </c>
      <c r="H3463">
        <v>2</v>
      </c>
      <c r="I3463">
        <v>6</v>
      </c>
      <c r="J3463" s="52"/>
    </row>
    <row r="3464" spans="1:10" hidden="1" x14ac:dyDescent="0.35">
      <c r="A3464" s="2">
        <v>46021</v>
      </c>
      <c r="B3464" t="s">
        <v>102</v>
      </c>
      <c r="C3464" t="s">
        <v>24</v>
      </c>
      <c r="E3464">
        <v>1</v>
      </c>
      <c r="F3464">
        <v>0</v>
      </c>
      <c r="G3464">
        <v>0</v>
      </c>
      <c r="H3464">
        <v>0</v>
      </c>
      <c r="I3464">
        <v>2</v>
      </c>
      <c r="J3464" s="52"/>
    </row>
    <row r="3465" spans="1:10" hidden="1" x14ac:dyDescent="0.35">
      <c r="A3465" s="2">
        <v>46021</v>
      </c>
      <c r="B3465" t="s">
        <v>101</v>
      </c>
      <c r="C3465" t="s">
        <v>37</v>
      </c>
      <c r="E3465">
        <v>3</v>
      </c>
      <c r="F3465">
        <v>1</v>
      </c>
      <c r="G3465">
        <v>12</v>
      </c>
      <c r="H3465">
        <v>1</v>
      </c>
      <c r="I3465">
        <v>1</v>
      </c>
      <c r="J3465" s="52"/>
    </row>
    <row r="3466" spans="1:10" hidden="1" x14ac:dyDescent="0.35">
      <c r="A3466" s="2">
        <v>46021</v>
      </c>
      <c r="B3466" t="s">
        <v>102</v>
      </c>
      <c r="C3466" t="s">
        <v>37</v>
      </c>
      <c r="E3466">
        <v>15</v>
      </c>
      <c r="F3466">
        <v>5</v>
      </c>
      <c r="G3466">
        <v>14</v>
      </c>
      <c r="H3466">
        <v>2</v>
      </c>
      <c r="I3466">
        <v>10</v>
      </c>
      <c r="J3466" s="52"/>
    </row>
    <row r="3467" spans="1:10" hidden="1" x14ac:dyDescent="0.35">
      <c r="A3467" s="2">
        <v>46021</v>
      </c>
      <c r="B3467" t="s">
        <v>126</v>
      </c>
      <c r="C3467" t="s">
        <v>37</v>
      </c>
      <c r="E3467">
        <v>3</v>
      </c>
      <c r="F3467">
        <v>2</v>
      </c>
      <c r="G3467">
        <v>10</v>
      </c>
      <c r="H3467">
        <v>1</v>
      </c>
      <c r="I3467">
        <v>4</v>
      </c>
      <c r="J3467" s="52"/>
    </row>
    <row r="3468" spans="1:10" hidden="1" x14ac:dyDescent="0.35">
      <c r="A3468" s="2">
        <v>46021</v>
      </c>
      <c r="B3468" t="s">
        <v>96</v>
      </c>
      <c r="C3468" t="s">
        <v>37</v>
      </c>
      <c r="E3468">
        <v>10</v>
      </c>
      <c r="F3468">
        <v>3</v>
      </c>
      <c r="G3468">
        <v>1</v>
      </c>
      <c r="H3468">
        <v>0</v>
      </c>
      <c r="I3468">
        <v>3</v>
      </c>
      <c r="J3468" s="52"/>
    </row>
    <row r="3469" spans="1:10" hidden="1" x14ac:dyDescent="0.35">
      <c r="A3469" s="2">
        <v>46021</v>
      </c>
      <c r="B3469" t="s">
        <v>112</v>
      </c>
      <c r="C3469" t="s">
        <v>19</v>
      </c>
      <c r="E3469">
        <v>17</v>
      </c>
      <c r="F3469">
        <v>2</v>
      </c>
      <c r="G3469">
        <v>20</v>
      </c>
      <c r="H3469">
        <v>2</v>
      </c>
      <c r="I3469">
        <v>10</v>
      </c>
      <c r="J3469" s="52"/>
    </row>
    <row r="3470" spans="1:10" hidden="1" x14ac:dyDescent="0.35">
      <c r="A3470" s="2">
        <v>46021</v>
      </c>
      <c r="B3470" t="s">
        <v>40</v>
      </c>
      <c r="C3470" t="s">
        <v>19</v>
      </c>
      <c r="E3470">
        <v>16</v>
      </c>
      <c r="F3470">
        <v>2</v>
      </c>
      <c r="G3470">
        <v>25</v>
      </c>
      <c r="H3470">
        <v>0</v>
      </c>
      <c r="I3470">
        <v>8</v>
      </c>
      <c r="J3470" s="52"/>
    </row>
    <row r="3471" spans="1:10" hidden="1" x14ac:dyDescent="0.35">
      <c r="A3471" s="2">
        <v>46021</v>
      </c>
      <c r="B3471" t="s">
        <v>121</v>
      </c>
      <c r="C3471" t="s">
        <v>19</v>
      </c>
      <c r="E3471">
        <v>3</v>
      </c>
      <c r="F3471">
        <v>0</v>
      </c>
      <c r="G3471">
        <v>0</v>
      </c>
      <c r="H3471">
        <v>0</v>
      </c>
      <c r="I3471">
        <v>2</v>
      </c>
      <c r="J3471" s="52"/>
    </row>
    <row r="3472" spans="1:10" hidden="1" x14ac:dyDescent="0.35">
      <c r="A3472" s="2">
        <v>46021</v>
      </c>
      <c r="B3472" t="s">
        <v>121</v>
      </c>
      <c r="C3472" t="s">
        <v>22</v>
      </c>
      <c r="E3472">
        <v>13</v>
      </c>
      <c r="F3472">
        <v>9</v>
      </c>
      <c r="G3472">
        <v>25</v>
      </c>
      <c r="H3472">
        <v>5</v>
      </c>
      <c r="I3472">
        <v>7</v>
      </c>
      <c r="J3472" s="52"/>
    </row>
    <row r="3473" spans="1:10" hidden="1" x14ac:dyDescent="0.35">
      <c r="A3473" s="2">
        <v>46021</v>
      </c>
      <c r="B3473" t="s">
        <v>95</v>
      </c>
      <c r="C3473" t="s">
        <v>22</v>
      </c>
      <c r="E3473">
        <v>5</v>
      </c>
      <c r="F3473">
        <v>1</v>
      </c>
      <c r="G3473">
        <v>14</v>
      </c>
      <c r="H3473">
        <v>5</v>
      </c>
      <c r="I3473">
        <v>8</v>
      </c>
      <c r="J3473" s="52"/>
    </row>
    <row r="3474" spans="1:10" hidden="1" x14ac:dyDescent="0.35">
      <c r="A3474" s="2">
        <v>46021</v>
      </c>
      <c r="B3474" t="s">
        <v>43</v>
      </c>
      <c r="C3474" t="s">
        <v>27</v>
      </c>
      <c r="E3474">
        <v>16</v>
      </c>
      <c r="F3474">
        <v>0</v>
      </c>
      <c r="G3474">
        <v>22</v>
      </c>
      <c r="H3474">
        <v>0</v>
      </c>
      <c r="I3474">
        <v>7</v>
      </c>
      <c r="J3474" s="52"/>
    </row>
    <row r="3475" spans="1:10" hidden="1" x14ac:dyDescent="0.35">
      <c r="A3475" s="2">
        <v>46021</v>
      </c>
      <c r="B3475" t="s">
        <v>84</v>
      </c>
      <c r="C3475" t="s">
        <v>27</v>
      </c>
      <c r="E3475">
        <v>16</v>
      </c>
      <c r="F3475">
        <v>0</v>
      </c>
      <c r="G3475">
        <v>26</v>
      </c>
      <c r="H3475">
        <v>0</v>
      </c>
      <c r="I3475">
        <v>12</v>
      </c>
      <c r="J3475" s="52"/>
    </row>
    <row r="3476" spans="1:10" hidden="1" x14ac:dyDescent="0.35">
      <c r="A3476" s="2">
        <v>46021</v>
      </c>
      <c r="B3476" t="s">
        <v>101</v>
      </c>
      <c r="C3476" t="s">
        <v>9</v>
      </c>
      <c r="E3476">
        <v>22</v>
      </c>
      <c r="F3476">
        <v>0</v>
      </c>
      <c r="G3476">
        <v>14</v>
      </c>
      <c r="H3476">
        <v>1</v>
      </c>
      <c r="I3476">
        <v>8</v>
      </c>
      <c r="J3476" s="52"/>
    </row>
    <row r="3477" spans="1:10" hidden="1" x14ac:dyDescent="0.35">
      <c r="A3477" s="2">
        <v>46021</v>
      </c>
      <c r="B3477" t="s">
        <v>75</v>
      </c>
      <c r="C3477" t="s">
        <v>21</v>
      </c>
      <c r="E3477">
        <v>8</v>
      </c>
      <c r="F3477">
        <v>1</v>
      </c>
      <c r="G3477">
        <v>5</v>
      </c>
      <c r="H3477">
        <v>1</v>
      </c>
      <c r="I3477">
        <v>8</v>
      </c>
      <c r="J3477" s="52"/>
    </row>
    <row r="3478" spans="1:10" hidden="1" x14ac:dyDescent="0.35">
      <c r="A3478" s="2">
        <v>46021</v>
      </c>
      <c r="B3478" t="s">
        <v>128</v>
      </c>
      <c r="C3478" t="s">
        <v>21</v>
      </c>
      <c r="E3478">
        <v>25</v>
      </c>
      <c r="F3478">
        <v>5</v>
      </c>
      <c r="G3478">
        <v>14</v>
      </c>
      <c r="H3478">
        <v>1</v>
      </c>
      <c r="I3478">
        <v>1</v>
      </c>
      <c r="J3478" s="52"/>
    </row>
    <row r="3479" spans="1:10" hidden="1" x14ac:dyDescent="0.35">
      <c r="A3479" s="2">
        <v>46021</v>
      </c>
      <c r="B3479" t="s">
        <v>117</v>
      </c>
      <c r="C3479" t="s">
        <v>54</v>
      </c>
      <c r="E3479">
        <v>21</v>
      </c>
      <c r="F3479">
        <v>7</v>
      </c>
      <c r="G3479">
        <v>15</v>
      </c>
      <c r="H3479">
        <v>3</v>
      </c>
      <c r="I3479">
        <v>6</v>
      </c>
      <c r="J3479" s="52"/>
    </row>
    <row r="3480" spans="1:10" hidden="1" x14ac:dyDescent="0.35">
      <c r="A3480" s="2">
        <v>46021</v>
      </c>
      <c r="B3480" t="s">
        <v>147</v>
      </c>
      <c r="C3480" t="s">
        <v>54</v>
      </c>
      <c r="E3480">
        <v>7</v>
      </c>
      <c r="F3480">
        <v>5</v>
      </c>
      <c r="G3480">
        <v>3</v>
      </c>
      <c r="H3480">
        <v>0</v>
      </c>
      <c r="I3480">
        <v>3</v>
      </c>
      <c r="J3480" s="52"/>
    </row>
    <row r="3481" spans="1:10" hidden="1" x14ac:dyDescent="0.35">
      <c r="A3481" s="2">
        <v>46021</v>
      </c>
      <c r="B3481" t="s">
        <v>123</v>
      </c>
      <c r="C3481" t="s">
        <v>55</v>
      </c>
      <c r="E3481">
        <v>9</v>
      </c>
      <c r="F3481">
        <v>2</v>
      </c>
      <c r="G3481">
        <v>12</v>
      </c>
      <c r="H3481">
        <v>9</v>
      </c>
      <c r="I3481">
        <v>6</v>
      </c>
      <c r="J3481" s="52"/>
    </row>
    <row r="3482" spans="1:10" hidden="1" x14ac:dyDescent="0.35">
      <c r="A3482" s="2">
        <v>46021</v>
      </c>
      <c r="B3482" t="s">
        <v>57</v>
      </c>
      <c r="C3482" t="s">
        <v>55</v>
      </c>
      <c r="E3482">
        <v>10</v>
      </c>
      <c r="F3482">
        <v>1</v>
      </c>
      <c r="G3482">
        <v>4</v>
      </c>
      <c r="H3482">
        <v>0</v>
      </c>
      <c r="I3482">
        <v>7</v>
      </c>
      <c r="J3482" s="52"/>
    </row>
    <row r="3483" spans="1:10" hidden="1" x14ac:dyDescent="0.35">
      <c r="A3483" s="2">
        <v>46021</v>
      </c>
      <c r="B3483" t="s">
        <v>107</v>
      </c>
      <c r="C3483" t="s">
        <v>58</v>
      </c>
      <c r="E3483">
        <v>13</v>
      </c>
      <c r="F3483">
        <v>7</v>
      </c>
      <c r="G3483">
        <v>1</v>
      </c>
      <c r="H3483">
        <v>9</v>
      </c>
      <c r="I3483">
        <v>7</v>
      </c>
      <c r="J3483" s="52"/>
    </row>
    <row r="3484" spans="1:10" hidden="1" x14ac:dyDescent="0.35">
      <c r="A3484" s="2">
        <v>46021</v>
      </c>
      <c r="B3484" t="s">
        <v>129</v>
      </c>
      <c r="C3484" t="s">
        <v>58</v>
      </c>
      <c r="E3484">
        <v>15</v>
      </c>
      <c r="F3484">
        <v>5</v>
      </c>
      <c r="G3484">
        <v>4</v>
      </c>
      <c r="H3484">
        <v>1</v>
      </c>
      <c r="I3484">
        <v>3</v>
      </c>
      <c r="J3484" s="52"/>
    </row>
    <row r="3485" spans="1:10" hidden="1" x14ac:dyDescent="0.35">
      <c r="A3485" s="2">
        <v>46021</v>
      </c>
      <c r="B3485" t="s">
        <v>64</v>
      </c>
      <c r="C3485" t="s">
        <v>62</v>
      </c>
      <c r="E3485">
        <v>8</v>
      </c>
      <c r="F3485">
        <v>0</v>
      </c>
      <c r="G3485">
        <v>19</v>
      </c>
      <c r="H3485">
        <v>8</v>
      </c>
      <c r="I3485">
        <v>2</v>
      </c>
      <c r="J3485" s="52"/>
    </row>
    <row r="3486" spans="1:10" hidden="1" x14ac:dyDescent="0.35">
      <c r="A3486" s="2">
        <v>46021</v>
      </c>
      <c r="B3486" t="s">
        <v>118</v>
      </c>
      <c r="C3486" t="s">
        <v>61</v>
      </c>
      <c r="E3486">
        <v>14</v>
      </c>
      <c r="F3486">
        <v>1</v>
      </c>
      <c r="G3486">
        <v>18</v>
      </c>
      <c r="H3486">
        <v>2</v>
      </c>
      <c r="I3486">
        <v>10</v>
      </c>
      <c r="J3486" s="52"/>
    </row>
    <row r="3487" spans="1:10" hidden="1" x14ac:dyDescent="0.35">
      <c r="A3487" s="2">
        <v>46021</v>
      </c>
      <c r="B3487" t="s">
        <v>84</v>
      </c>
      <c r="C3487" t="s">
        <v>61</v>
      </c>
      <c r="E3487">
        <v>0</v>
      </c>
      <c r="F3487">
        <v>1</v>
      </c>
      <c r="G3487">
        <v>0</v>
      </c>
      <c r="H3487">
        <v>0</v>
      </c>
      <c r="I3487">
        <v>0</v>
      </c>
      <c r="J3487" s="52"/>
    </row>
    <row r="3488" spans="1:10" hidden="1" x14ac:dyDescent="0.35">
      <c r="A3488" s="2">
        <v>46021</v>
      </c>
      <c r="B3488" t="s">
        <v>119</v>
      </c>
      <c r="C3488" t="s">
        <v>63</v>
      </c>
      <c r="E3488">
        <v>17</v>
      </c>
      <c r="F3488">
        <v>6</v>
      </c>
      <c r="G3488">
        <v>15</v>
      </c>
      <c r="H3488">
        <v>1</v>
      </c>
      <c r="I3488">
        <v>15</v>
      </c>
      <c r="J3488" s="52"/>
    </row>
    <row r="3489" spans="1:10" hidden="1" x14ac:dyDescent="0.35">
      <c r="A3489" s="2">
        <v>46021</v>
      </c>
      <c r="B3489" t="s">
        <v>77</v>
      </c>
      <c r="C3489" t="s">
        <v>73</v>
      </c>
      <c r="E3489">
        <v>8</v>
      </c>
      <c r="F3489">
        <v>1</v>
      </c>
      <c r="G3489">
        <v>25</v>
      </c>
      <c r="H3489">
        <v>11</v>
      </c>
      <c r="I3489">
        <v>9</v>
      </c>
      <c r="J3489" s="52"/>
    </row>
    <row r="3490" spans="1:10" hidden="1" x14ac:dyDescent="0.35">
      <c r="A3490" s="2">
        <v>46021</v>
      </c>
      <c r="B3490" t="s">
        <v>110</v>
      </c>
      <c r="C3490" t="s">
        <v>81</v>
      </c>
      <c r="E3490">
        <v>10</v>
      </c>
      <c r="F3490">
        <v>1</v>
      </c>
      <c r="G3490">
        <v>14</v>
      </c>
      <c r="H3490">
        <v>1</v>
      </c>
      <c r="I3490">
        <v>8</v>
      </c>
      <c r="J3490" s="52"/>
    </row>
    <row r="3491" spans="1:10" hidden="1" x14ac:dyDescent="0.35">
      <c r="A3491" s="2">
        <v>46021</v>
      </c>
      <c r="B3491" t="s">
        <v>85</v>
      </c>
      <c r="C3491" t="s">
        <v>83</v>
      </c>
      <c r="E3491">
        <v>14</v>
      </c>
      <c r="F3491">
        <v>4</v>
      </c>
      <c r="G3491">
        <v>28</v>
      </c>
      <c r="H3491">
        <v>6</v>
      </c>
      <c r="I3491">
        <v>10</v>
      </c>
      <c r="J3491" s="52"/>
    </row>
    <row r="3492" spans="1:10" hidden="1" x14ac:dyDescent="0.35">
      <c r="A3492" s="2">
        <v>46021</v>
      </c>
      <c r="B3492" t="s">
        <v>98</v>
      </c>
      <c r="C3492" t="s">
        <v>94</v>
      </c>
      <c r="E3492">
        <v>6</v>
      </c>
      <c r="F3492">
        <v>0</v>
      </c>
      <c r="G3492">
        <v>15</v>
      </c>
      <c r="H3492">
        <v>0</v>
      </c>
      <c r="I3492">
        <v>2</v>
      </c>
      <c r="J3492" s="52"/>
    </row>
    <row r="3493" spans="1:10" hidden="1" x14ac:dyDescent="0.35">
      <c r="A3493" s="2">
        <v>46021</v>
      </c>
      <c r="B3493" t="s">
        <v>130</v>
      </c>
      <c r="C3493" t="s">
        <v>94</v>
      </c>
      <c r="E3493">
        <v>13</v>
      </c>
      <c r="F3493">
        <v>0</v>
      </c>
      <c r="G3493">
        <v>5</v>
      </c>
      <c r="H3493">
        <v>1</v>
      </c>
      <c r="I3493">
        <v>3</v>
      </c>
      <c r="J3493" s="52"/>
    </row>
    <row r="3494" spans="1:10" hidden="1" x14ac:dyDescent="0.35">
      <c r="A3494" s="2">
        <v>46021</v>
      </c>
      <c r="C3494" t="s">
        <v>24</v>
      </c>
      <c r="D3494">
        <v>254</v>
      </c>
      <c r="J3494" s="58">
        <v>222400</v>
      </c>
    </row>
    <row r="3495" spans="1:10" hidden="1" x14ac:dyDescent="0.35">
      <c r="A3495" s="2">
        <v>46021</v>
      </c>
      <c r="C3495" t="s">
        <v>9</v>
      </c>
      <c r="D3495">
        <v>305</v>
      </c>
      <c r="J3495" s="58">
        <v>118210</v>
      </c>
    </row>
    <row r="3496" spans="1:10" hidden="1" x14ac:dyDescent="0.35">
      <c r="A3496" s="2">
        <v>46021</v>
      </c>
      <c r="C3496" t="s">
        <v>37</v>
      </c>
      <c r="D3496">
        <v>261</v>
      </c>
      <c r="J3496" s="58">
        <v>270910</v>
      </c>
    </row>
    <row r="3497" spans="1:10" hidden="1" x14ac:dyDescent="0.35">
      <c r="A3497" s="2">
        <v>46021</v>
      </c>
      <c r="C3497" t="s">
        <v>23</v>
      </c>
      <c r="D3497">
        <v>219</v>
      </c>
      <c r="J3497" s="58">
        <v>124832</v>
      </c>
    </row>
    <row r="3498" spans="1:10" hidden="1" x14ac:dyDescent="0.35">
      <c r="A3498" s="2">
        <v>46021</v>
      </c>
      <c r="C3498" t="s">
        <v>27</v>
      </c>
      <c r="D3498">
        <v>260</v>
      </c>
      <c r="J3498" s="58">
        <v>325100</v>
      </c>
    </row>
    <row r="3499" spans="1:10" hidden="1" x14ac:dyDescent="0.35">
      <c r="A3499" s="2">
        <v>46021</v>
      </c>
      <c r="C3499" t="s">
        <v>26</v>
      </c>
      <c r="D3499">
        <v>110</v>
      </c>
      <c r="J3499" s="58">
        <v>128300</v>
      </c>
    </row>
    <row r="3500" spans="1:10" hidden="1" x14ac:dyDescent="0.35">
      <c r="A3500" s="2">
        <v>46021</v>
      </c>
      <c r="C3500" t="s">
        <v>20</v>
      </c>
      <c r="D3500">
        <v>403</v>
      </c>
      <c r="J3500" s="58">
        <v>327666.2</v>
      </c>
    </row>
    <row r="3501" spans="1:10" hidden="1" x14ac:dyDescent="0.35">
      <c r="A3501" s="2">
        <v>46021</v>
      </c>
      <c r="C3501" t="s">
        <v>25</v>
      </c>
      <c r="D3501">
        <v>162</v>
      </c>
      <c r="J3501" s="58">
        <v>239864</v>
      </c>
    </row>
    <row r="3502" spans="1:10" hidden="1" x14ac:dyDescent="0.35">
      <c r="A3502" s="2">
        <v>46021</v>
      </c>
      <c r="C3502" t="s">
        <v>19</v>
      </c>
      <c r="D3502">
        <v>254</v>
      </c>
      <c r="J3502" s="58">
        <v>274894</v>
      </c>
    </row>
    <row r="3503" spans="1:10" hidden="1" x14ac:dyDescent="0.35">
      <c r="A3503" s="2">
        <v>46021</v>
      </c>
      <c r="C3503" t="s">
        <v>21</v>
      </c>
      <c r="D3503">
        <v>211</v>
      </c>
      <c r="J3503" s="58">
        <v>127910</v>
      </c>
    </row>
    <row r="3504" spans="1:10" hidden="1" x14ac:dyDescent="0.35">
      <c r="A3504" s="2">
        <v>46021</v>
      </c>
      <c r="C3504" t="s">
        <v>18</v>
      </c>
      <c r="D3504">
        <v>344</v>
      </c>
      <c r="J3504" s="58">
        <v>313696</v>
      </c>
    </row>
    <row r="3505" spans="1:10" hidden="1" x14ac:dyDescent="0.35">
      <c r="A3505" s="2">
        <v>46021</v>
      </c>
      <c r="C3505" t="s">
        <v>22</v>
      </c>
      <c r="D3505">
        <v>185</v>
      </c>
      <c r="J3505" s="58">
        <v>218700</v>
      </c>
    </row>
    <row r="3506" spans="1:10" hidden="1" x14ac:dyDescent="0.35">
      <c r="A3506" s="2">
        <v>46021</v>
      </c>
      <c r="C3506" t="s">
        <v>54</v>
      </c>
      <c r="D3506">
        <v>273</v>
      </c>
      <c r="J3506" s="58">
        <v>127046</v>
      </c>
    </row>
    <row r="3507" spans="1:10" hidden="1" x14ac:dyDescent="0.35">
      <c r="A3507" s="2">
        <v>46021</v>
      </c>
      <c r="C3507" t="s">
        <v>55</v>
      </c>
      <c r="D3507">
        <v>303</v>
      </c>
      <c r="J3507" s="58">
        <v>175200</v>
      </c>
    </row>
    <row r="3508" spans="1:10" hidden="1" x14ac:dyDescent="0.35">
      <c r="A3508" s="2">
        <v>46021</v>
      </c>
      <c r="C3508" t="s">
        <v>58</v>
      </c>
      <c r="D3508">
        <v>192</v>
      </c>
      <c r="J3508" s="58">
        <v>139596</v>
      </c>
    </row>
    <row r="3509" spans="1:10" hidden="1" x14ac:dyDescent="0.35">
      <c r="A3509" s="2">
        <v>46021</v>
      </c>
      <c r="C3509" t="s">
        <v>62</v>
      </c>
      <c r="D3509">
        <v>175</v>
      </c>
      <c r="J3509" s="58">
        <v>25164</v>
      </c>
    </row>
    <row r="3510" spans="1:10" hidden="1" x14ac:dyDescent="0.35">
      <c r="A3510" s="2">
        <v>46021</v>
      </c>
      <c r="C3510" t="s">
        <v>61</v>
      </c>
      <c r="D3510">
        <v>243</v>
      </c>
      <c r="J3510" s="58">
        <v>141000</v>
      </c>
    </row>
    <row r="3511" spans="1:10" hidden="1" x14ac:dyDescent="0.35">
      <c r="A3511" s="2">
        <v>46021</v>
      </c>
      <c r="C3511" t="s">
        <v>63</v>
      </c>
      <c r="D3511">
        <v>248</v>
      </c>
      <c r="J3511" s="58">
        <v>206900</v>
      </c>
    </row>
    <row r="3512" spans="1:10" hidden="1" x14ac:dyDescent="0.35">
      <c r="A3512" s="2">
        <v>46021</v>
      </c>
      <c r="C3512" t="s">
        <v>73</v>
      </c>
      <c r="D3512">
        <v>162</v>
      </c>
      <c r="J3512" s="58">
        <v>140328</v>
      </c>
    </row>
    <row r="3513" spans="1:10" hidden="1" x14ac:dyDescent="0.35">
      <c r="A3513" s="2">
        <v>46021</v>
      </c>
      <c r="C3513" t="s">
        <v>81</v>
      </c>
      <c r="D3513">
        <v>162</v>
      </c>
      <c r="J3513" s="58">
        <v>124400</v>
      </c>
    </row>
    <row r="3514" spans="1:10" hidden="1" x14ac:dyDescent="0.35">
      <c r="A3514" s="2">
        <v>46021</v>
      </c>
      <c r="C3514" t="s">
        <v>83</v>
      </c>
      <c r="D3514">
        <v>121</v>
      </c>
      <c r="J3514" s="58">
        <v>137882</v>
      </c>
    </row>
    <row r="3515" spans="1:10" hidden="1" x14ac:dyDescent="0.35">
      <c r="A3515" s="2">
        <v>46021</v>
      </c>
      <c r="C3515" t="s">
        <v>94</v>
      </c>
      <c r="D3515">
        <v>258</v>
      </c>
      <c r="J3515" s="58">
        <v>83182</v>
      </c>
    </row>
    <row r="3516" spans="1:10" hidden="1" x14ac:dyDescent="0.35">
      <c r="A3516" s="2">
        <v>46021</v>
      </c>
      <c r="C3516" t="s">
        <v>115</v>
      </c>
      <c r="D3516">
        <v>91</v>
      </c>
      <c r="J3516" s="58">
        <v>101882</v>
      </c>
    </row>
    <row r="3517" spans="1:10" hidden="1" x14ac:dyDescent="0.35">
      <c r="A3517" s="2">
        <v>46053</v>
      </c>
      <c r="B3517" t="s">
        <v>110</v>
      </c>
      <c r="C3517" t="s">
        <v>20</v>
      </c>
      <c r="E3517">
        <v>28</v>
      </c>
      <c r="F3517">
        <v>4</v>
      </c>
      <c r="G3517">
        <v>30</v>
      </c>
      <c r="H3517">
        <v>2</v>
      </c>
      <c r="I3517">
        <v>9</v>
      </c>
      <c r="J3517" s="52"/>
    </row>
    <row r="3518" spans="1:10" hidden="1" x14ac:dyDescent="0.35">
      <c r="A3518" s="2">
        <v>46053</v>
      </c>
      <c r="B3518" t="s">
        <v>113</v>
      </c>
      <c r="C3518" t="s">
        <v>20</v>
      </c>
      <c r="E3518">
        <v>30</v>
      </c>
      <c r="F3518">
        <v>7</v>
      </c>
      <c r="G3518">
        <v>19</v>
      </c>
      <c r="H3518">
        <v>6</v>
      </c>
      <c r="I3518">
        <v>13</v>
      </c>
      <c r="J3518" s="52"/>
    </row>
    <row r="3519" spans="1:10" hidden="1" x14ac:dyDescent="0.35">
      <c r="A3519" s="2">
        <v>46053</v>
      </c>
      <c r="B3519" t="s">
        <v>148</v>
      </c>
      <c r="C3519" t="s">
        <v>26</v>
      </c>
      <c r="E3519">
        <v>28</v>
      </c>
      <c r="F3519">
        <v>1</v>
      </c>
      <c r="G3519">
        <v>5</v>
      </c>
      <c r="H3519">
        <v>0</v>
      </c>
      <c r="I3519">
        <v>4</v>
      </c>
      <c r="J3519" s="52"/>
    </row>
    <row r="3520" spans="1:10" hidden="1" x14ac:dyDescent="0.35">
      <c r="A3520" s="2">
        <v>46053</v>
      </c>
      <c r="B3520" t="s">
        <v>113</v>
      </c>
      <c r="C3520" t="s">
        <v>26</v>
      </c>
      <c r="E3520">
        <v>2</v>
      </c>
      <c r="F3520">
        <v>1</v>
      </c>
      <c r="G3520">
        <v>17</v>
      </c>
      <c r="H3520">
        <v>2</v>
      </c>
      <c r="I3520">
        <v>5</v>
      </c>
      <c r="J3520" s="52"/>
    </row>
    <row r="3521" spans="1:10" hidden="1" x14ac:dyDescent="0.35">
      <c r="A3521" s="2">
        <v>46053</v>
      </c>
      <c r="B3521" t="s">
        <v>113</v>
      </c>
      <c r="C3521" t="s">
        <v>115</v>
      </c>
      <c r="E3521">
        <v>0</v>
      </c>
      <c r="F3521">
        <v>1</v>
      </c>
      <c r="G3521">
        <v>1</v>
      </c>
      <c r="H3521">
        <v>0</v>
      </c>
      <c r="I3521">
        <v>1</v>
      </c>
      <c r="J3521" s="52"/>
    </row>
    <row r="3522" spans="1:10" hidden="1" x14ac:dyDescent="0.35">
      <c r="A3522" s="2">
        <v>46053</v>
      </c>
      <c r="B3522" t="s">
        <v>148</v>
      </c>
      <c r="C3522" t="s">
        <v>115</v>
      </c>
      <c r="E3522">
        <v>18</v>
      </c>
      <c r="F3522">
        <v>0</v>
      </c>
      <c r="G3522">
        <v>13</v>
      </c>
      <c r="H3522">
        <v>0</v>
      </c>
      <c r="I3522">
        <v>4</v>
      </c>
      <c r="J3522" s="52"/>
    </row>
    <row r="3523" spans="1:10" hidden="1" x14ac:dyDescent="0.35">
      <c r="A3523" s="2">
        <v>46053</v>
      </c>
      <c r="B3523" t="s">
        <v>38</v>
      </c>
      <c r="C3523" t="s">
        <v>18</v>
      </c>
      <c r="E3523">
        <v>24</v>
      </c>
      <c r="F3523">
        <v>20</v>
      </c>
      <c r="G3523">
        <v>36</v>
      </c>
      <c r="H3523">
        <v>9</v>
      </c>
      <c r="I3523">
        <v>10</v>
      </c>
      <c r="J3523" s="52"/>
    </row>
    <row r="3524" spans="1:10" hidden="1" x14ac:dyDescent="0.35">
      <c r="A3524" s="2">
        <v>46053</v>
      </c>
      <c r="B3524" t="s">
        <v>116</v>
      </c>
      <c r="C3524" t="s">
        <v>18</v>
      </c>
      <c r="E3524">
        <v>26</v>
      </c>
      <c r="F3524">
        <v>17</v>
      </c>
      <c r="G3524">
        <v>23</v>
      </c>
      <c r="H3524">
        <v>6</v>
      </c>
      <c r="I3524">
        <v>11</v>
      </c>
      <c r="J3524" s="52"/>
    </row>
    <row r="3525" spans="1:10" hidden="1" x14ac:dyDescent="0.35">
      <c r="A3525" s="2">
        <v>46053</v>
      </c>
      <c r="B3525" t="s">
        <v>122</v>
      </c>
      <c r="C3525" t="s">
        <v>25</v>
      </c>
      <c r="E3525">
        <v>56</v>
      </c>
      <c r="F3525">
        <v>0</v>
      </c>
      <c r="G3525">
        <v>53</v>
      </c>
      <c r="H3525">
        <v>2</v>
      </c>
      <c r="I3525">
        <v>10</v>
      </c>
      <c r="J3525" s="52"/>
    </row>
    <row r="3526" spans="1:10" hidden="1" x14ac:dyDescent="0.35">
      <c r="A3526" s="2">
        <v>46053</v>
      </c>
      <c r="B3526" t="s">
        <v>122</v>
      </c>
      <c r="C3526" t="s">
        <v>23</v>
      </c>
      <c r="E3526">
        <v>13</v>
      </c>
      <c r="F3526">
        <v>1</v>
      </c>
      <c r="G3526">
        <v>3</v>
      </c>
      <c r="H3526">
        <v>1</v>
      </c>
      <c r="I3526">
        <v>0</v>
      </c>
      <c r="J3526" s="52"/>
    </row>
    <row r="3527" spans="1:10" hidden="1" x14ac:dyDescent="0.35">
      <c r="A3527" s="2">
        <v>46053</v>
      </c>
      <c r="B3527" t="s">
        <v>126</v>
      </c>
      <c r="C3527" t="s">
        <v>23</v>
      </c>
      <c r="E3527">
        <v>24</v>
      </c>
      <c r="F3527">
        <v>2</v>
      </c>
      <c r="G3527">
        <v>11</v>
      </c>
      <c r="H3527">
        <v>2</v>
      </c>
      <c r="I3527">
        <v>12</v>
      </c>
      <c r="J3527" s="52"/>
    </row>
    <row r="3528" spans="1:10" hidden="1" x14ac:dyDescent="0.35">
      <c r="A3528" s="2">
        <v>46053</v>
      </c>
      <c r="B3528" t="s">
        <v>126</v>
      </c>
      <c r="C3528" t="s">
        <v>24</v>
      </c>
      <c r="E3528">
        <v>10</v>
      </c>
      <c r="F3528">
        <v>2</v>
      </c>
      <c r="G3528">
        <v>11</v>
      </c>
      <c r="H3528">
        <v>2</v>
      </c>
      <c r="I3528">
        <v>4</v>
      </c>
      <c r="J3528" s="52"/>
    </row>
    <row r="3529" spans="1:10" hidden="1" x14ac:dyDescent="0.35">
      <c r="A3529" s="2">
        <v>46053</v>
      </c>
      <c r="B3529" t="s">
        <v>96</v>
      </c>
      <c r="C3529" t="s">
        <v>24</v>
      </c>
      <c r="E3529">
        <v>11</v>
      </c>
      <c r="F3529">
        <v>4</v>
      </c>
      <c r="G3529">
        <v>5</v>
      </c>
      <c r="H3529">
        <v>1</v>
      </c>
      <c r="I3529">
        <v>5</v>
      </c>
      <c r="J3529" s="52"/>
    </row>
    <row r="3530" spans="1:10" hidden="1" x14ac:dyDescent="0.35">
      <c r="A3530" s="2">
        <v>46053</v>
      </c>
      <c r="B3530" t="s">
        <v>102</v>
      </c>
      <c r="C3530" t="s">
        <v>24</v>
      </c>
      <c r="E3530">
        <v>1</v>
      </c>
      <c r="F3530">
        <v>0</v>
      </c>
      <c r="G3530">
        <v>0</v>
      </c>
      <c r="H3530">
        <v>0</v>
      </c>
      <c r="I3530">
        <v>1</v>
      </c>
      <c r="J3530" s="52"/>
    </row>
    <row r="3531" spans="1:10" hidden="1" x14ac:dyDescent="0.35">
      <c r="A3531" s="2">
        <v>46053</v>
      </c>
      <c r="B3531" t="s">
        <v>101</v>
      </c>
      <c r="C3531" t="s">
        <v>37</v>
      </c>
      <c r="E3531">
        <v>6</v>
      </c>
      <c r="F3531">
        <v>1</v>
      </c>
      <c r="G3531">
        <v>15</v>
      </c>
      <c r="H3531">
        <v>0</v>
      </c>
      <c r="I3531">
        <v>5</v>
      </c>
      <c r="J3531" s="52"/>
    </row>
    <row r="3532" spans="1:10" hidden="1" x14ac:dyDescent="0.35">
      <c r="A3532" s="2">
        <v>46053</v>
      </c>
      <c r="B3532" t="s">
        <v>102</v>
      </c>
      <c r="C3532" t="s">
        <v>37</v>
      </c>
      <c r="E3532">
        <v>35</v>
      </c>
      <c r="F3532">
        <v>6</v>
      </c>
      <c r="G3532">
        <v>21</v>
      </c>
      <c r="H3532">
        <v>3</v>
      </c>
      <c r="I3532">
        <v>10</v>
      </c>
      <c r="J3532" s="52"/>
    </row>
    <row r="3533" spans="1:10" hidden="1" x14ac:dyDescent="0.35">
      <c r="A3533" s="2">
        <v>46053</v>
      </c>
      <c r="B3533" t="s">
        <v>126</v>
      </c>
      <c r="C3533" t="s">
        <v>37</v>
      </c>
      <c r="E3533">
        <v>17</v>
      </c>
      <c r="F3533">
        <v>3</v>
      </c>
      <c r="G3533">
        <v>6</v>
      </c>
      <c r="H3533">
        <v>2</v>
      </c>
      <c r="I3533">
        <v>5</v>
      </c>
      <c r="J3533" s="52"/>
    </row>
    <row r="3534" spans="1:10" hidden="1" x14ac:dyDescent="0.35">
      <c r="A3534" s="2">
        <v>46053</v>
      </c>
      <c r="B3534" t="s">
        <v>96</v>
      </c>
      <c r="C3534" t="s">
        <v>37</v>
      </c>
      <c r="E3534">
        <v>6</v>
      </c>
      <c r="F3534">
        <v>0</v>
      </c>
      <c r="G3534">
        <v>2</v>
      </c>
      <c r="H3534">
        <v>1</v>
      </c>
      <c r="I3534">
        <v>2</v>
      </c>
      <c r="J3534" s="52"/>
    </row>
    <row r="3535" spans="1:10" hidden="1" x14ac:dyDescent="0.35">
      <c r="A3535" s="2">
        <v>46053</v>
      </c>
      <c r="B3535" t="s">
        <v>112</v>
      </c>
      <c r="C3535" t="s">
        <v>19</v>
      </c>
      <c r="E3535">
        <v>43</v>
      </c>
      <c r="F3535">
        <v>3</v>
      </c>
      <c r="G3535">
        <v>43</v>
      </c>
      <c r="H3535">
        <v>0</v>
      </c>
      <c r="I3535">
        <v>15</v>
      </c>
      <c r="J3535" s="52"/>
    </row>
    <row r="3536" spans="1:10" hidden="1" x14ac:dyDescent="0.35">
      <c r="A3536" s="2">
        <v>46053</v>
      </c>
      <c r="B3536" t="s">
        <v>40</v>
      </c>
      <c r="C3536" t="s">
        <v>19</v>
      </c>
      <c r="E3536">
        <v>35</v>
      </c>
      <c r="F3536">
        <v>0</v>
      </c>
      <c r="G3536">
        <v>29</v>
      </c>
      <c r="H3536">
        <v>0</v>
      </c>
      <c r="I3536">
        <v>10</v>
      </c>
      <c r="J3536" s="52"/>
    </row>
    <row r="3537" spans="1:10" hidden="1" x14ac:dyDescent="0.35">
      <c r="A3537" s="2">
        <v>46053</v>
      </c>
      <c r="B3537" t="s">
        <v>121</v>
      </c>
      <c r="C3537" t="s">
        <v>19</v>
      </c>
      <c r="E3537">
        <v>2</v>
      </c>
      <c r="F3537">
        <v>0</v>
      </c>
      <c r="G3537">
        <v>0</v>
      </c>
      <c r="H3537">
        <v>0</v>
      </c>
      <c r="I3537">
        <v>2</v>
      </c>
      <c r="J3537" s="52"/>
    </row>
    <row r="3538" spans="1:10" hidden="1" x14ac:dyDescent="0.35">
      <c r="A3538" s="2">
        <v>46053</v>
      </c>
      <c r="B3538" t="s">
        <v>121</v>
      </c>
      <c r="C3538" t="s">
        <v>22</v>
      </c>
      <c r="E3538">
        <v>25</v>
      </c>
      <c r="F3538">
        <v>7</v>
      </c>
      <c r="G3538">
        <v>29</v>
      </c>
      <c r="H3538">
        <v>11</v>
      </c>
      <c r="I3538">
        <v>13</v>
      </c>
      <c r="J3538" s="52"/>
    </row>
    <row r="3539" spans="1:10" hidden="1" x14ac:dyDescent="0.35">
      <c r="A3539" s="2">
        <v>46053</v>
      </c>
      <c r="B3539" t="s">
        <v>95</v>
      </c>
      <c r="C3539" t="s">
        <v>22</v>
      </c>
      <c r="E3539">
        <v>9</v>
      </c>
      <c r="F3539">
        <v>4</v>
      </c>
      <c r="G3539">
        <v>21</v>
      </c>
      <c r="H3539">
        <v>6</v>
      </c>
      <c r="I3539">
        <v>7</v>
      </c>
      <c r="J3539" s="52"/>
    </row>
    <row r="3540" spans="1:10" hidden="1" x14ac:dyDescent="0.35">
      <c r="A3540" s="2">
        <v>46053</v>
      </c>
      <c r="B3540" t="s">
        <v>43</v>
      </c>
      <c r="C3540" t="s">
        <v>27</v>
      </c>
      <c r="E3540">
        <v>6</v>
      </c>
      <c r="F3540">
        <v>0</v>
      </c>
      <c r="G3540">
        <v>12</v>
      </c>
      <c r="H3540">
        <v>0</v>
      </c>
      <c r="I3540">
        <v>7</v>
      </c>
      <c r="J3540" s="52"/>
    </row>
    <row r="3541" spans="1:10" hidden="1" x14ac:dyDescent="0.35">
      <c r="A3541" s="2">
        <v>46053</v>
      </c>
      <c r="B3541" t="s">
        <v>84</v>
      </c>
      <c r="C3541" t="s">
        <v>27</v>
      </c>
      <c r="E3541">
        <v>24</v>
      </c>
      <c r="F3541">
        <v>0</v>
      </c>
      <c r="G3541">
        <v>27</v>
      </c>
      <c r="H3541">
        <v>0</v>
      </c>
      <c r="I3541">
        <v>18</v>
      </c>
      <c r="J3541" s="52"/>
    </row>
    <row r="3542" spans="1:10" hidden="1" x14ac:dyDescent="0.35">
      <c r="A3542" s="2">
        <v>46053</v>
      </c>
      <c r="B3542" t="s">
        <v>101</v>
      </c>
      <c r="C3542" t="s">
        <v>9</v>
      </c>
      <c r="E3542">
        <v>29</v>
      </c>
      <c r="F3542">
        <v>1</v>
      </c>
      <c r="G3542">
        <v>29</v>
      </c>
      <c r="H3542">
        <v>2</v>
      </c>
      <c r="I3542">
        <v>13</v>
      </c>
      <c r="J3542" s="52"/>
    </row>
    <row r="3543" spans="1:10" hidden="1" x14ac:dyDescent="0.35">
      <c r="A3543" s="2">
        <v>46053</v>
      </c>
      <c r="B3543" t="s">
        <v>102</v>
      </c>
      <c r="C3543" t="s">
        <v>9</v>
      </c>
      <c r="E3543">
        <v>2</v>
      </c>
      <c r="F3543">
        <v>0</v>
      </c>
      <c r="G3543">
        <v>0</v>
      </c>
      <c r="H3543">
        <v>0</v>
      </c>
      <c r="I3543">
        <v>2</v>
      </c>
      <c r="J3543" s="52"/>
    </row>
    <row r="3544" spans="1:10" hidden="1" x14ac:dyDescent="0.35">
      <c r="A3544" s="2">
        <v>46053</v>
      </c>
      <c r="B3544" t="s">
        <v>75</v>
      </c>
      <c r="C3544" t="s">
        <v>21</v>
      </c>
      <c r="E3544">
        <v>11</v>
      </c>
      <c r="F3544">
        <v>4</v>
      </c>
      <c r="G3544">
        <v>10</v>
      </c>
      <c r="H3544">
        <v>7</v>
      </c>
      <c r="I3544">
        <v>5</v>
      </c>
      <c r="J3544" s="52"/>
    </row>
    <row r="3545" spans="1:10" hidden="1" x14ac:dyDescent="0.35">
      <c r="A3545" s="2">
        <v>46053</v>
      </c>
      <c r="B3545" t="s">
        <v>128</v>
      </c>
      <c r="C3545" t="s">
        <v>21</v>
      </c>
      <c r="E3545">
        <v>14</v>
      </c>
      <c r="F3545">
        <v>6</v>
      </c>
      <c r="G3545">
        <v>7</v>
      </c>
      <c r="H3545">
        <v>3</v>
      </c>
      <c r="I3545">
        <v>7</v>
      </c>
      <c r="J3545" s="52"/>
    </row>
    <row r="3546" spans="1:10" hidden="1" x14ac:dyDescent="0.35">
      <c r="A3546" s="2">
        <v>46053</v>
      </c>
      <c r="B3546" t="s">
        <v>117</v>
      </c>
      <c r="C3546" t="s">
        <v>54</v>
      </c>
      <c r="E3546">
        <v>14</v>
      </c>
      <c r="F3546">
        <v>8</v>
      </c>
      <c r="G3546">
        <v>20</v>
      </c>
      <c r="H3546">
        <v>7</v>
      </c>
      <c r="I3546">
        <v>10</v>
      </c>
      <c r="J3546" s="52"/>
    </row>
    <row r="3547" spans="1:10" hidden="1" x14ac:dyDescent="0.35">
      <c r="A3547" s="2">
        <v>46053</v>
      </c>
      <c r="B3547" t="s">
        <v>147</v>
      </c>
      <c r="C3547" t="s">
        <v>54</v>
      </c>
      <c r="E3547">
        <v>12</v>
      </c>
      <c r="F3547">
        <v>3</v>
      </c>
      <c r="G3547">
        <v>5</v>
      </c>
      <c r="H3547">
        <v>2</v>
      </c>
      <c r="I3547">
        <v>4</v>
      </c>
      <c r="J3547" s="52"/>
    </row>
    <row r="3548" spans="1:10" hidden="1" x14ac:dyDescent="0.35">
      <c r="A3548" s="2">
        <v>46053</v>
      </c>
      <c r="B3548" t="s">
        <v>123</v>
      </c>
      <c r="C3548" t="s">
        <v>55</v>
      </c>
      <c r="E3548">
        <v>20</v>
      </c>
      <c r="F3548">
        <v>5</v>
      </c>
      <c r="G3548">
        <v>21</v>
      </c>
      <c r="H3548">
        <v>6</v>
      </c>
      <c r="I3548">
        <v>7</v>
      </c>
      <c r="J3548" s="52"/>
    </row>
    <row r="3549" spans="1:10" hidden="1" x14ac:dyDescent="0.35">
      <c r="A3549" s="2">
        <v>46053</v>
      </c>
      <c r="B3549" t="s">
        <v>57</v>
      </c>
      <c r="C3549" t="s">
        <v>55</v>
      </c>
      <c r="E3549">
        <v>16</v>
      </c>
      <c r="F3549">
        <v>2</v>
      </c>
      <c r="G3549">
        <v>11</v>
      </c>
      <c r="H3549">
        <v>1</v>
      </c>
      <c r="I3549">
        <v>9</v>
      </c>
      <c r="J3549" s="52"/>
    </row>
    <row r="3550" spans="1:10" hidden="1" x14ac:dyDescent="0.35">
      <c r="A3550" s="2">
        <v>46053</v>
      </c>
      <c r="B3550" t="s">
        <v>107</v>
      </c>
      <c r="C3550" t="s">
        <v>58</v>
      </c>
      <c r="E3550">
        <v>6</v>
      </c>
      <c r="F3550">
        <v>6</v>
      </c>
      <c r="G3550">
        <v>12</v>
      </c>
      <c r="H3550">
        <v>7</v>
      </c>
      <c r="I3550">
        <v>10</v>
      </c>
      <c r="J3550" s="52"/>
    </row>
    <row r="3551" spans="1:10" hidden="1" x14ac:dyDescent="0.35">
      <c r="A3551" s="2">
        <v>46053</v>
      </c>
      <c r="B3551" t="s">
        <v>129</v>
      </c>
      <c r="C3551" t="s">
        <v>58</v>
      </c>
      <c r="E3551">
        <v>28</v>
      </c>
      <c r="F3551">
        <v>5</v>
      </c>
      <c r="G3551">
        <v>5</v>
      </c>
      <c r="H3551">
        <v>3</v>
      </c>
      <c r="I3551">
        <v>6</v>
      </c>
      <c r="J3551" s="52"/>
    </row>
    <row r="3552" spans="1:10" hidden="1" x14ac:dyDescent="0.35">
      <c r="A3552" s="2">
        <v>46053</v>
      </c>
      <c r="B3552" t="s">
        <v>64</v>
      </c>
      <c r="C3552" t="s">
        <v>62</v>
      </c>
      <c r="E3552">
        <v>10</v>
      </c>
      <c r="F3552">
        <v>2</v>
      </c>
      <c r="G3552">
        <v>24</v>
      </c>
      <c r="H3552">
        <v>5</v>
      </c>
      <c r="I3552">
        <v>7</v>
      </c>
      <c r="J3552" s="52"/>
    </row>
    <row r="3553" spans="1:10" hidden="1" x14ac:dyDescent="0.35">
      <c r="A3553" s="2">
        <v>46053</v>
      </c>
      <c r="B3553" t="s">
        <v>118</v>
      </c>
      <c r="C3553" t="s">
        <v>61</v>
      </c>
      <c r="E3553">
        <v>28</v>
      </c>
      <c r="F3553">
        <v>4</v>
      </c>
      <c r="G3553">
        <v>13</v>
      </c>
      <c r="H3553">
        <v>0</v>
      </c>
      <c r="I3553">
        <v>9</v>
      </c>
      <c r="J3553" s="52"/>
    </row>
    <row r="3554" spans="1:10" hidden="1" x14ac:dyDescent="0.35">
      <c r="A3554" s="2">
        <v>46053</v>
      </c>
      <c r="B3554" t="s">
        <v>119</v>
      </c>
      <c r="C3554" t="s">
        <v>63</v>
      </c>
      <c r="E3554">
        <v>26</v>
      </c>
      <c r="F3554">
        <v>6</v>
      </c>
      <c r="G3554">
        <v>18</v>
      </c>
      <c r="H3554">
        <v>0</v>
      </c>
      <c r="I3554">
        <v>16</v>
      </c>
      <c r="J3554" s="52"/>
    </row>
    <row r="3555" spans="1:10" hidden="1" x14ac:dyDescent="0.35">
      <c r="A3555" s="2">
        <v>46053</v>
      </c>
      <c r="B3555" t="s">
        <v>77</v>
      </c>
      <c r="C3555" t="s">
        <v>73</v>
      </c>
      <c r="E3555">
        <v>13</v>
      </c>
      <c r="F3555">
        <v>5</v>
      </c>
      <c r="G3555">
        <v>19</v>
      </c>
      <c r="H3555">
        <v>2</v>
      </c>
      <c r="I3555">
        <v>2</v>
      </c>
      <c r="J3555" s="52"/>
    </row>
    <row r="3556" spans="1:10" hidden="1" x14ac:dyDescent="0.35">
      <c r="A3556" s="2">
        <v>46053</v>
      </c>
      <c r="B3556" t="s">
        <v>110</v>
      </c>
      <c r="C3556" t="s">
        <v>81</v>
      </c>
      <c r="E3556">
        <v>18</v>
      </c>
      <c r="F3556">
        <v>2</v>
      </c>
      <c r="G3556">
        <v>20</v>
      </c>
      <c r="H3556">
        <v>0</v>
      </c>
      <c r="I3556">
        <v>7</v>
      </c>
      <c r="J3556" s="52"/>
    </row>
    <row r="3557" spans="1:10" hidden="1" x14ac:dyDescent="0.35">
      <c r="A3557" s="2">
        <v>46053</v>
      </c>
      <c r="B3557" t="s">
        <v>85</v>
      </c>
      <c r="C3557" t="s">
        <v>83</v>
      </c>
      <c r="E3557">
        <v>27</v>
      </c>
      <c r="F3557">
        <v>1</v>
      </c>
      <c r="G3557">
        <v>30</v>
      </c>
      <c r="H3557">
        <v>2</v>
      </c>
      <c r="I3557">
        <v>11</v>
      </c>
      <c r="J3557" s="52"/>
    </row>
    <row r="3558" spans="1:10" hidden="1" x14ac:dyDescent="0.35">
      <c r="A3558" s="2">
        <v>46053</v>
      </c>
      <c r="B3558" t="s">
        <v>98</v>
      </c>
      <c r="C3558" t="s">
        <v>94</v>
      </c>
      <c r="E3558">
        <v>12</v>
      </c>
      <c r="F3558">
        <v>1</v>
      </c>
      <c r="G3558">
        <v>9</v>
      </c>
      <c r="H3558">
        <v>0</v>
      </c>
      <c r="I3558">
        <v>4</v>
      </c>
      <c r="J3558" s="52"/>
    </row>
    <row r="3559" spans="1:10" hidden="1" x14ac:dyDescent="0.35">
      <c r="A3559" s="2">
        <v>46053</v>
      </c>
      <c r="B3559" t="s">
        <v>130</v>
      </c>
      <c r="C3559" t="s">
        <v>94</v>
      </c>
      <c r="E3559">
        <v>13</v>
      </c>
      <c r="F3559">
        <v>0</v>
      </c>
      <c r="G3559">
        <v>8</v>
      </c>
      <c r="H3559">
        <v>0</v>
      </c>
      <c r="I3559">
        <v>4</v>
      </c>
      <c r="J3559" s="52"/>
    </row>
    <row r="3560" spans="1:10" hidden="1" x14ac:dyDescent="0.35">
      <c r="A3560" s="2">
        <v>46053</v>
      </c>
      <c r="C3560" t="s">
        <v>24</v>
      </c>
      <c r="D3560">
        <v>425</v>
      </c>
      <c r="J3560" s="58">
        <v>135600</v>
      </c>
    </row>
    <row r="3561" spans="1:10" hidden="1" x14ac:dyDescent="0.35">
      <c r="A3561" s="2">
        <v>46053</v>
      </c>
      <c r="C3561" t="s">
        <v>9</v>
      </c>
      <c r="D3561">
        <v>401</v>
      </c>
      <c r="J3561" s="58">
        <v>224964</v>
      </c>
    </row>
    <row r="3562" spans="1:10" hidden="1" x14ac:dyDescent="0.35">
      <c r="A3562" s="2">
        <v>46053</v>
      </c>
      <c r="C3562" t="s">
        <v>37</v>
      </c>
      <c r="D3562">
        <v>359</v>
      </c>
      <c r="J3562" s="58">
        <v>309610</v>
      </c>
    </row>
    <row r="3563" spans="1:10" hidden="1" x14ac:dyDescent="0.35">
      <c r="A3563" s="2">
        <v>46053</v>
      </c>
      <c r="C3563" t="s">
        <v>23</v>
      </c>
      <c r="D3563">
        <v>289</v>
      </c>
      <c r="J3563" s="58">
        <v>177750</v>
      </c>
    </row>
    <row r="3564" spans="1:10" hidden="1" x14ac:dyDescent="0.35">
      <c r="A3564" s="2">
        <v>46053</v>
      </c>
      <c r="C3564" t="s">
        <v>27</v>
      </c>
      <c r="D3564">
        <v>428</v>
      </c>
      <c r="J3564" s="58">
        <v>392300</v>
      </c>
    </row>
    <row r="3565" spans="1:10" hidden="1" x14ac:dyDescent="0.35">
      <c r="A3565" s="2">
        <v>46053</v>
      </c>
      <c r="C3565" t="s">
        <v>26</v>
      </c>
      <c r="D3565">
        <v>186</v>
      </c>
      <c r="J3565" s="58">
        <v>130450</v>
      </c>
    </row>
    <row r="3566" spans="1:10" hidden="1" x14ac:dyDescent="0.35">
      <c r="A3566" s="2">
        <v>46053</v>
      </c>
      <c r="C3566" t="s">
        <v>20</v>
      </c>
      <c r="D3566">
        <v>443</v>
      </c>
      <c r="J3566" s="58">
        <v>328720</v>
      </c>
    </row>
    <row r="3567" spans="1:10" hidden="1" x14ac:dyDescent="0.35">
      <c r="A3567" s="2">
        <v>46053</v>
      </c>
      <c r="C3567" t="s">
        <v>25</v>
      </c>
      <c r="D3567">
        <v>222</v>
      </c>
      <c r="J3567" s="58">
        <v>152000</v>
      </c>
    </row>
    <row r="3568" spans="1:10" hidden="1" x14ac:dyDescent="0.35">
      <c r="A3568" s="2">
        <v>46053</v>
      </c>
      <c r="C3568" t="s">
        <v>19</v>
      </c>
      <c r="D3568">
        <v>385</v>
      </c>
      <c r="J3568" s="58">
        <v>392652</v>
      </c>
    </row>
    <row r="3569" spans="1:10" hidden="1" x14ac:dyDescent="0.35">
      <c r="A3569" s="2">
        <v>46053</v>
      </c>
      <c r="C3569" t="s">
        <v>21</v>
      </c>
      <c r="D3569">
        <v>325</v>
      </c>
      <c r="J3569" s="58">
        <v>183106</v>
      </c>
    </row>
    <row r="3570" spans="1:10" hidden="1" x14ac:dyDescent="0.35">
      <c r="A3570" s="2">
        <v>46053</v>
      </c>
      <c r="C3570" t="s">
        <v>18</v>
      </c>
      <c r="D3570">
        <v>515</v>
      </c>
      <c r="J3570" s="58">
        <v>344039</v>
      </c>
    </row>
    <row r="3571" spans="1:10" hidden="1" x14ac:dyDescent="0.35">
      <c r="A3571" s="2">
        <v>46053</v>
      </c>
      <c r="C3571" t="s">
        <v>22</v>
      </c>
      <c r="D3571">
        <v>292</v>
      </c>
      <c r="J3571" s="58">
        <v>291100</v>
      </c>
    </row>
    <row r="3572" spans="1:10" hidden="1" x14ac:dyDescent="0.35">
      <c r="A3572" s="2">
        <v>46053</v>
      </c>
      <c r="C3572" t="s">
        <v>54</v>
      </c>
      <c r="D3572">
        <v>211</v>
      </c>
      <c r="J3572" s="58">
        <v>218228</v>
      </c>
    </row>
    <row r="3573" spans="1:10" hidden="1" x14ac:dyDescent="0.35">
      <c r="A3573" s="2">
        <v>46053</v>
      </c>
      <c r="C3573" t="s">
        <v>55</v>
      </c>
      <c r="D3573">
        <v>160</v>
      </c>
      <c r="J3573" s="58">
        <v>216530</v>
      </c>
    </row>
    <row r="3574" spans="1:10" hidden="1" x14ac:dyDescent="0.35">
      <c r="A3574" s="2">
        <v>46053</v>
      </c>
      <c r="C3574" t="s">
        <v>58</v>
      </c>
      <c r="D3574">
        <v>305</v>
      </c>
      <c r="J3574" s="58">
        <v>229650</v>
      </c>
    </row>
    <row r="3575" spans="1:10" hidden="1" x14ac:dyDescent="0.35">
      <c r="A3575" s="2">
        <v>46053</v>
      </c>
      <c r="C3575" t="s">
        <v>62</v>
      </c>
      <c r="D3575">
        <v>209</v>
      </c>
      <c r="J3575" s="58">
        <v>98428</v>
      </c>
    </row>
    <row r="3576" spans="1:10" hidden="1" x14ac:dyDescent="0.35">
      <c r="A3576" s="2">
        <v>46053</v>
      </c>
      <c r="C3576" t="s">
        <v>61</v>
      </c>
      <c r="D3576">
        <v>326</v>
      </c>
      <c r="J3576" s="58">
        <v>125500</v>
      </c>
    </row>
    <row r="3577" spans="1:10" hidden="1" x14ac:dyDescent="0.35">
      <c r="A3577" s="2">
        <v>46053</v>
      </c>
      <c r="C3577" t="s">
        <v>63</v>
      </c>
      <c r="D3577">
        <v>112</v>
      </c>
      <c r="J3577" s="58">
        <v>222180</v>
      </c>
    </row>
    <row r="3578" spans="1:10" hidden="1" x14ac:dyDescent="0.35">
      <c r="A3578" s="2">
        <v>46053</v>
      </c>
      <c r="C3578" t="s">
        <v>73</v>
      </c>
      <c r="D3578">
        <v>269</v>
      </c>
      <c r="J3578" s="58">
        <v>30400</v>
      </c>
    </row>
    <row r="3579" spans="1:10" hidden="1" x14ac:dyDescent="0.35">
      <c r="A3579" s="2">
        <v>46053</v>
      </c>
      <c r="C3579" t="s">
        <v>81</v>
      </c>
      <c r="D3579">
        <v>211</v>
      </c>
      <c r="J3579" s="58">
        <v>103550</v>
      </c>
    </row>
    <row r="3580" spans="1:10" hidden="1" x14ac:dyDescent="0.35">
      <c r="A3580" s="2">
        <v>46053</v>
      </c>
      <c r="C3580" t="s">
        <v>83</v>
      </c>
      <c r="D3580">
        <v>175</v>
      </c>
      <c r="J3580" s="58">
        <v>161484</v>
      </c>
    </row>
    <row r="3581" spans="1:10" hidden="1" x14ac:dyDescent="0.35">
      <c r="A3581" s="2">
        <v>46053</v>
      </c>
      <c r="C3581" t="s">
        <v>94</v>
      </c>
      <c r="D3581">
        <v>272</v>
      </c>
      <c r="J3581" s="58">
        <v>123982</v>
      </c>
    </row>
    <row r="3582" spans="1:10" hidden="1" x14ac:dyDescent="0.35">
      <c r="A3582" s="2">
        <v>46053</v>
      </c>
      <c r="C3582" t="s">
        <v>115</v>
      </c>
      <c r="D3582">
        <v>149</v>
      </c>
      <c r="J3582" s="58">
        <v>79950</v>
      </c>
    </row>
    <row r="3583" spans="1:10" x14ac:dyDescent="0.35">
      <c r="A3583" s="2">
        <v>46081</v>
      </c>
      <c r="B3583" t="s">
        <v>110</v>
      </c>
      <c r="C3583" t="s">
        <v>20</v>
      </c>
      <c r="E3583">
        <v>9</v>
      </c>
      <c r="F3583">
        <v>3</v>
      </c>
      <c r="G3583">
        <v>12</v>
      </c>
      <c r="H3583">
        <v>3</v>
      </c>
      <c r="I3583">
        <v>7</v>
      </c>
      <c r="J3583" s="52"/>
    </row>
    <row r="3584" spans="1:10" x14ac:dyDescent="0.35">
      <c r="A3584" s="2">
        <v>46081</v>
      </c>
      <c r="B3584" t="s">
        <v>113</v>
      </c>
      <c r="C3584" t="s">
        <v>20</v>
      </c>
      <c r="E3584">
        <v>28</v>
      </c>
      <c r="F3584">
        <v>8</v>
      </c>
      <c r="G3584">
        <v>27</v>
      </c>
      <c r="H3584">
        <v>1</v>
      </c>
      <c r="I3584">
        <v>13</v>
      </c>
      <c r="J3584" s="52"/>
    </row>
    <row r="3585" spans="1:10" x14ac:dyDescent="0.35">
      <c r="A3585" s="2">
        <v>46081</v>
      </c>
      <c r="B3585" t="s">
        <v>148</v>
      </c>
      <c r="C3585" t="s">
        <v>26</v>
      </c>
      <c r="E3585">
        <v>12</v>
      </c>
      <c r="F3585">
        <v>2</v>
      </c>
      <c r="G3585">
        <v>4</v>
      </c>
      <c r="H3585">
        <v>0</v>
      </c>
      <c r="I3585">
        <v>6</v>
      </c>
      <c r="J3585" s="52"/>
    </row>
    <row r="3586" spans="1:10" x14ac:dyDescent="0.35">
      <c r="A3586" s="2">
        <v>46081</v>
      </c>
      <c r="B3586" t="s">
        <v>113</v>
      </c>
      <c r="C3586" t="s">
        <v>26</v>
      </c>
      <c r="E3586">
        <v>3</v>
      </c>
      <c r="F3586">
        <v>0</v>
      </c>
      <c r="G3586">
        <v>19</v>
      </c>
      <c r="H3586">
        <v>1</v>
      </c>
      <c r="I3586">
        <v>5</v>
      </c>
      <c r="J3586" s="52"/>
    </row>
    <row r="3587" spans="1:10" x14ac:dyDescent="0.35">
      <c r="A3587" s="2">
        <v>46081</v>
      </c>
      <c r="B3587" t="s">
        <v>148</v>
      </c>
      <c r="C3587" t="s">
        <v>115</v>
      </c>
      <c r="E3587">
        <v>17</v>
      </c>
      <c r="F3587">
        <v>5</v>
      </c>
      <c r="G3587">
        <v>10</v>
      </c>
      <c r="H3587">
        <v>0</v>
      </c>
      <c r="I3587">
        <v>6</v>
      </c>
      <c r="J3587" s="52"/>
    </row>
    <row r="3588" spans="1:10" x14ac:dyDescent="0.35">
      <c r="A3588" s="2">
        <v>46081</v>
      </c>
      <c r="B3588" t="s">
        <v>38</v>
      </c>
      <c r="C3588" t="s">
        <v>18</v>
      </c>
      <c r="E3588">
        <v>23</v>
      </c>
      <c r="F3588">
        <v>10</v>
      </c>
      <c r="G3588">
        <v>23</v>
      </c>
      <c r="H3588">
        <v>6</v>
      </c>
      <c r="I3588">
        <v>9</v>
      </c>
      <c r="J3588" s="52"/>
    </row>
    <row r="3589" spans="1:10" x14ac:dyDescent="0.35">
      <c r="A3589" s="2">
        <v>46081</v>
      </c>
      <c r="B3589" t="s">
        <v>116</v>
      </c>
      <c r="C3589" t="s">
        <v>18</v>
      </c>
      <c r="E3589">
        <v>19</v>
      </c>
      <c r="F3589">
        <v>12</v>
      </c>
      <c r="G3589">
        <v>20</v>
      </c>
      <c r="H3589">
        <v>7</v>
      </c>
      <c r="I3589">
        <v>11</v>
      </c>
      <c r="J3589" s="52"/>
    </row>
    <row r="3590" spans="1:10" x14ac:dyDescent="0.35">
      <c r="A3590" s="2">
        <v>46081</v>
      </c>
      <c r="B3590" t="s">
        <v>122</v>
      </c>
      <c r="C3590" t="s">
        <v>25</v>
      </c>
      <c r="E3590">
        <v>27</v>
      </c>
      <c r="F3590">
        <v>2</v>
      </c>
      <c r="G3590">
        <v>35</v>
      </c>
      <c r="H3590">
        <v>0</v>
      </c>
      <c r="I3590">
        <v>9</v>
      </c>
      <c r="J3590" s="52"/>
    </row>
    <row r="3591" spans="1:10" x14ac:dyDescent="0.35">
      <c r="A3591" s="2">
        <v>46081</v>
      </c>
      <c r="B3591" t="s">
        <v>122</v>
      </c>
      <c r="C3591" t="s">
        <v>23</v>
      </c>
      <c r="E3591">
        <v>10</v>
      </c>
      <c r="F3591">
        <v>0</v>
      </c>
      <c r="G3591">
        <v>3</v>
      </c>
      <c r="H3591">
        <v>3</v>
      </c>
      <c r="I3591">
        <v>3</v>
      </c>
      <c r="J3591" s="52"/>
    </row>
    <row r="3592" spans="1:10" x14ac:dyDescent="0.35">
      <c r="A3592" s="2">
        <v>46081</v>
      </c>
      <c r="B3592" t="s">
        <v>126</v>
      </c>
      <c r="C3592" t="s">
        <v>23</v>
      </c>
      <c r="E3592">
        <v>13</v>
      </c>
      <c r="F3592">
        <v>4</v>
      </c>
      <c r="G3592">
        <v>8</v>
      </c>
      <c r="H3592">
        <v>1</v>
      </c>
      <c r="I3592">
        <v>7</v>
      </c>
      <c r="J3592" s="52"/>
    </row>
    <row r="3593" spans="1:10" x14ac:dyDescent="0.35">
      <c r="A3593" s="2">
        <v>46081</v>
      </c>
      <c r="B3593" t="s">
        <v>101</v>
      </c>
      <c r="C3593" t="s">
        <v>23</v>
      </c>
      <c r="E3593">
        <v>0</v>
      </c>
      <c r="F3593">
        <v>1</v>
      </c>
      <c r="G3593">
        <v>0</v>
      </c>
      <c r="H3593">
        <v>0</v>
      </c>
      <c r="I3593">
        <v>0</v>
      </c>
      <c r="J3593" s="52"/>
    </row>
    <row r="3594" spans="1:10" x14ac:dyDescent="0.35">
      <c r="A3594" s="2">
        <v>46081</v>
      </c>
      <c r="B3594" t="s">
        <v>126</v>
      </c>
      <c r="C3594" t="s">
        <v>24</v>
      </c>
      <c r="E3594">
        <v>9</v>
      </c>
      <c r="F3594">
        <v>1</v>
      </c>
      <c r="G3594">
        <v>7</v>
      </c>
      <c r="H3594">
        <v>2</v>
      </c>
      <c r="I3594">
        <v>6</v>
      </c>
      <c r="J3594" s="52"/>
    </row>
    <row r="3595" spans="1:10" x14ac:dyDescent="0.35">
      <c r="A3595" s="2">
        <v>46081</v>
      </c>
      <c r="B3595" t="s">
        <v>96</v>
      </c>
      <c r="C3595" t="s">
        <v>24</v>
      </c>
      <c r="E3595">
        <v>13</v>
      </c>
      <c r="F3595">
        <v>1</v>
      </c>
      <c r="G3595">
        <v>1</v>
      </c>
      <c r="H3595">
        <v>2</v>
      </c>
      <c r="I3595">
        <v>7</v>
      </c>
      <c r="J3595" s="52"/>
    </row>
    <row r="3596" spans="1:10" x14ac:dyDescent="0.35">
      <c r="A3596" s="2">
        <v>46081</v>
      </c>
      <c r="B3596" t="s">
        <v>102</v>
      </c>
      <c r="C3596" t="s">
        <v>24</v>
      </c>
      <c r="E3596">
        <v>1</v>
      </c>
      <c r="F3596">
        <v>0</v>
      </c>
      <c r="G3596">
        <v>0</v>
      </c>
      <c r="H3596">
        <v>0</v>
      </c>
      <c r="I3596">
        <v>1</v>
      </c>
      <c r="J3596" s="52"/>
    </row>
    <row r="3597" spans="1:10" x14ac:dyDescent="0.35">
      <c r="A3597" s="2">
        <v>46081</v>
      </c>
      <c r="B3597" t="s">
        <v>101</v>
      </c>
      <c r="C3597" t="s">
        <v>37</v>
      </c>
      <c r="E3597">
        <v>3</v>
      </c>
      <c r="F3597">
        <v>1</v>
      </c>
      <c r="G3597">
        <v>5</v>
      </c>
      <c r="H3597">
        <v>0</v>
      </c>
      <c r="I3597">
        <v>3</v>
      </c>
      <c r="J3597" s="52"/>
    </row>
    <row r="3598" spans="1:10" x14ac:dyDescent="0.35">
      <c r="A3598" s="2">
        <v>46081</v>
      </c>
      <c r="B3598" t="s">
        <v>102</v>
      </c>
      <c r="C3598" t="s">
        <v>37</v>
      </c>
      <c r="E3598">
        <v>20</v>
      </c>
      <c r="F3598">
        <v>7</v>
      </c>
      <c r="G3598">
        <v>18</v>
      </c>
      <c r="H3598">
        <v>2</v>
      </c>
      <c r="I3598">
        <v>8</v>
      </c>
      <c r="J3598" s="52"/>
    </row>
    <row r="3599" spans="1:10" x14ac:dyDescent="0.35">
      <c r="A3599" s="2">
        <v>46081</v>
      </c>
      <c r="B3599" t="s">
        <v>126</v>
      </c>
      <c r="C3599" t="s">
        <v>37</v>
      </c>
      <c r="E3599">
        <v>12</v>
      </c>
      <c r="F3599">
        <v>2</v>
      </c>
      <c r="G3599">
        <v>6</v>
      </c>
      <c r="H3599">
        <v>2</v>
      </c>
      <c r="I3599">
        <v>10</v>
      </c>
      <c r="J3599" s="52"/>
    </row>
    <row r="3600" spans="1:10" x14ac:dyDescent="0.35">
      <c r="A3600" s="2">
        <v>46081</v>
      </c>
      <c r="B3600" t="s">
        <v>96</v>
      </c>
      <c r="C3600" t="s">
        <v>37</v>
      </c>
      <c r="E3600">
        <v>4</v>
      </c>
      <c r="F3600">
        <v>1</v>
      </c>
      <c r="G3600">
        <v>6</v>
      </c>
      <c r="H3600">
        <v>0</v>
      </c>
      <c r="I3600">
        <v>2</v>
      </c>
      <c r="J3600" s="52"/>
    </row>
    <row r="3601" spans="1:10" x14ac:dyDescent="0.35">
      <c r="A3601" s="2">
        <v>46081</v>
      </c>
      <c r="B3601" t="s">
        <v>112</v>
      </c>
      <c r="C3601" t="s">
        <v>19</v>
      </c>
      <c r="E3601">
        <v>33</v>
      </c>
      <c r="F3601">
        <v>7</v>
      </c>
      <c r="G3601">
        <v>38</v>
      </c>
      <c r="H3601">
        <v>1</v>
      </c>
      <c r="I3601">
        <v>12</v>
      </c>
      <c r="J3601" s="52"/>
    </row>
    <row r="3602" spans="1:10" x14ac:dyDescent="0.35">
      <c r="A3602" s="2">
        <v>46081</v>
      </c>
      <c r="B3602" t="s">
        <v>40</v>
      </c>
      <c r="C3602" t="s">
        <v>19</v>
      </c>
      <c r="E3602">
        <v>20</v>
      </c>
      <c r="F3602">
        <v>1</v>
      </c>
      <c r="G3602">
        <v>19</v>
      </c>
      <c r="H3602">
        <v>0</v>
      </c>
      <c r="I3602">
        <v>6</v>
      </c>
      <c r="J3602" s="52"/>
    </row>
    <row r="3603" spans="1:10" x14ac:dyDescent="0.35">
      <c r="A3603" s="2">
        <v>46081</v>
      </c>
      <c r="B3603" t="s">
        <v>121</v>
      </c>
      <c r="C3603" t="s">
        <v>22</v>
      </c>
      <c r="E3603">
        <v>19</v>
      </c>
      <c r="F3603">
        <v>17</v>
      </c>
      <c r="G3603">
        <v>13</v>
      </c>
      <c r="H3603">
        <v>7</v>
      </c>
      <c r="I3603">
        <v>10</v>
      </c>
      <c r="J3603" s="52"/>
    </row>
    <row r="3604" spans="1:10" x14ac:dyDescent="0.35">
      <c r="A3604" s="2">
        <v>46081</v>
      </c>
      <c r="B3604" t="s">
        <v>95</v>
      </c>
      <c r="C3604" t="s">
        <v>22</v>
      </c>
      <c r="E3604">
        <v>8</v>
      </c>
      <c r="F3604">
        <v>6</v>
      </c>
      <c r="G3604">
        <v>12</v>
      </c>
      <c r="H3604">
        <v>3</v>
      </c>
      <c r="I3604">
        <v>4</v>
      </c>
      <c r="J3604" s="52"/>
    </row>
    <row r="3605" spans="1:10" x14ac:dyDescent="0.35">
      <c r="A3605" s="2">
        <v>46081</v>
      </c>
      <c r="B3605" t="s">
        <v>43</v>
      </c>
      <c r="C3605" t="s">
        <v>27</v>
      </c>
      <c r="E3605">
        <v>23</v>
      </c>
      <c r="F3605">
        <v>0</v>
      </c>
      <c r="G3605">
        <v>11</v>
      </c>
      <c r="H3605">
        <v>0</v>
      </c>
      <c r="I3605">
        <v>8</v>
      </c>
      <c r="J3605" s="52"/>
    </row>
    <row r="3606" spans="1:10" x14ac:dyDescent="0.35">
      <c r="A3606" s="2">
        <v>46081</v>
      </c>
      <c r="B3606" t="s">
        <v>84</v>
      </c>
      <c r="C3606" t="s">
        <v>27</v>
      </c>
      <c r="E3606">
        <v>21</v>
      </c>
      <c r="F3606">
        <v>0</v>
      </c>
      <c r="G3606">
        <v>29</v>
      </c>
      <c r="H3606">
        <v>0</v>
      </c>
      <c r="I3606">
        <v>11</v>
      </c>
      <c r="J3606" s="52"/>
    </row>
    <row r="3607" spans="1:10" x14ac:dyDescent="0.35">
      <c r="A3607" s="2">
        <v>46081</v>
      </c>
      <c r="B3607" t="s">
        <v>101</v>
      </c>
      <c r="C3607" t="s">
        <v>9</v>
      </c>
      <c r="E3607">
        <v>21</v>
      </c>
      <c r="F3607">
        <v>5</v>
      </c>
      <c r="G3607">
        <v>23</v>
      </c>
      <c r="H3607">
        <v>1</v>
      </c>
      <c r="I3607">
        <v>13</v>
      </c>
      <c r="J3607" s="52"/>
    </row>
    <row r="3608" spans="1:10" x14ac:dyDescent="0.35">
      <c r="A3608" s="2">
        <v>46081</v>
      </c>
      <c r="B3608" t="s">
        <v>102</v>
      </c>
      <c r="C3608" t="s">
        <v>9</v>
      </c>
      <c r="E3608">
        <v>1</v>
      </c>
      <c r="F3608">
        <v>0</v>
      </c>
      <c r="G3608">
        <v>0</v>
      </c>
      <c r="H3608">
        <v>0</v>
      </c>
      <c r="I3608">
        <v>1</v>
      </c>
      <c r="J3608" s="52"/>
    </row>
    <row r="3609" spans="1:10" x14ac:dyDescent="0.35">
      <c r="A3609" s="2">
        <v>46081</v>
      </c>
      <c r="B3609" t="s">
        <v>126</v>
      </c>
      <c r="C3609" t="s">
        <v>9</v>
      </c>
      <c r="E3609">
        <v>1</v>
      </c>
      <c r="F3609">
        <v>0</v>
      </c>
      <c r="G3609">
        <v>0</v>
      </c>
      <c r="H3609">
        <v>0</v>
      </c>
      <c r="I3609">
        <v>1</v>
      </c>
      <c r="J3609" s="52"/>
    </row>
    <row r="3610" spans="1:10" x14ac:dyDescent="0.35">
      <c r="A3610" s="2">
        <v>46081</v>
      </c>
      <c r="B3610" t="s">
        <v>75</v>
      </c>
      <c r="C3610" t="s">
        <v>21</v>
      </c>
      <c r="E3610">
        <v>15</v>
      </c>
      <c r="F3610">
        <v>2</v>
      </c>
      <c r="G3610">
        <v>5</v>
      </c>
      <c r="H3610">
        <v>1</v>
      </c>
      <c r="I3610">
        <v>7</v>
      </c>
      <c r="J3610" s="52"/>
    </row>
    <row r="3611" spans="1:10" x14ac:dyDescent="0.35">
      <c r="A3611" s="2">
        <v>46081</v>
      </c>
      <c r="B3611" t="s">
        <v>128</v>
      </c>
      <c r="C3611" t="s">
        <v>21</v>
      </c>
      <c r="E3611">
        <v>8</v>
      </c>
      <c r="F3611">
        <v>2</v>
      </c>
      <c r="G3611">
        <v>7</v>
      </c>
      <c r="H3611">
        <v>0</v>
      </c>
      <c r="I3611">
        <v>4</v>
      </c>
      <c r="J3611" s="52"/>
    </row>
    <row r="3612" spans="1:10" x14ac:dyDescent="0.35">
      <c r="A3612" s="2">
        <v>46081</v>
      </c>
      <c r="B3612" t="s">
        <v>117</v>
      </c>
      <c r="C3612" t="s">
        <v>54</v>
      </c>
      <c r="E3612">
        <v>20</v>
      </c>
      <c r="F3612">
        <v>2</v>
      </c>
      <c r="G3612">
        <v>27</v>
      </c>
      <c r="H3612">
        <v>2</v>
      </c>
      <c r="I3612">
        <v>9</v>
      </c>
      <c r="J3612" s="52"/>
    </row>
    <row r="3613" spans="1:10" x14ac:dyDescent="0.35">
      <c r="A3613" s="2">
        <v>46081</v>
      </c>
      <c r="B3613" t="s">
        <v>147</v>
      </c>
      <c r="C3613" t="s">
        <v>54</v>
      </c>
      <c r="E3613">
        <v>15</v>
      </c>
      <c r="F3613">
        <v>5</v>
      </c>
      <c r="G3613">
        <v>3</v>
      </c>
      <c r="H3613">
        <v>1</v>
      </c>
      <c r="I3613">
        <v>1</v>
      </c>
      <c r="J3613" s="52"/>
    </row>
    <row r="3614" spans="1:10" x14ac:dyDescent="0.35">
      <c r="A3614" s="2">
        <v>46081</v>
      </c>
      <c r="B3614" t="s">
        <v>123</v>
      </c>
      <c r="C3614" t="s">
        <v>55</v>
      </c>
      <c r="E3614">
        <v>4</v>
      </c>
      <c r="F3614">
        <v>7</v>
      </c>
      <c r="G3614">
        <v>11</v>
      </c>
      <c r="H3614">
        <v>1</v>
      </c>
      <c r="I3614">
        <v>6</v>
      </c>
      <c r="J3614" s="52"/>
    </row>
    <row r="3615" spans="1:10" x14ac:dyDescent="0.35">
      <c r="A3615" s="2">
        <v>46081</v>
      </c>
      <c r="B3615" t="s">
        <v>57</v>
      </c>
      <c r="C3615" t="s">
        <v>55</v>
      </c>
      <c r="E3615">
        <v>12</v>
      </c>
      <c r="F3615">
        <v>0</v>
      </c>
      <c r="G3615">
        <v>7</v>
      </c>
      <c r="H3615">
        <v>3</v>
      </c>
      <c r="I3615">
        <v>5</v>
      </c>
      <c r="J3615" s="52"/>
    </row>
    <row r="3616" spans="1:10" x14ac:dyDescent="0.35">
      <c r="A3616" s="2">
        <v>46081</v>
      </c>
      <c r="B3616" t="s">
        <v>107</v>
      </c>
      <c r="C3616" t="s">
        <v>58</v>
      </c>
      <c r="E3616">
        <v>26</v>
      </c>
      <c r="F3616">
        <v>12</v>
      </c>
      <c r="G3616">
        <v>28</v>
      </c>
      <c r="H3616">
        <v>7</v>
      </c>
      <c r="I3616">
        <v>7</v>
      </c>
      <c r="J3616" s="52"/>
    </row>
    <row r="3617" spans="1:10" x14ac:dyDescent="0.35">
      <c r="A3617" s="2">
        <v>46081</v>
      </c>
      <c r="B3617" t="s">
        <v>129</v>
      </c>
      <c r="C3617" t="s">
        <v>58</v>
      </c>
      <c r="E3617">
        <v>18</v>
      </c>
      <c r="F3617">
        <v>7</v>
      </c>
      <c r="G3617">
        <v>4</v>
      </c>
      <c r="H3617">
        <v>3</v>
      </c>
      <c r="I3617">
        <v>4</v>
      </c>
      <c r="J3617" s="52"/>
    </row>
    <row r="3618" spans="1:10" x14ac:dyDescent="0.35">
      <c r="A3618" s="2">
        <v>46081</v>
      </c>
      <c r="B3618" t="s">
        <v>118</v>
      </c>
      <c r="C3618" t="s">
        <v>61</v>
      </c>
      <c r="E3618">
        <v>13</v>
      </c>
      <c r="F3618">
        <v>0</v>
      </c>
      <c r="G3618">
        <v>12</v>
      </c>
      <c r="H3618">
        <v>0</v>
      </c>
      <c r="I3618">
        <v>12</v>
      </c>
      <c r="J3618" s="52"/>
    </row>
    <row r="3619" spans="1:10" x14ac:dyDescent="0.35">
      <c r="A3619" s="2">
        <v>46081</v>
      </c>
      <c r="B3619" t="s">
        <v>119</v>
      </c>
      <c r="C3619" t="s">
        <v>63</v>
      </c>
      <c r="E3619">
        <v>12</v>
      </c>
      <c r="F3619">
        <v>8</v>
      </c>
      <c r="G3619">
        <v>7</v>
      </c>
      <c r="H3619">
        <v>1</v>
      </c>
      <c r="I3619">
        <v>14</v>
      </c>
      <c r="J3619" s="52"/>
    </row>
    <row r="3620" spans="1:10" x14ac:dyDescent="0.35">
      <c r="A3620" s="2">
        <v>46081</v>
      </c>
      <c r="B3620" t="s">
        <v>77</v>
      </c>
      <c r="C3620" t="s">
        <v>73</v>
      </c>
      <c r="E3620">
        <v>9</v>
      </c>
      <c r="F3620">
        <v>1</v>
      </c>
      <c r="G3620">
        <v>14</v>
      </c>
      <c r="H3620">
        <v>13</v>
      </c>
      <c r="I3620">
        <v>5</v>
      </c>
      <c r="J3620" s="52"/>
    </row>
    <row r="3621" spans="1:10" x14ac:dyDescent="0.35">
      <c r="A3621" s="2">
        <v>46081</v>
      </c>
      <c r="B3621" t="s">
        <v>165</v>
      </c>
      <c r="C3621" t="s">
        <v>73</v>
      </c>
      <c r="E3621">
        <v>8</v>
      </c>
      <c r="F3621">
        <v>4</v>
      </c>
      <c r="G3621">
        <v>1</v>
      </c>
      <c r="H3621">
        <v>2</v>
      </c>
      <c r="I3621">
        <v>0</v>
      </c>
      <c r="J3621" s="52"/>
    </row>
    <row r="3622" spans="1:10" x14ac:dyDescent="0.35">
      <c r="A3622" s="2">
        <v>46081</v>
      </c>
      <c r="B3622" t="s">
        <v>110</v>
      </c>
      <c r="C3622" t="s">
        <v>81</v>
      </c>
      <c r="E3622">
        <v>21</v>
      </c>
      <c r="F3622">
        <v>1</v>
      </c>
      <c r="G3622">
        <v>12</v>
      </c>
      <c r="H3622">
        <v>0</v>
      </c>
      <c r="I3622">
        <v>5</v>
      </c>
      <c r="J3622" s="52"/>
    </row>
    <row r="3623" spans="1:10" x14ac:dyDescent="0.35">
      <c r="A3623" s="2">
        <v>46081</v>
      </c>
      <c r="B3623" t="s">
        <v>85</v>
      </c>
      <c r="C3623" t="s">
        <v>83</v>
      </c>
      <c r="E3623">
        <v>20</v>
      </c>
      <c r="F3623">
        <v>6</v>
      </c>
      <c r="G3623">
        <v>23</v>
      </c>
      <c r="H3623">
        <v>4</v>
      </c>
      <c r="I3623">
        <v>8</v>
      </c>
      <c r="J3623" s="52"/>
    </row>
    <row r="3624" spans="1:10" x14ac:dyDescent="0.35">
      <c r="A3624" s="2">
        <v>46081</v>
      </c>
      <c r="B3624" t="s">
        <v>98</v>
      </c>
      <c r="C3624" t="s">
        <v>94</v>
      </c>
      <c r="E3624">
        <v>23</v>
      </c>
      <c r="F3624">
        <v>0</v>
      </c>
      <c r="G3624">
        <v>19</v>
      </c>
      <c r="H3624">
        <v>0</v>
      </c>
      <c r="I3624">
        <v>6</v>
      </c>
      <c r="J3624" s="52"/>
    </row>
    <row r="3625" spans="1:10" x14ac:dyDescent="0.35">
      <c r="A3625" s="2">
        <v>46081</v>
      </c>
      <c r="B3625" t="s">
        <v>130</v>
      </c>
      <c r="C3625" t="s">
        <v>94</v>
      </c>
      <c r="E3625">
        <v>7</v>
      </c>
      <c r="F3625">
        <v>0</v>
      </c>
      <c r="G3625">
        <v>3</v>
      </c>
      <c r="H3625">
        <v>0</v>
      </c>
      <c r="I3625">
        <v>4</v>
      </c>
      <c r="J3625" s="52"/>
    </row>
    <row r="3626" spans="1:10" x14ac:dyDescent="0.35">
      <c r="A3626" s="2">
        <v>46081</v>
      </c>
      <c r="C3626" t="s">
        <v>24</v>
      </c>
      <c r="D3626">
        <v>306</v>
      </c>
      <c r="J3626" s="58">
        <v>209420</v>
      </c>
    </row>
    <row r="3627" spans="1:10" x14ac:dyDescent="0.35">
      <c r="A3627" s="2">
        <v>46081</v>
      </c>
      <c r="C3627" t="s">
        <v>9</v>
      </c>
      <c r="D3627">
        <v>234</v>
      </c>
      <c r="J3627" s="58">
        <v>228210</v>
      </c>
    </row>
    <row r="3628" spans="1:10" x14ac:dyDescent="0.35">
      <c r="A3628" s="2">
        <v>46081</v>
      </c>
      <c r="C3628" t="s">
        <v>37</v>
      </c>
      <c r="D3628">
        <v>340</v>
      </c>
      <c r="J3628" s="58">
        <v>359760</v>
      </c>
    </row>
    <row r="3629" spans="1:10" x14ac:dyDescent="0.35">
      <c r="A3629" s="2">
        <v>46081</v>
      </c>
      <c r="C3629" t="s">
        <v>23</v>
      </c>
      <c r="D3629">
        <v>236</v>
      </c>
      <c r="J3629" s="58">
        <v>147182</v>
      </c>
    </row>
    <row r="3630" spans="1:10" x14ac:dyDescent="0.35">
      <c r="A3630" s="2">
        <v>46081</v>
      </c>
      <c r="C3630" t="s">
        <v>27</v>
      </c>
      <c r="D3630">
        <v>371</v>
      </c>
      <c r="J3630" s="58">
        <v>320500</v>
      </c>
    </row>
    <row r="3631" spans="1:10" x14ac:dyDescent="0.35">
      <c r="A3631" s="2">
        <v>46081</v>
      </c>
      <c r="C3631" t="s">
        <v>26</v>
      </c>
      <c r="D3631">
        <v>127</v>
      </c>
      <c r="J3631" s="58">
        <v>170500</v>
      </c>
    </row>
    <row r="3632" spans="1:10" x14ac:dyDescent="0.35">
      <c r="A3632" s="2">
        <v>46081</v>
      </c>
      <c r="C3632" t="s">
        <v>20</v>
      </c>
      <c r="D3632">
        <v>300</v>
      </c>
      <c r="J3632" s="58">
        <v>305028</v>
      </c>
    </row>
    <row r="3633" spans="1:10" x14ac:dyDescent="0.35">
      <c r="A3633" s="2">
        <v>46081</v>
      </c>
      <c r="C3633" t="s">
        <v>25</v>
      </c>
      <c r="D3633">
        <v>145</v>
      </c>
      <c r="J3633" s="58">
        <v>146716</v>
      </c>
    </row>
    <row r="3634" spans="1:10" x14ac:dyDescent="0.35">
      <c r="A3634" s="2">
        <v>46081</v>
      </c>
      <c r="C3634" t="s">
        <v>19</v>
      </c>
      <c r="D3634">
        <v>420</v>
      </c>
      <c r="J3634" s="58">
        <v>272510</v>
      </c>
    </row>
    <row r="3635" spans="1:10" x14ac:dyDescent="0.35">
      <c r="A3635" s="2">
        <v>46081</v>
      </c>
      <c r="C3635" t="s">
        <v>21</v>
      </c>
      <c r="D3635">
        <v>213</v>
      </c>
      <c r="J3635" s="58">
        <v>174069.86</v>
      </c>
    </row>
    <row r="3636" spans="1:10" x14ac:dyDescent="0.35">
      <c r="A3636" s="2">
        <v>46081</v>
      </c>
      <c r="C3636" t="s">
        <v>18</v>
      </c>
      <c r="D3636">
        <v>452</v>
      </c>
      <c r="J3636" s="58">
        <v>326850</v>
      </c>
    </row>
    <row r="3637" spans="1:10" x14ac:dyDescent="0.35">
      <c r="A3637" s="2">
        <v>46081</v>
      </c>
      <c r="C3637" t="s">
        <v>22</v>
      </c>
      <c r="D3637">
        <v>242</v>
      </c>
      <c r="J3637" s="58">
        <v>205000</v>
      </c>
    </row>
    <row r="3638" spans="1:10" x14ac:dyDescent="0.35">
      <c r="A3638" s="2">
        <v>46081</v>
      </c>
      <c r="C3638" t="s">
        <v>54</v>
      </c>
      <c r="D3638">
        <v>201</v>
      </c>
      <c r="J3638" s="58">
        <v>156622</v>
      </c>
    </row>
    <row r="3639" spans="1:10" x14ac:dyDescent="0.35">
      <c r="A3639" s="2">
        <v>46081</v>
      </c>
      <c r="C3639" t="s">
        <v>55</v>
      </c>
      <c r="D3639">
        <v>163</v>
      </c>
      <c r="J3639" s="58">
        <v>146552</v>
      </c>
    </row>
    <row r="3640" spans="1:10" x14ac:dyDescent="0.35">
      <c r="A3640" s="2">
        <v>46081</v>
      </c>
      <c r="C3640" t="s">
        <v>58</v>
      </c>
      <c r="D3640">
        <v>262</v>
      </c>
      <c r="J3640" s="58">
        <v>167512</v>
      </c>
    </row>
    <row r="3641" spans="1:10" x14ac:dyDescent="0.35">
      <c r="A3641" s="2">
        <v>46081</v>
      </c>
      <c r="C3641" t="s">
        <v>61</v>
      </c>
      <c r="D3641">
        <v>275</v>
      </c>
      <c r="J3641" s="58">
        <v>161000</v>
      </c>
    </row>
    <row r="3642" spans="1:10" x14ac:dyDescent="0.35">
      <c r="A3642" s="2">
        <v>46081</v>
      </c>
      <c r="C3642" t="s">
        <v>63</v>
      </c>
      <c r="D3642">
        <v>257</v>
      </c>
      <c r="J3642" s="58">
        <v>193800</v>
      </c>
    </row>
    <row r="3643" spans="1:10" x14ac:dyDescent="0.35">
      <c r="A3643" s="2">
        <v>46081</v>
      </c>
      <c r="C3643" t="s">
        <v>73</v>
      </c>
      <c r="D3643">
        <v>246</v>
      </c>
      <c r="J3643" s="58">
        <v>67610</v>
      </c>
    </row>
    <row r="3644" spans="1:10" x14ac:dyDescent="0.35">
      <c r="A3644" s="2">
        <v>46081</v>
      </c>
      <c r="C3644" t="s">
        <v>81</v>
      </c>
      <c r="D3644">
        <v>166</v>
      </c>
      <c r="J3644" s="58">
        <v>71700</v>
      </c>
    </row>
    <row r="3645" spans="1:10" x14ac:dyDescent="0.35">
      <c r="A3645" s="2">
        <v>46081</v>
      </c>
      <c r="C3645" t="s">
        <v>83</v>
      </c>
      <c r="D3645">
        <v>121</v>
      </c>
      <c r="J3645" s="58">
        <v>119720</v>
      </c>
    </row>
    <row r="3646" spans="1:10" x14ac:dyDescent="0.35">
      <c r="A3646" s="2">
        <v>46081</v>
      </c>
      <c r="C3646" t="s">
        <v>94</v>
      </c>
      <c r="D3646">
        <v>224</v>
      </c>
      <c r="J3646" s="58">
        <v>146200</v>
      </c>
    </row>
    <row r="3647" spans="1:10" x14ac:dyDescent="0.35">
      <c r="A3647" s="2">
        <v>46081</v>
      </c>
      <c r="C3647" t="s">
        <v>115</v>
      </c>
      <c r="D3647">
        <v>130</v>
      </c>
      <c r="J3647" s="58">
        <v>92350</v>
      </c>
    </row>
    <row r="3648" spans="1:10" x14ac:dyDescent="0.35">
      <c r="A3648" s="2">
        <v>46112</v>
      </c>
      <c r="B3648" t="s">
        <v>110</v>
      </c>
      <c r="C3648" t="s">
        <v>20</v>
      </c>
      <c r="I3648">
        <v>10</v>
      </c>
      <c r="J3648" s="52"/>
    </row>
    <row r="3649" spans="1:10" x14ac:dyDescent="0.35">
      <c r="A3649" s="2">
        <v>46112</v>
      </c>
      <c r="B3649" t="s">
        <v>113</v>
      </c>
      <c r="C3649" t="s">
        <v>20</v>
      </c>
      <c r="I3649">
        <v>5</v>
      </c>
      <c r="J3649" s="52"/>
    </row>
    <row r="3650" spans="1:10" x14ac:dyDescent="0.35">
      <c r="A3650" s="2">
        <v>46112</v>
      </c>
      <c r="B3650" t="s">
        <v>148</v>
      </c>
      <c r="C3650" t="s">
        <v>20</v>
      </c>
      <c r="I3650">
        <v>1</v>
      </c>
      <c r="J3650" s="52"/>
    </row>
    <row r="3651" spans="1:10" x14ac:dyDescent="0.35">
      <c r="A3651" s="2">
        <v>46112</v>
      </c>
      <c r="B3651" t="s">
        <v>148</v>
      </c>
      <c r="C3651" t="s">
        <v>26</v>
      </c>
      <c r="I3651">
        <v>10</v>
      </c>
      <c r="J3651" s="52"/>
    </row>
    <row r="3652" spans="1:10" x14ac:dyDescent="0.35">
      <c r="A3652" s="2">
        <v>46112</v>
      </c>
      <c r="B3652" t="s">
        <v>113</v>
      </c>
      <c r="C3652" t="s">
        <v>26</v>
      </c>
      <c r="I3652">
        <v>2</v>
      </c>
      <c r="J3652" s="52"/>
    </row>
    <row r="3653" spans="1:10" x14ac:dyDescent="0.35">
      <c r="A3653" s="2">
        <v>46112</v>
      </c>
      <c r="B3653" t="s">
        <v>148</v>
      </c>
      <c r="C3653" t="s">
        <v>115</v>
      </c>
      <c r="I3653">
        <v>6</v>
      </c>
      <c r="J3653" s="52"/>
    </row>
    <row r="3654" spans="1:10" x14ac:dyDescent="0.35">
      <c r="A3654" s="2">
        <v>46112</v>
      </c>
      <c r="B3654" t="s">
        <v>38</v>
      </c>
      <c r="C3654" t="s">
        <v>18</v>
      </c>
      <c r="I3654">
        <v>14</v>
      </c>
      <c r="J3654" s="52"/>
    </row>
    <row r="3655" spans="1:10" x14ac:dyDescent="0.35">
      <c r="A3655" s="2">
        <v>46112</v>
      </c>
      <c r="B3655" t="s">
        <v>116</v>
      </c>
      <c r="C3655" t="s">
        <v>18</v>
      </c>
      <c r="I3655">
        <v>12</v>
      </c>
      <c r="J3655" s="52"/>
    </row>
    <row r="3656" spans="1:10" x14ac:dyDescent="0.35">
      <c r="A3656" s="2">
        <v>46112</v>
      </c>
      <c r="B3656" t="s">
        <v>122</v>
      </c>
      <c r="C3656" t="s">
        <v>25</v>
      </c>
      <c r="I3656">
        <v>17</v>
      </c>
      <c r="J3656" s="52"/>
    </row>
    <row r="3657" spans="1:10" x14ac:dyDescent="0.35">
      <c r="A3657" s="2">
        <v>46112</v>
      </c>
      <c r="B3657" t="s">
        <v>122</v>
      </c>
      <c r="C3657" t="s">
        <v>23</v>
      </c>
      <c r="I3657">
        <v>2</v>
      </c>
      <c r="J3657" s="52"/>
    </row>
    <row r="3658" spans="1:10" x14ac:dyDescent="0.35">
      <c r="A3658" s="2">
        <v>46112</v>
      </c>
      <c r="B3658" t="s">
        <v>126</v>
      </c>
      <c r="C3658" t="s">
        <v>23</v>
      </c>
      <c r="I3658">
        <v>6</v>
      </c>
      <c r="J3658" s="52"/>
    </row>
    <row r="3659" spans="1:10" x14ac:dyDescent="0.35">
      <c r="A3659" s="2">
        <v>46112</v>
      </c>
      <c r="B3659" t="s">
        <v>96</v>
      </c>
      <c r="C3659" t="s">
        <v>23</v>
      </c>
      <c r="I3659">
        <v>1</v>
      </c>
      <c r="J3659" s="52"/>
    </row>
    <row r="3660" spans="1:10" x14ac:dyDescent="0.35">
      <c r="A3660" s="2">
        <v>46112</v>
      </c>
      <c r="B3660" t="s">
        <v>126</v>
      </c>
      <c r="C3660" t="s">
        <v>24</v>
      </c>
      <c r="I3660">
        <v>9</v>
      </c>
      <c r="J3660" s="52"/>
    </row>
    <row r="3661" spans="1:10" x14ac:dyDescent="0.35">
      <c r="A3661" s="2">
        <v>46112</v>
      </c>
      <c r="B3661" t="s">
        <v>96</v>
      </c>
      <c r="C3661" t="s">
        <v>24</v>
      </c>
      <c r="I3661">
        <v>2</v>
      </c>
      <c r="J3661" s="52"/>
    </row>
    <row r="3662" spans="1:10" x14ac:dyDescent="0.35">
      <c r="A3662" s="2">
        <v>46112</v>
      </c>
      <c r="B3662" t="s">
        <v>102</v>
      </c>
      <c r="C3662" t="s">
        <v>24</v>
      </c>
      <c r="J3662" s="52"/>
    </row>
    <row r="3663" spans="1:10" x14ac:dyDescent="0.35">
      <c r="A3663" s="2">
        <v>46112</v>
      </c>
      <c r="B3663" t="s">
        <v>101</v>
      </c>
      <c r="C3663" t="s">
        <v>37</v>
      </c>
      <c r="I3663">
        <v>0</v>
      </c>
      <c r="J3663" s="52"/>
    </row>
    <row r="3664" spans="1:10" x14ac:dyDescent="0.35">
      <c r="A3664" s="2">
        <v>46112</v>
      </c>
      <c r="B3664" t="s">
        <v>102</v>
      </c>
      <c r="C3664" t="s">
        <v>37</v>
      </c>
      <c r="I3664">
        <v>14</v>
      </c>
      <c r="J3664" s="52"/>
    </row>
    <row r="3665" spans="1:10" x14ac:dyDescent="0.35">
      <c r="A3665" s="2">
        <v>46112</v>
      </c>
      <c r="B3665" t="s">
        <v>126</v>
      </c>
      <c r="C3665" t="s">
        <v>37</v>
      </c>
      <c r="I3665">
        <v>13</v>
      </c>
      <c r="J3665" s="52"/>
    </row>
    <row r="3666" spans="1:10" x14ac:dyDescent="0.35">
      <c r="A3666" s="2">
        <v>46112</v>
      </c>
      <c r="B3666" t="s">
        <v>96</v>
      </c>
      <c r="C3666" t="s">
        <v>37</v>
      </c>
      <c r="I3666">
        <v>5</v>
      </c>
      <c r="J3666" s="52"/>
    </row>
    <row r="3667" spans="1:10" x14ac:dyDescent="0.35">
      <c r="A3667" s="2">
        <v>46112</v>
      </c>
      <c r="B3667" t="s">
        <v>112</v>
      </c>
      <c r="C3667" t="s">
        <v>19</v>
      </c>
      <c r="I3667">
        <v>15</v>
      </c>
      <c r="J3667" s="52"/>
    </row>
    <row r="3668" spans="1:10" x14ac:dyDescent="0.35">
      <c r="A3668" s="2">
        <v>46112</v>
      </c>
      <c r="B3668" t="s">
        <v>40</v>
      </c>
      <c r="C3668" t="s">
        <v>19</v>
      </c>
      <c r="I3668">
        <v>5</v>
      </c>
      <c r="J3668" s="52"/>
    </row>
    <row r="3669" spans="1:10" x14ac:dyDescent="0.35">
      <c r="A3669" s="2">
        <v>46112</v>
      </c>
      <c r="B3669" t="s">
        <v>121</v>
      </c>
      <c r="C3669" t="s">
        <v>22</v>
      </c>
      <c r="I3669">
        <v>7</v>
      </c>
      <c r="J3669" s="52"/>
    </row>
    <row r="3670" spans="1:10" x14ac:dyDescent="0.35">
      <c r="A3670" s="2">
        <v>46112</v>
      </c>
      <c r="B3670" t="s">
        <v>95</v>
      </c>
      <c r="C3670" t="s">
        <v>22</v>
      </c>
      <c r="I3670">
        <v>6</v>
      </c>
      <c r="J3670" s="52"/>
    </row>
    <row r="3671" spans="1:10" x14ac:dyDescent="0.35">
      <c r="A3671" s="2">
        <v>46112</v>
      </c>
      <c r="B3671" t="s">
        <v>43</v>
      </c>
      <c r="C3671" t="s">
        <v>27</v>
      </c>
      <c r="I3671">
        <v>11</v>
      </c>
      <c r="J3671" s="52"/>
    </row>
    <row r="3672" spans="1:10" x14ac:dyDescent="0.35">
      <c r="A3672" s="2">
        <v>46112</v>
      </c>
      <c r="B3672" t="s">
        <v>84</v>
      </c>
      <c r="C3672" t="s">
        <v>27</v>
      </c>
      <c r="I3672">
        <v>13</v>
      </c>
      <c r="J3672" s="52"/>
    </row>
    <row r="3673" spans="1:10" x14ac:dyDescent="0.35">
      <c r="A3673" s="2">
        <v>46112</v>
      </c>
      <c r="B3673" t="s">
        <v>101</v>
      </c>
      <c r="C3673" t="s">
        <v>9</v>
      </c>
      <c r="I3673">
        <v>8</v>
      </c>
      <c r="J3673" s="52"/>
    </row>
    <row r="3674" spans="1:10" x14ac:dyDescent="0.35">
      <c r="A3674" s="2">
        <v>46112</v>
      </c>
      <c r="B3674" t="s">
        <v>102</v>
      </c>
      <c r="C3674" t="s">
        <v>9</v>
      </c>
      <c r="J3674" s="52"/>
    </row>
    <row r="3675" spans="1:10" x14ac:dyDescent="0.35">
      <c r="A3675" s="2">
        <v>46112</v>
      </c>
      <c r="B3675" t="s">
        <v>126</v>
      </c>
      <c r="C3675" t="s">
        <v>9</v>
      </c>
      <c r="J3675" s="52"/>
    </row>
    <row r="3676" spans="1:10" x14ac:dyDescent="0.35">
      <c r="A3676" s="2">
        <v>46112</v>
      </c>
      <c r="B3676" t="s">
        <v>75</v>
      </c>
      <c r="C3676" t="s">
        <v>21</v>
      </c>
      <c r="I3676">
        <v>6</v>
      </c>
      <c r="J3676" s="52"/>
    </row>
    <row r="3677" spans="1:10" x14ac:dyDescent="0.35">
      <c r="A3677" s="2">
        <v>46112</v>
      </c>
      <c r="B3677" t="s">
        <v>128</v>
      </c>
      <c r="C3677" t="s">
        <v>21</v>
      </c>
      <c r="I3677">
        <v>6</v>
      </c>
      <c r="J3677" s="52"/>
    </row>
    <row r="3678" spans="1:10" x14ac:dyDescent="0.35">
      <c r="A3678" s="2">
        <v>46112</v>
      </c>
      <c r="B3678" t="s">
        <v>117</v>
      </c>
      <c r="C3678" t="s">
        <v>54</v>
      </c>
      <c r="I3678">
        <v>9</v>
      </c>
      <c r="J3678" s="52"/>
    </row>
    <row r="3679" spans="1:10" x14ac:dyDescent="0.35">
      <c r="A3679" s="2">
        <v>46112</v>
      </c>
      <c r="B3679" t="s">
        <v>147</v>
      </c>
      <c r="C3679" t="s">
        <v>54</v>
      </c>
      <c r="I3679">
        <v>3</v>
      </c>
      <c r="J3679" s="52"/>
    </row>
    <row r="3680" spans="1:10" x14ac:dyDescent="0.35">
      <c r="A3680" s="2">
        <v>46112</v>
      </c>
      <c r="B3680" t="s">
        <v>123</v>
      </c>
      <c r="C3680" t="s">
        <v>55</v>
      </c>
      <c r="I3680">
        <v>10</v>
      </c>
      <c r="J3680" s="52"/>
    </row>
    <row r="3681" spans="1:10" x14ac:dyDescent="0.35">
      <c r="A3681" s="2">
        <v>46112</v>
      </c>
      <c r="B3681" t="s">
        <v>57</v>
      </c>
      <c r="C3681" t="s">
        <v>55</v>
      </c>
      <c r="I3681">
        <v>5</v>
      </c>
      <c r="J3681" s="52"/>
    </row>
    <row r="3682" spans="1:10" x14ac:dyDescent="0.35">
      <c r="A3682" s="2">
        <v>46112</v>
      </c>
      <c r="B3682" t="s">
        <v>107</v>
      </c>
      <c r="C3682" t="s">
        <v>58</v>
      </c>
      <c r="I3682">
        <v>9</v>
      </c>
      <c r="J3682" s="52"/>
    </row>
    <row r="3683" spans="1:10" x14ac:dyDescent="0.35">
      <c r="A3683" s="2">
        <v>46112</v>
      </c>
      <c r="B3683" t="s">
        <v>129</v>
      </c>
      <c r="C3683" t="s">
        <v>58</v>
      </c>
      <c r="I3683">
        <v>7</v>
      </c>
      <c r="J3683" s="52"/>
    </row>
    <row r="3684" spans="1:10" x14ac:dyDescent="0.35">
      <c r="A3684" s="2">
        <v>46112</v>
      </c>
      <c r="B3684" t="s">
        <v>118</v>
      </c>
      <c r="C3684" t="s">
        <v>61</v>
      </c>
      <c r="I3684">
        <v>9</v>
      </c>
      <c r="J3684" s="52"/>
    </row>
    <row r="3685" spans="1:10" x14ac:dyDescent="0.35">
      <c r="A3685" s="2">
        <v>46112</v>
      </c>
      <c r="B3685" t="s">
        <v>119</v>
      </c>
      <c r="C3685" t="s">
        <v>63</v>
      </c>
      <c r="I3685">
        <v>7</v>
      </c>
      <c r="J3685" s="52"/>
    </row>
    <row r="3686" spans="1:10" x14ac:dyDescent="0.35">
      <c r="A3686" s="2">
        <v>46112</v>
      </c>
      <c r="B3686" t="s">
        <v>77</v>
      </c>
      <c r="C3686" t="s">
        <v>73</v>
      </c>
      <c r="I3686">
        <v>0</v>
      </c>
      <c r="J3686" s="52"/>
    </row>
    <row r="3687" spans="1:10" x14ac:dyDescent="0.35">
      <c r="A3687" s="2">
        <v>46112</v>
      </c>
      <c r="B3687" t="s">
        <v>165</v>
      </c>
      <c r="C3687" t="s">
        <v>73</v>
      </c>
      <c r="I3687">
        <v>1</v>
      </c>
      <c r="J3687" s="52"/>
    </row>
    <row r="3688" spans="1:10" x14ac:dyDescent="0.35">
      <c r="A3688" s="2">
        <v>46112</v>
      </c>
      <c r="B3688" t="s">
        <v>110</v>
      </c>
      <c r="C3688" t="s">
        <v>81</v>
      </c>
      <c r="I3688">
        <v>9</v>
      </c>
      <c r="J3688" s="52"/>
    </row>
    <row r="3689" spans="1:10" x14ac:dyDescent="0.35">
      <c r="A3689" s="2">
        <v>46112</v>
      </c>
      <c r="B3689" t="s">
        <v>85</v>
      </c>
      <c r="C3689" t="s">
        <v>83</v>
      </c>
      <c r="I3689">
        <v>10</v>
      </c>
      <c r="J3689" s="52"/>
    </row>
    <row r="3690" spans="1:10" x14ac:dyDescent="0.35">
      <c r="A3690" s="2">
        <v>46112</v>
      </c>
      <c r="B3690" t="s">
        <v>98</v>
      </c>
      <c r="C3690" t="s">
        <v>94</v>
      </c>
      <c r="I3690">
        <v>7</v>
      </c>
      <c r="J3690" s="52"/>
    </row>
    <row r="3691" spans="1:10" x14ac:dyDescent="0.35">
      <c r="A3691" s="2">
        <v>46112</v>
      </c>
      <c r="B3691" t="s">
        <v>130</v>
      </c>
      <c r="C3691" t="s">
        <v>94</v>
      </c>
      <c r="I3691">
        <v>0</v>
      </c>
      <c r="J3691" s="52"/>
    </row>
    <row r="3692" spans="1:10" x14ac:dyDescent="0.35">
      <c r="A3692" s="2">
        <v>46112</v>
      </c>
      <c r="C3692" t="s">
        <v>24</v>
      </c>
      <c r="D3692">
        <v>331</v>
      </c>
      <c r="J3692" s="58">
        <v>162166</v>
      </c>
    </row>
    <row r="3693" spans="1:10" x14ac:dyDescent="0.35">
      <c r="A3693" s="2">
        <v>46112</v>
      </c>
      <c r="C3693" t="s">
        <v>9</v>
      </c>
      <c r="D3693">
        <v>185</v>
      </c>
      <c r="J3693" s="58">
        <v>126264</v>
      </c>
    </row>
    <row r="3694" spans="1:10" x14ac:dyDescent="0.35">
      <c r="A3694" s="2">
        <v>46112</v>
      </c>
      <c r="C3694" t="s">
        <v>37</v>
      </c>
      <c r="D3694">
        <v>429</v>
      </c>
      <c r="J3694" s="58">
        <v>469584</v>
      </c>
    </row>
    <row r="3695" spans="1:10" x14ac:dyDescent="0.35">
      <c r="A3695" s="2">
        <v>46112</v>
      </c>
      <c r="C3695" t="s">
        <v>23</v>
      </c>
      <c r="D3695">
        <v>340</v>
      </c>
      <c r="J3695" s="58">
        <v>122250</v>
      </c>
    </row>
    <row r="3696" spans="1:10" x14ac:dyDescent="0.35">
      <c r="A3696" s="2">
        <v>46112</v>
      </c>
      <c r="C3696" t="s">
        <v>27</v>
      </c>
      <c r="D3696">
        <v>272</v>
      </c>
      <c r="J3696" s="58">
        <v>426900</v>
      </c>
    </row>
    <row r="3697" spans="1:10" x14ac:dyDescent="0.35">
      <c r="A3697" s="2">
        <v>46112</v>
      </c>
      <c r="C3697" t="s">
        <v>26</v>
      </c>
      <c r="D3697">
        <v>133</v>
      </c>
      <c r="J3697" s="58">
        <v>171643</v>
      </c>
    </row>
    <row r="3698" spans="1:10" x14ac:dyDescent="0.35">
      <c r="A3698" s="2">
        <v>46112</v>
      </c>
      <c r="C3698" t="s">
        <v>20</v>
      </c>
      <c r="D3698">
        <v>382</v>
      </c>
      <c r="J3698" s="58">
        <v>232484</v>
      </c>
    </row>
    <row r="3699" spans="1:10" x14ac:dyDescent="0.35">
      <c r="A3699" s="2">
        <v>46112</v>
      </c>
      <c r="C3699" t="s">
        <v>25</v>
      </c>
      <c r="D3699">
        <v>144</v>
      </c>
      <c r="J3699" s="58">
        <v>255590</v>
      </c>
    </row>
    <row r="3700" spans="1:10" x14ac:dyDescent="0.35">
      <c r="A3700" s="2">
        <v>46112</v>
      </c>
      <c r="C3700" t="s">
        <v>19</v>
      </c>
      <c r="D3700">
        <v>282</v>
      </c>
      <c r="J3700" s="58">
        <v>298142</v>
      </c>
    </row>
    <row r="3701" spans="1:10" x14ac:dyDescent="0.35">
      <c r="A3701" s="2">
        <v>46112</v>
      </c>
      <c r="C3701" t="s">
        <v>21</v>
      </c>
      <c r="D3701">
        <v>282</v>
      </c>
      <c r="J3701" s="165">
        <v>182489.72</v>
      </c>
    </row>
    <row r="3702" spans="1:10" x14ac:dyDescent="0.35">
      <c r="A3702" s="2">
        <v>46112</v>
      </c>
      <c r="C3702" t="s">
        <v>18</v>
      </c>
      <c r="D3702">
        <v>478</v>
      </c>
      <c r="J3702" s="58">
        <v>414860</v>
      </c>
    </row>
    <row r="3703" spans="1:10" x14ac:dyDescent="0.35">
      <c r="A3703" s="2">
        <v>46112</v>
      </c>
      <c r="C3703" t="s">
        <v>22</v>
      </c>
      <c r="D3703">
        <v>353</v>
      </c>
      <c r="J3703" s="58">
        <v>198980</v>
      </c>
    </row>
    <row r="3704" spans="1:10" x14ac:dyDescent="0.35">
      <c r="A3704" s="2">
        <v>46112</v>
      </c>
      <c r="C3704" t="s">
        <v>54</v>
      </c>
      <c r="D3704">
        <v>195</v>
      </c>
      <c r="J3704" s="58">
        <v>194010</v>
      </c>
    </row>
    <row r="3705" spans="1:10" x14ac:dyDescent="0.35">
      <c r="A3705" s="2">
        <v>46112</v>
      </c>
      <c r="C3705" t="s">
        <v>55</v>
      </c>
      <c r="D3705">
        <v>390</v>
      </c>
      <c r="J3705" s="58">
        <v>203950</v>
      </c>
    </row>
    <row r="3706" spans="1:10" x14ac:dyDescent="0.35">
      <c r="A3706" s="2">
        <v>46112</v>
      </c>
      <c r="C3706" t="s">
        <v>58</v>
      </c>
      <c r="D3706">
        <v>288</v>
      </c>
      <c r="J3706" s="58">
        <v>245410</v>
      </c>
    </row>
    <row r="3707" spans="1:10" x14ac:dyDescent="0.35">
      <c r="A3707" s="2">
        <v>46112</v>
      </c>
      <c r="C3707" t="s">
        <v>61</v>
      </c>
      <c r="D3707">
        <v>295</v>
      </c>
      <c r="J3707" s="58">
        <v>129400</v>
      </c>
    </row>
    <row r="3708" spans="1:10" x14ac:dyDescent="0.35">
      <c r="A3708" s="2">
        <v>46112</v>
      </c>
      <c r="C3708" t="s">
        <v>63</v>
      </c>
      <c r="D3708">
        <v>69</v>
      </c>
      <c r="J3708" s="58">
        <v>95700</v>
      </c>
    </row>
    <row r="3709" spans="1:10" x14ac:dyDescent="0.35">
      <c r="A3709" s="2">
        <v>46112</v>
      </c>
      <c r="C3709" t="s">
        <v>73</v>
      </c>
      <c r="D3709">
        <v>258</v>
      </c>
      <c r="J3709" s="58">
        <v>14500</v>
      </c>
    </row>
    <row r="3710" spans="1:10" x14ac:dyDescent="0.35">
      <c r="A3710" s="2">
        <v>46112</v>
      </c>
      <c r="C3710" t="s">
        <v>81</v>
      </c>
      <c r="D3710">
        <v>169</v>
      </c>
      <c r="J3710" s="58">
        <v>143010</v>
      </c>
    </row>
    <row r="3711" spans="1:10" x14ac:dyDescent="0.35">
      <c r="A3711" s="2">
        <v>46112</v>
      </c>
      <c r="C3711" t="s">
        <v>83</v>
      </c>
      <c r="D3711">
        <v>158</v>
      </c>
      <c r="J3711" s="58">
        <v>149070</v>
      </c>
    </row>
    <row r="3712" spans="1:10" x14ac:dyDescent="0.35">
      <c r="A3712" s="2">
        <v>46112</v>
      </c>
      <c r="C3712" t="s">
        <v>94</v>
      </c>
      <c r="D3712">
        <v>209</v>
      </c>
      <c r="J3712" s="58">
        <v>106610</v>
      </c>
    </row>
    <row r="3713" spans="1:10" x14ac:dyDescent="0.35">
      <c r="A3713" s="2">
        <v>46112</v>
      </c>
      <c r="C3713" t="s">
        <v>115</v>
      </c>
      <c r="D3713">
        <v>142</v>
      </c>
      <c r="J3713" s="58">
        <v>83700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22AFA-3815-4ABB-9FA2-9A5D2B386CB1}">
  <sheetPr codeName="Planilha4" filterMode="1"/>
  <dimension ref="A1:BJ47"/>
  <sheetViews>
    <sheetView showGridLines="0" zoomScale="70" zoomScaleNormal="70" workbookViewId="0">
      <pane xSplit="1" topLeftCell="AN1" activePane="topRight" state="frozen"/>
      <selection pane="topRight" activeCell="BE29" sqref="BE29"/>
    </sheetView>
  </sheetViews>
  <sheetFormatPr defaultRowHeight="14.5" x14ac:dyDescent="0.35"/>
  <cols>
    <col min="1" max="1" width="22.54296875" customWidth="1"/>
    <col min="2" max="3" width="6.81640625" hidden="1" customWidth="1"/>
    <col min="4" max="4" width="7.453125" hidden="1" customWidth="1"/>
    <col min="5" max="5" width="6.81640625" hidden="1" customWidth="1"/>
    <col min="6" max="6" width="7.1796875" hidden="1" customWidth="1"/>
    <col min="7" max="7" width="6.81640625" hidden="1" customWidth="1"/>
    <col min="8" max="8" width="6.1796875" hidden="1" customWidth="1"/>
    <col min="9" max="9" width="7.1796875" hidden="1" customWidth="1"/>
    <col min="10" max="10" width="6.453125" style="15" hidden="1" customWidth="1"/>
    <col min="11" max="11" width="6.81640625" style="15" hidden="1" customWidth="1"/>
    <col min="12" max="12" width="7.453125" style="15" hidden="1" customWidth="1"/>
    <col min="13" max="13" width="7.81640625" style="15" hidden="1" customWidth="1"/>
    <col min="14" max="14" width="7.453125" style="15" hidden="1" customWidth="1"/>
    <col min="15" max="16" width="7.1796875" style="15" hidden="1" customWidth="1"/>
    <col min="17" max="23" width="6.453125" style="15" hidden="1" customWidth="1"/>
    <col min="24" max="26" width="7.54296875" style="15" hidden="1" customWidth="1"/>
    <col min="27" max="27" width="7.1796875" style="15" hidden="1" customWidth="1"/>
    <col min="28" max="29" width="7.54296875" style="15" hidden="1" customWidth="1"/>
    <col min="30" max="30" width="8.54296875" style="15" hidden="1" customWidth="1"/>
    <col min="31" max="33" width="7.54296875" style="15" hidden="1" customWidth="1"/>
    <col min="34" max="36" width="7.81640625" style="15" hidden="1" customWidth="1"/>
    <col min="37" max="38" width="8.1796875" style="15" hidden="1" customWidth="1"/>
    <col min="39" max="39" width="6" style="15" hidden="1" customWidth="1"/>
    <col min="40" max="40" width="7" style="15" customWidth="1"/>
    <col min="41" max="41" width="7" style="15" hidden="1" customWidth="1"/>
    <col min="42" max="42" width="6.7265625" style="15" hidden="1" customWidth="1"/>
    <col min="43" max="43" width="6.453125" style="15" hidden="1" customWidth="1"/>
    <col min="44" max="44" width="5.54296875" style="15" hidden="1" customWidth="1"/>
    <col min="45" max="48" width="6.54296875" style="15" hidden="1" customWidth="1"/>
    <col min="49" max="49" width="7" style="15" hidden="1" customWidth="1"/>
    <col min="50" max="51" width="6.54296875" style="15" customWidth="1"/>
    <col min="52" max="52" width="8.54296875" style="15" customWidth="1"/>
    <col min="53" max="53" width="6.453125" style="15" customWidth="1"/>
    <col min="54" max="54" width="6.7265625" style="15" bestFit="1" customWidth="1"/>
    <col min="55" max="55" width="15.26953125" bestFit="1" customWidth="1"/>
    <col min="56" max="56" width="16.453125" bestFit="1" customWidth="1"/>
    <col min="57" max="57" width="9.26953125" bestFit="1" customWidth="1"/>
    <col min="58" max="58" width="4" bestFit="1" customWidth="1"/>
    <col min="59" max="59" width="3.90625" bestFit="1" customWidth="1"/>
    <col min="60" max="60" width="4.81640625" bestFit="1" customWidth="1"/>
    <col min="61" max="61" width="4.1796875" bestFit="1" customWidth="1"/>
    <col min="16377" max="16377" width="9.453125" customWidth="1"/>
  </cols>
  <sheetData>
    <row r="1" spans="1:56" x14ac:dyDescent="0.35">
      <c r="A1" s="82" t="s">
        <v>124</v>
      </c>
      <c r="B1" s="24"/>
      <c r="C1" s="24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6" x14ac:dyDescent="0.35">
      <c r="A2" s="13" t="s">
        <v>1</v>
      </c>
      <c r="B2" s="21">
        <v>44562</v>
      </c>
      <c r="C2" s="21">
        <v>44593</v>
      </c>
      <c r="D2" s="21">
        <v>44621</v>
      </c>
      <c r="E2" s="21">
        <v>44652</v>
      </c>
      <c r="F2" s="21">
        <v>44682</v>
      </c>
      <c r="G2" s="21">
        <v>44713</v>
      </c>
      <c r="H2" s="21">
        <v>44743</v>
      </c>
      <c r="I2" s="21">
        <v>44774</v>
      </c>
      <c r="J2" s="21">
        <v>44805</v>
      </c>
      <c r="K2" s="21">
        <v>44835</v>
      </c>
      <c r="L2" s="21">
        <v>44866</v>
      </c>
      <c r="M2" s="21">
        <v>44896</v>
      </c>
      <c r="N2" s="21">
        <v>44927</v>
      </c>
      <c r="O2" s="21">
        <v>44958</v>
      </c>
      <c r="P2" s="21">
        <v>44986</v>
      </c>
      <c r="Q2" s="21">
        <v>45017</v>
      </c>
      <c r="R2" s="21">
        <v>45047</v>
      </c>
      <c r="S2" s="21">
        <v>45078</v>
      </c>
      <c r="T2" s="21">
        <v>45108</v>
      </c>
      <c r="U2" s="21">
        <v>45139</v>
      </c>
      <c r="V2" s="21">
        <v>45170</v>
      </c>
      <c r="W2" s="21">
        <v>45200</v>
      </c>
      <c r="X2" s="21">
        <v>45231</v>
      </c>
      <c r="Y2" s="21">
        <v>45261</v>
      </c>
      <c r="Z2" s="21">
        <v>45292</v>
      </c>
      <c r="AA2" s="21">
        <v>45323</v>
      </c>
      <c r="AB2" s="21">
        <v>45352</v>
      </c>
      <c r="AC2" s="21">
        <v>45383</v>
      </c>
      <c r="AD2" s="21">
        <v>45413</v>
      </c>
      <c r="AE2" s="21">
        <v>45444</v>
      </c>
      <c r="AF2" s="21">
        <v>45474</v>
      </c>
      <c r="AG2" s="21">
        <v>45505</v>
      </c>
      <c r="AH2" s="21">
        <v>45536</v>
      </c>
      <c r="AI2" s="21">
        <v>45566</v>
      </c>
      <c r="AJ2" s="21">
        <v>45597</v>
      </c>
      <c r="AK2" s="21">
        <v>45627</v>
      </c>
      <c r="AL2" s="21">
        <v>45658</v>
      </c>
      <c r="AM2" s="21">
        <v>45689</v>
      </c>
      <c r="AN2" s="21">
        <v>45717</v>
      </c>
      <c r="AO2" s="21">
        <v>45748</v>
      </c>
      <c r="AP2" s="21">
        <v>45778</v>
      </c>
      <c r="AQ2" s="21">
        <v>45809</v>
      </c>
      <c r="AR2" s="21">
        <v>45839</v>
      </c>
      <c r="AS2" s="21">
        <v>45870</v>
      </c>
      <c r="AT2" s="21">
        <v>45901</v>
      </c>
      <c r="AU2" s="21">
        <v>45931</v>
      </c>
      <c r="AV2" s="21">
        <v>45962</v>
      </c>
      <c r="AW2" s="21">
        <v>45992</v>
      </c>
      <c r="AX2" s="21">
        <v>46023</v>
      </c>
      <c r="AY2" s="21">
        <v>46054</v>
      </c>
      <c r="AZ2" s="21">
        <v>46082</v>
      </c>
      <c r="BA2" s="21">
        <v>46113</v>
      </c>
      <c r="BB2" s="21">
        <v>46143</v>
      </c>
    </row>
    <row r="3" spans="1:56" x14ac:dyDescent="0.35">
      <c r="A3" s="8" t="s">
        <v>9</v>
      </c>
      <c r="B3" s="24">
        <v>19</v>
      </c>
      <c r="C3" s="24">
        <v>10</v>
      </c>
      <c r="D3" s="24">
        <v>12</v>
      </c>
      <c r="E3" s="24">
        <v>10</v>
      </c>
      <c r="F3" s="24">
        <v>11</v>
      </c>
      <c r="G3" s="24">
        <v>10</v>
      </c>
      <c r="H3" s="24">
        <v>16</v>
      </c>
      <c r="I3" s="24">
        <v>15</v>
      </c>
      <c r="J3" s="40">
        <v>15</v>
      </c>
      <c r="K3" s="40">
        <v>15</v>
      </c>
      <c r="L3" s="40">
        <v>13</v>
      </c>
      <c r="M3" s="45">
        <v>7</v>
      </c>
      <c r="N3" s="45">
        <v>18</v>
      </c>
      <c r="O3" s="45">
        <v>11</v>
      </c>
      <c r="P3" s="45">
        <v>10</v>
      </c>
      <c r="Q3" s="45">
        <v>13</v>
      </c>
      <c r="R3" s="45">
        <v>19</v>
      </c>
      <c r="S3" s="45">
        <v>16</v>
      </c>
      <c r="T3" s="45">
        <v>17</v>
      </c>
      <c r="U3" s="45">
        <v>16</v>
      </c>
      <c r="V3" s="45">
        <v>16</v>
      </c>
      <c r="W3" s="45">
        <v>14</v>
      </c>
      <c r="X3" s="45">
        <v>11</v>
      </c>
      <c r="Y3" s="45">
        <v>10</v>
      </c>
      <c r="Z3" s="45">
        <v>15</v>
      </c>
      <c r="AA3" s="45">
        <v>12</v>
      </c>
      <c r="AB3" s="45">
        <v>10</v>
      </c>
      <c r="AC3" s="45">
        <v>10</v>
      </c>
      <c r="AD3" s="45">
        <v>5</v>
      </c>
      <c r="AE3" s="45">
        <v>6</v>
      </c>
      <c r="AF3" s="45">
        <v>11</v>
      </c>
      <c r="AG3" s="45">
        <v>9</v>
      </c>
      <c r="AH3" s="45">
        <v>8</v>
      </c>
      <c r="AI3" s="45">
        <v>8</v>
      </c>
      <c r="AJ3" s="45">
        <v>6</v>
      </c>
      <c r="AK3" s="45">
        <v>9</v>
      </c>
      <c r="AL3" s="45">
        <v>11</v>
      </c>
      <c r="AM3" s="45">
        <v>10</v>
      </c>
      <c r="AN3" s="45">
        <v>10</v>
      </c>
      <c r="AO3" s="45">
        <v>15</v>
      </c>
      <c r="AP3" s="45">
        <v>8</v>
      </c>
      <c r="AQ3" s="45">
        <v>3</v>
      </c>
      <c r="AR3" s="45">
        <v>12</v>
      </c>
      <c r="AS3" s="45">
        <v>16</v>
      </c>
      <c r="AT3" s="45">
        <v>10</v>
      </c>
      <c r="AU3" s="45">
        <v>12</v>
      </c>
      <c r="AV3" s="45">
        <v>6</v>
      </c>
      <c r="AW3" s="45">
        <v>8</v>
      </c>
      <c r="AX3" s="45">
        <v>15</v>
      </c>
      <c r="AY3" s="45">
        <v>15</v>
      </c>
      <c r="AZ3" s="45">
        <v>8</v>
      </c>
      <c r="BA3" s="45">
        <v>10</v>
      </c>
      <c r="BB3" s="45"/>
    </row>
    <row r="4" spans="1:56" x14ac:dyDescent="0.35">
      <c r="A4" s="17" t="s">
        <v>24</v>
      </c>
      <c r="B4" s="29">
        <v>15</v>
      </c>
      <c r="C4" s="29">
        <v>18</v>
      </c>
      <c r="D4" s="29">
        <v>13</v>
      </c>
      <c r="E4" s="29">
        <v>20</v>
      </c>
      <c r="F4" s="29">
        <v>10</v>
      </c>
      <c r="G4" s="29">
        <v>9</v>
      </c>
      <c r="H4" s="29">
        <v>25</v>
      </c>
      <c r="I4" s="29">
        <v>20</v>
      </c>
      <c r="J4" s="41">
        <v>15</v>
      </c>
      <c r="K4" s="41">
        <v>14</v>
      </c>
      <c r="L4" s="41">
        <v>26</v>
      </c>
      <c r="M4" s="46">
        <v>20</v>
      </c>
      <c r="N4" s="46">
        <v>17</v>
      </c>
      <c r="O4" s="46">
        <v>18</v>
      </c>
      <c r="P4" s="46">
        <v>20</v>
      </c>
      <c r="Q4" s="46">
        <v>17</v>
      </c>
      <c r="R4" s="46">
        <v>7</v>
      </c>
      <c r="S4" s="46">
        <v>16</v>
      </c>
      <c r="T4" s="46">
        <v>16</v>
      </c>
      <c r="U4" s="46">
        <v>11</v>
      </c>
      <c r="V4" s="46">
        <v>19</v>
      </c>
      <c r="W4" s="46">
        <v>15</v>
      </c>
      <c r="X4" s="46">
        <v>9</v>
      </c>
      <c r="Y4" s="46">
        <v>14</v>
      </c>
      <c r="Z4" s="46">
        <v>11</v>
      </c>
      <c r="AA4" s="46">
        <v>6</v>
      </c>
      <c r="AB4" s="46">
        <v>15</v>
      </c>
      <c r="AC4" s="46">
        <v>15</v>
      </c>
      <c r="AD4" s="46">
        <v>13</v>
      </c>
      <c r="AE4" s="46">
        <v>7</v>
      </c>
      <c r="AF4" s="46">
        <v>15</v>
      </c>
      <c r="AG4" s="46">
        <v>10</v>
      </c>
      <c r="AH4" s="46">
        <v>12</v>
      </c>
      <c r="AI4" s="46">
        <v>1</v>
      </c>
      <c r="AJ4" s="46">
        <v>7</v>
      </c>
      <c r="AK4" s="46">
        <v>10</v>
      </c>
      <c r="AL4" s="46">
        <v>6</v>
      </c>
      <c r="AM4" s="46">
        <v>7</v>
      </c>
      <c r="AN4" s="46">
        <v>9</v>
      </c>
      <c r="AO4" s="46">
        <v>11</v>
      </c>
      <c r="AP4" s="46">
        <v>10</v>
      </c>
      <c r="AQ4" s="46">
        <v>10</v>
      </c>
      <c r="AR4" s="46">
        <v>10</v>
      </c>
      <c r="AS4" s="46">
        <v>8</v>
      </c>
      <c r="AT4" s="46">
        <v>11</v>
      </c>
      <c r="AU4" s="46">
        <v>10</v>
      </c>
      <c r="AV4" s="46">
        <v>8</v>
      </c>
      <c r="AW4" s="46">
        <v>17</v>
      </c>
      <c r="AX4" s="46">
        <v>10</v>
      </c>
      <c r="AY4" s="46">
        <v>14</v>
      </c>
      <c r="AZ4" s="46">
        <v>11</v>
      </c>
      <c r="BA4" s="46">
        <v>7</v>
      </c>
      <c r="BB4" s="46"/>
    </row>
    <row r="5" spans="1:56" x14ac:dyDescent="0.35">
      <c r="A5" s="8" t="s">
        <v>18</v>
      </c>
      <c r="B5" s="24">
        <v>35</v>
      </c>
      <c r="C5" s="24">
        <v>25</v>
      </c>
      <c r="D5" s="24">
        <v>30</v>
      </c>
      <c r="E5" s="24">
        <v>26</v>
      </c>
      <c r="F5" s="24">
        <v>34</v>
      </c>
      <c r="G5" s="24">
        <v>30</v>
      </c>
      <c r="H5" s="24">
        <v>40</v>
      </c>
      <c r="I5" s="24">
        <v>25</v>
      </c>
      <c r="J5" s="40">
        <v>26</v>
      </c>
      <c r="K5" s="40">
        <v>30</v>
      </c>
      <c r="L5" s="40">
        <v>27</v>
      </c>
      <c r="M5" s="45">
        <v>27</v>
      </c>
      <c r="N5" s="45">
        <v>38</v>
      </c>
      <c r="O5" s="45">
        <v>34</v>
      </c>
      <c r="P5" s="45">
        <v>28</v>
      </c>
      <c r="Q5" s="45">
        <v>33</v>
      </c>
      <c r="R5" s="45">
        <v>30</v>
      </c>
      <c r="S5" s="45">
        <v>31</v>
      </c>
      <c r="T5" s="45">
        <v>34</v>
      </c>
      <c r="U5" s="45">
        <v>35</v>
      </c>
      <c r="V5" s="45">
        <v>21</v>
      </c>
      <c r="W5" s="45">
        <v>35</v>
      </c>
      <c r="X5" s="45">
        <v>32</v>
      </c>
      <c r="Y5" s="45">
        <v>30</v>
      </c>
      <c r="Z5" s="45">
        <v>32</v>
      </c>
      <c r="AA5" s="45">
        <v>27</v>
      </c>
      <c r="AB5" s="45">
        <v>26</v>
      </c>
      <c r="AC5" s="45">
        <v>29</v>
      </c>
      <c r="AD5" s="45">
        <v>24</v>
      </c>
      <c r="AE5" s="45">
        <v>31</v>
      </c>
      <c r="AF5" s="45">
        <v>35</v>
      </c>
      <c r="AG5" s="45">
        <v>39</v>
      </c>
      <c r="AH5" s="47">
        <v>24</v>
      </c>
      <c r="AI5" s="45">
        <v>20</v>
      </c>
      <c r="AJ5" s="45">
        <v>33</v>
      </c>
      <c r="AK5" s="45">
        <v>26</v>
      </c>
      <c r="AL5" s="45">
        <v>40</v>
      </c>
      <c r="AM5" s="45">
        <v>22</v>
      </c>
      <c r="AN5" s="45">
        <v>25</v>
      </c>
      <c r="AO5" s="45">
        <v>22</v>
      </c>
      <c r="AP5" s="45">
        <v>29</v>
      </c>
      <c r="AQ5" s="45">
        <v>17</v>
      </c>
      <c r="AR5" s="45">
        <v>29</v>
      </c>
      <c r="AS5" s="45">
        <v>18</v>
      </c>
      <c r="AT5" s="45">
        <v>20</v>
      </c>
      <c r="AU5" s="45">
        <v>20</v>
      </c>
      <c r="AV5" s="45">
        <v>18</v>
      </c>
      <c r="AW5" s="45">
        <v>20</v>
      </c>
      <c r="AX5" s="45">
        <v>21</v>
      </c>
      <c r="AY5" s="45">
        <v>20</v>
      </c>
      <c r="AZ5" s="45">
        <v>26</v>
      </c>
      <c r="BA5" s="45">
        <v>12</v>
      </c>
      <c r="BB5" s="45"/>
    </row>
    <row r="6" spans="1:56" x14ac:dyDescent="0.35">
      <c r="A6" s="17" t="s">
        <v>19</v>
      </c>
      <c r="B6" s="29">
        <v>35</v>
      </c>
      <c r="C6" s="29">
        <v>32</v>
      </c>
      <c r="D6" s="29">
        <v>36</v>
      </c>
      <c r="E6" s="29">
        <v>26</v>
      </c>
      <c r="F6" s="29">
        <v>23</v>
      </c>
      <c r="G6" s="29">
        <v>21</v>
      </c>
      <c r="H6" s="29">
        <v>39</v>
      </c>
      <c r="I6" s="29">
        <v>31</v>
      </c>
      <c r="J6" s="41">
        <v>23</v>
      </c>
      <c r="K6" s="41">
        <v>15</v>
      </c>
      <c r="L6" s="41">
        <v>20</v>
      </c>
      <c r="M6" s="46">
        <v>15</v>
      </c>
      <c r="N6" s="46">
        <v>31</v>
      </c>
      <c r="O6" s="46">
        <v>26</v>
      </c>
      <c r="P6" s="46">
        <v>28</v>
      </c>
      <c r="Q6" s="46">
        <v>25</v>
      </c>
      <c r="R6" s="46">
        <v>25</v>
      </c>
      <c r="S6" s="46">
        <v>25</v>
      </c>
      <c r="T6" s="46">
        <v>34</v>
      </c>
      <c r="U6" s="46">
        <v>27</v>
      </c>
      <c r="V6" s="46">
        <v>34</v>
      </c>
      <c r="W6" s="46">
        <v>35</v>
      </c>
      <c r="X6" s="46">
        <v>25</v>
      </c>
      <c r="Y6" s="46">
        <v>22</v>
      </c>
      <c r="Z6" s="46">
        <v>20</v>
      </c>
      <c r="AA6" s="46">
        <v>26</v>
      </c>
      <c r="AB6" s="46">
        <v>26</v>
      </c>
      <c r="AC6" s="46">
        <v>26</v>
      </c>
      <c r="AD6" s="46">
        <v>17</v>
      </c>
      <c r="AE6" s="46">
        <v>18</v>
      </c>
      <c r="AF6" s="46">
        <v>30</v>
      </c>
      <c r="AG6" s="46">
        <v>25</v>
      </c>
      <c r="AH6" s="46">
        <v>20</v>
      </c>
      <c r="AI6" s="46">
        <v>25</v>
      </c>
      <c r="AJ6" s="46">
        <v>15</v>
      </c>
      <c r="AK6" s="46">
        <v>25</v>
      </c>
      <c r="AL6" s="46">
        <v>30</v>
      </c>
      <c r="AM6" s="46">
        <v>25</v>
      </c>
      <c r="AN6" s="46">
        <v>15</v>
      </c>
      <c r="AO6" s="46">
        <v>27</v>
      </c>
      <c r="AP6" s="46">
        <v>15</v>
      </c>
      <c r="AQ6" s="46">
        <v>20</v>
      </c>
      <c r="AR6" s="46">
        <v>16</v>
      </c>
      <c r="AS6" s="46">
        <v>24</v>
      </c>
      <c r="AT6" s="46">
        <v>23</v>
      </c>
      <c r="AU6" s="46">
        <v>21</v>
      </c>
      <c r="AV6" s="46">
        <v>19</v>
      </c>
      <c r="AW6" s="46">
        <v>20</v>
      </c>
      <c r="AX6" s="46">
        <v>27</v>
      </c>
      <c r="AY6" s="46">
        <v>18</v>
      </c>
      <c r="AZ6" s="46">
        <v>20</v>
      </c>
      <c r="BA6" s="46">
        <v>17</v>
      </c>
      <c r="BB6" s="46"/>
      <c r="BD6" s="24"/>
    </row>
    <row r="7" spans="1:56" x14ac:dyDescent="0.35">
      <c r="A7" s="8" t="s">
        <v>20</v>
      </c>
      <c r="B7" s="24">
        <v>36</v>
      </c>
      <c r="C7" s="24">
        <v>22</v>
      </c>
      <c r="D7" s="24">
        <v>27</v>
      </c>
      <c r="E7" s="24">
        <v>28</v>
      </c>
      <c r="F7" s="24">
        <v>50</v>
      </c>
      <c r="G7" s="24">
        <v>35</v>
      </c>
      <c r="H7" s="24">
        <v>45</v>
      </c>
      <c r="I7" s="24">
        <v>32</v>
      </c>
      <c r="J7" s="40">
        <v>31</v>
      </c>
      <c r="K7" s="40">
        <v>30</v>
      </c>
      <c r="L7" s="40">
        <v>28</v>
      </c>
      <c r="M7" s="45">
        <v>30</v>
      </c>
      <c r="N7" s="45">
        <v>40</v>
      </c>
      <c r="O7" s="45">
        <v>40</v>
      </c>
      <c r="P7" s="45">
        <v>50</v>
      </c>
      <c r="Q7" s="45">
        <v>46</v>
      </c>
      <c r="R7" s="45">
        <v>45</v>
      </c>
      <c r="S7" s="45">
        <v>46</v>
      </c>
      <c r="T7" s="45">
        <v>40</v>
      </c>
      <c r="U7" s="45">
        <v>40</v>
      </c>
      <c r="V7" s="45">
        <v>50</v>
      </c>
      <c r="W7" s="45">
        <v>50</v>
      </c>
      <c r="X7" s="45">
        <v>43</v>
      </c>
      <c r="Y7" s="45">
        <v>41</v>
      </c>
      <c r="Z7" s="45">
        <v>40</v>
      </c>
      <c r="AA7" s="45">
        <v>39</v>
      </c>
      <c r="AB7" s="45">
        <v>35</v>
      </c>
      <c r="AC7" s="45">
        <v>38</v>
      </c>
      <c r="AD7" s="45">
        <v>35</v>
      </c>
      <c r="AE7" s="45">
        <v>34</v>
      </c>
      <c r="AF7" s="45">
        <v>42</v>
      </c>
      <c r="AG7" s="45">
        <v>41</v>
      </c>
      <c r="AH7" s="45">
        <v>30</v>
      </c>
      <c r="AI7" s="45">
        <v>36</v>
      </c>
      <c r="AJ7" s="45">
        <v>28</v>
      </c>
      <c r="AK7" s="45">
        <v>28</v>
      </c>
      <c r="AL7" s="45">
        <v>31</v>
      </c>
      <c r="AM7" s="45">
        <v>32</v>
      </c>
      <c r="AN7" s="45">
        <v>22</v>
      </c>
      <c r="AO7" s="45">
        <v>19</v>
      </c>
      <c r="AP7" s="45">
        <v>23</v>
      </c>
      <c r="AQ7" s="45">
        <v>19</v>
      </c>
      <c r="AR7" s="45">
        <v>25</v>
      </c>
      <c r="AS7" s="45">
        <v>25</v>
      </c>
      <c r="AT7" s="45">
        <v>15</v>
      </c>
      <c r="AU7" s="45">
        <v>27</v>
      </c>
      <c r="AV7" s="45">
        <v>16</v>
      </c>
      <c r="AW7" s="45">
        <v>22</v>
      </c>
      <c r="AX7" s="45">
        <v>22</v>
      </c>
      <c r="AY7" s="45">
        <v>20</v>
      </c>
      <c r="AZ7" s="45">
        <v>16</v>
      </c>
      <c r="BA7" s="45">
        <v>19</v>
      </c>
      <c r="BB7" s="45"/>
      <c r="BD7" s="65"/>
    </row>
    <row r="8" spans="1:56" x14ac:dyDescent="0.35">
      <c r="A8" s="17" t="s">
        <v>21</v>
      </c>
      <c r="B8" s="30">
        <v>11</v>
      </c>
      <c r="C8" s="30">
        <v>12</v>
      </c>
      <c r="D8" s="30">
        <v>16</v>
      </c>
      <c r="E8" s="30">
        <v>18</v>
      </c>
      <c r="F8" s="30">
        <v>17</v>
      </c>
      <c r="G8" s="30">
        <v>14</v>
      </c>
      <c r="H8" s="30">
        <v>22</v>
      </c>
      <c r="I8" s="30">
        <v>10</v>
      </c>
      <c r="J8" s="41">
        <v>18</v>
      </c>
      <c r="K8" s="41">
        <v>13</v>
      </c>
      <c r="L8" s="41">
        <v>12</v>
      </c>
      <c r="M8" s="46">
        <v>10</v>
      </c>
      <c r="N8" s="46">
        <v>16</v>
      </c>
      <c r="O8" s="46">
        <v>16</v>
      </c>
      <c r="P8" s="46">
        <v>16</v>
      </c>
      <c r="Q8" s="46">
        <v>12</v>
      </c>
      <c r="R8" s="46">
        <v>10</v>
      </c>
      <c r="S8" s="46">
        <v>16</v>
      </c>
      <c r="T8" s="46">
        <v>19</v>
      </c>
      <c r="U8" s="46">
        <v>17</v>
      </c>
      <c r="V8" s="46">
        <v>14</v>
      </c>
      <c r="W8" s="46">
        <v>14</v>
      </c>
      <c r="X8" s="46">
        <v>8</v>
      </c>
      <c r="Y8" s="46">
        <v>8</v>
      </c>
      <c r="Z8" s="46">
        <v>6</v>
      </c>
      <c r="AA8" s="46">
        <v>12</v>
      </c>
      <c r="AB8" s="46">
        <v>11</v>
      </c>
      <c r="AC8" s="46">
        <v>5</v>
      </c>
      <c r="AD8" s="46">
        <v>6</v>
      </c>
      <c r="AE8" s="46">
        <v>7</v>
      </c>
      <c r="AF8" s="46">
        <v>11</v>
      </c>
      <c r="AG8" s="46">
        <v>12</v>
      </c>
      <c r="AH8" s="46">
        <v>2</v>
      </c>
      <c r="AI8" s="46">
        <v>10</v>
      </c>
      <c r="AJ8" s="46">
        <v>5</v>
      </c>
      <c r="AK8" s="46">
        <v>9</v>
      </c>
      <c r="AL8" s="46">
        <v>7</v>
      </c>
      <c r="AM8" s="46">
        <v>8</v>
      </c>
      <c r="AN8" s="46">
        <v>7</v>
      </c>
      <c r="AO8" s="46">
        <v>6</v>
      </c>
      <c r="AP8" s="46">
        <v>5</v>
      </c>
      <c r="AQ8" s="46">
        <v>5</v>
      </c>
      <c r="AR8" s="46">
        <v>16</v>
      </c>
      <c r="AS8" s="46">
        <v>10</v>
      </c>
      <c r="AT8" s="46">
        <v>11</v>
      </c>
      <c r="AU8" s="46">
        <v>8</v>
      </c>
      <c r="AV8" s="46">
        <v>7</v>
      </c>
      <c r="AW8" s="46">
        <v>9</v>
      </c>
      <c r="AX8" s="46">
        <v>12</v>
      </c>
      <c r="AY8" s="46">
        <v>11</v>
      </c>
      <c r="AZ8" s="46">
        <v>12</v>
      </c>
      <c r="BA8" s="46">
        <v>8</v>
      </c>
      <c r="BB8" s="46"/>
      <c r="BD8" s="65"/>
    </row>
    <row r="9" spans="1:56" x14ac:dyDescent="0.35">
      <c r="A9" s="8" t="s">
        <v>22</v>
      </c>
      <c r="B9" s="24">
        <v>26</v>
      </c>
      <c r="C9" s="24">
        <v>26</v>
      </c>
      <c r="D9" s="24">
        <v>30</v>
      </c>
      <c r="E9" s="24">
        <v>30</v>
      </c>
      <c r="F9" s="24">
        <v>25</v>
      </c>
      <c r="G9" s="24">
        <v>20</v>
      </c>
      <c r="H9" s="24">
        <v>20</v>
      </c>
      <c r="I9" s="24">
        <v>21</v>
      </c>
      <c r="J9" s="40">
        <v>30</v>
      </c>
      <c r="K9" s="40">
        <v>20</v>
      </c>
      <c r="L9" s="40">
        <v>20</v>
      </c>
      <c r="M9" s="45">
        <v>20</v>
      </c>
      <c r="N9" s="45">
        <v>20</v>
      </c>
      <c r="O9" s="45">
        <v>16</v>
      </c>
      <c r="P9" s="45">
        <v>12</v>
      </c>
      <c r="Q9" s="45">
        <v>15</v>
      </c>
      <c r="R9" s="45">
        <v>16</v>
      </c>
      <c r="S9" s="45">
        <v>23</v>
      </c>
      <c r="T9" s="45">
        <v>21</v>
      </c>
      <c r="U9" s="45">
        <v>17</v>
      </c>
      <c r="V9" s="45">
        <v>26</v>
      </c>
      <c r="W9" s="45">
        <v>20</v>
      </c>
      <c r="X9" s="45">
        <v>24</v>
      </c>
      <c r="Y9" s="45">
        <v>20</v>
      </c>
      <c r="Z9" s="45">
        <v>22</v>
      </c>
      <c r="AA9" s="45">
        <v>13</v>
      </c>
      <c r="AB9" s="45">
        <v>24</v>
      </c>
      <c r="AC9" s="45">
        <v>25</v>
      </c>
      <c r="AD9" s="45">
        <v>13</v>
      </c>
      <c r="AE9" s="45">
        <v>12</v>
      </c>
      <c r="AF9" s="45">
        <v>16</v>
      </c>
      <c r="AG9" s="45">
        <v>27</v>
      </c>
      <c r="AH9" s="45">
        <v>17</v>
      </c>
      <c r="AI9" s="47">
        <v>21</v>
      </c>
      <c r="AJ9" s="47">
        <v>19</v>
      </c>
      <c r="AK9" s="47">
        <v>18</v>
      </c>
      <c r="AL9" s="47">
        <v>30</v>
      </c>
      <c r="AM9" s="47">
        <v>20</v>
      </c>
      <c r="AN9" s="47">
        <v>17</v>
      </c>
      <c r="AO9" s="47">
        <v>18</v>
      </c>
      <c r="AP9" s="47">
        <v>13</v>
      </c>
      <c r="AQ9" s="47">
        <v>8</v>
      </c>
      <c r="AR9" s="47">
        <v>22</v>
      </c>
      <c r="AS9" s="47">
        <v>21</v>
      </c>
      <c r="AT9" s="47">
        <v>20</v>
      </c>
      <c r="AU9" s="47">
        <v>18</v>
      </c>
      <c r="AV9" s="47">
        <v>16</v>
      </c>
      <c r="AW9" s="47">
        <v>15</v>
      </c>
      <c r="AX9" s="47">
        <v>20</v>
      </c>
      <c r="AY9" s="47">
        <v>14</v>
      </c>
      <c r="AZ9" s="47">
        <v>13</v>
      </c>
      <c r="BA9" s="47">
        <v>16</v>
      </c>
      <c r="BB9" s="47"/>
      <c r="BD9" s="65"/>
    </row>
    <row r="10" spans="1:56" x14ac:dyDescent="0.35">
      <c r="A10" s="17" t="s">
        <v>23</v>
      </c>
      <c r="B10" s="29">
        <v>22</v>
      </c>
      <c r="C10" s="29">
        <v>4</v>
      </c>
      <c r="D10" s="29">
        <v>11</v>
      </c>
      <c r="E10" s="29">
        <v>12</v>
      </c>
      <c r="F10" s="29">
        <v>11</v>
      </c>
      <c r="G10" s="29">
        <v>12</v>
      </c>
      <c r="H10" s="29">
        <v>13</v>
      </c>
      <c r="I10" s="29">
        <v>12</v>
      </c>
      <c r="J10" s="41">
        <v>11</v>
      </c>
      <c r="K10" s="41">
        <v>17</v>
      </c>
      <c r="L10" s="41">
        <v>14</v>
      </c>
      <c r="M10" s="46">
        <v>7</v>
      </c>
      <c r="N10" s="46">
        <v>10</v>
      </c>
      <c r="O10" s="46">
        <v>11</v>
      </c>
      <c r="P10" s="46">
        <v>10</v>
      </c>
      <c r="Q10" s="46">
        <v>8</v>
      </c>
      <c r="R10" s="46">
        <v>9</v>
      </c>
      <c r="S10" s="46">
        <v>11</v>
      </c>
      <c r="T10" s="46">
        <v>15</v>
      </c>
      <c r="U10" s="46">
        <v>8</v>
      </c>
      <c r="V10" s="46">
        <v>11</v>
      </c>
      <c r="W10" s="46">
        <v>9</v>
      </c>
      <c r="X10" s="46">
        <v>5</v>
      </c>
      <c r="Y10" s="46">
        <v>11</v>
      </c>
      <c r="Z10" s="46">
        <v>5</v>
      </c>
      <c r="AA10" s="46">
        <v>4</v>
      </c>
      <c r="AB10" s="46">
        <v>11</v>
      </c>
      <c r="AC10" s="46">
        <v>8</v>
      </c>
      <c r="AD10" s="46">
        <v>4</v>
      </c>
      <c r="AE10" s="46">
        <v>5</v>
      </c>
      <c r="AF10" s="46">
        <v>9</v>
      </c>
      <c r="AG10" s="46">
        <v>8</v>
      </c>
      <c r="AH10" s="46">
        <v>4</v>
      </c>
      <c r="AI10" s="46">
        <v>8</v>
      </c>
      <c r="AJ10" s="46">
        <v>8</v>
      </c>
      <c r="AK10" s="46">
        <v>4</v>
      </c>
      <c r="AL10" s="46">
        <v>11</v>
      </c>
      <c r="AM10" s="46">
        <v>5</v>
      </c>
      <c r="AN10" s="46">
        <v>11</v>
      </c>
      <c r="AO10" s="46">
        <v>11</v>
      </c>
      <c r="AP10" s="46">
        <v>2</v>
      </c>
      <c r="AQ10" s="46">
        <v>9</v>
      </c>
      <c r="AR10" s="46">
        <v>11</v>
      </c>
      <c r="AS10" s="46">
        <v>8</v>
      </c>
      <c r="AT10" s="46">
        <v>9</v>
      </c>
      <c r="AU10" s="46">
        <v>11</v>
      </c>
      <c r="AV10" s="46">
        <v>6</v>
      </c>
      <c r="AW10" s="46">
        <v>9</v>
      </c>
      <c r="AX10" s="46">
        <v>12</v>
      </c>
      <c r="AY10" s="46">
        <v>10</v>
      </c>
      <c r="AZ10" s="46">
        <v>9</v>
      </c>
      <c r="BA10" s="46">
        <v>7</v>
      </c>
      <c r="BB10" s="46"/>
      <c r="BD10" s="65"/>
    </row>
    <row r="11" spans="1:56" x14ac:dyDescent="0.35">
      <c r="A11" s="8" t="s">
        <v>27</v>
      </c>
      <c r="B11" s="24">
        <v>23</v>
      </c>
      <c r="C11" s="24">
        <v>26</v>
      </c>
      <c r="D11" s="24">
        <v>27</v>
      </c>
      <c r="E11" s="24">
        <v>20</v>
      </c>
      <c r="F11" s="24">
        <v>25</v>
      </c>
      <c r="G11" s="24">
        <v>25</v>
      </c>
      <c r="H11" s="24">
        <v>27</v>
      </c>
      <c r="I11" s="24">
        <v>32</v>
      </c>
      <c r="J11" s="40">
        <v>35</v>
      </c>
      <c r="K11" s="40">
        <v>34</v>
      </c>
      <c r="L11" s="40">
        <v>21</v>
      </c>
      <c r="M11" s="45">
        <v>9</v>
      </c>
      <c r="N11" s="45">
        <v>24</v>
      </c>
      <c r="O11" s="45">
        <v>27</v>
      </c>
      <c r="P11" s="45">
        <v>22</v>
      </c>
      <c r="Q11" s="45">
        <v>22</v>
      </c>
      <c r="R11" s="45">
        <v>30</v>
      </c>
      <c r="S11" s="45">
        <v>28</v>
      </c>
      <c r="T11" s="45">
        <v>31</v>
      </c>
      <c r="U11" s="45">
        <v>33</v>
      </c>
      <c r="V11" s="45">
        <v>28</v>
      </c>
      <c r="W11" s="45">
        <v>31</v>
      </c>
      <c r="X11" s="45">
        <v>24</v>
      </c>
      <c r="Y11" s="45">
        <v>22</v>
      </c>
      <c r="Z11" s="45">
        <v>31</v>
      </c>
      <c r="AA11" s="45">
        <v>25</v>
      </c>
      <c r="AB11" s="45">
        <v>22</v>
      </c>
      <c r="AC11" s="45">
        <v>29</v>
      </c>
      <c r="AD11" s="45">
        <v>20</v>
      </c>
      <c r="AE11" s="45">
        <v>24</v>
      </c>
      <c r="AF11" s="45">
        <v>34</v>
      </c>
      <c r="AG11" s="45">
        <v>30</v>
      </c>
      <c r="AH11" s="45">
        <v>25</v>
      </c>
      <c r="AI11" s="47">
        <v>32</v>
      </c>
      <c r="AJ11" s="47">
        <v>27</v>
      </c>
      <c r="AK11" s="47">
        <v>20</v>
      </c>
      <c r="AL11" s="47">
        <v>31</v>
      </c>
      <c r="AM11" s="47">
        <v>35</v>
      </c>
      <c r="AN11" s="47">
        <v>30</v>
      </c>
      <c r="AO11" s="47">
        <v>24</v>
      </c>
      <c r="AP11" s="47">
        <v>23</v>
      </c>
      <c r="AQ11" s="47">
        <v>23</v>
      </c>
      <c r="AR11" s="47">
        <v>25</v>
      </c>
      <c r="AS11" s="47">
        <v>25</v>
      </c>
      <c r="AT11" s="47">
        <v>25</v>
      </c>
      <c r="AU11" s="47">
        <v>27</v>
      </c>
      <c r="AV11" s="47">
        <v>26</v>
      </c>
      <c r="AW11" s="47">
        <v>19</v>
      </c>
      <c r="AX11" s="47">
        <v>25</v>
      </c>
      <c r="AY11" s="47">
        <v>19</v>
      </c>
      <c r="AZ11" s="47">
        <v>24</v>
      </c>
      <c r="BA11" s="47"/>
      <c r="BB11" s="47"/>
      <c r="BD11" s="65"/>
    </row>
    <row r="12" spans="1:56" x14ac:dyDescent="0.35">
      <c r="A12" s="17" t="s">
        <v>25</v>
      </c>
      <c r="B12" s="29">
        <v>22</v>
      </c>
      <c r="C12" s="29">
        <v>13</v>
      </c>
      <c r="D12" s="29">
        <v>15</v>
      </c>
      <c r="E12" s="29">
        <v>11</v>
      </c>
      <c r="F12" s="29">
        <v>12</v>
      </c>
      <c r="G12" s="29">
        <v>13</v>
      </c>
      <c r="H12" s="29">
        <v>14</v>
      </c>
      <c r="I12" s="29">
        <v>13</v>
      </c>
      <c r="J12" s="41">
        <v>15</v>
      </c>
      <c r="K12" s="41">
        <v>15</v>
      </c>
      <c r="L12" s="41">
        <v>15</v>
      </c>
      <c r="M12" s="46">
        <v>11</v>
      </c>
      <c r="N12" s="46">
        <v>20</v>
      </c>
      <c r="O12" s="46">
        <v>14</v>
      </c>
      <c r="P12" s="46">
        <v>19</v>
      </c>
      <c r="Q12" s="46">
        <v>13</v>
      </c>
      <c r="R12" s="46">
        <v>16</v>
      </c>
      <c r="S12" s="46">
        <v>20</v>
      </c>
      <c r="T12" s="46">
        <v>10</v>
      </c>
      <c r="U12" s="46">
        <v>8</v>
      </c>
      <c r="V12" s="46">
        <v>8</v>
      </c>
      <c r="W12" s="46">
        <v>15</v>
      </c>
      <c r="X12" s="46">
        <v>9</v>
      </c>
      <c r="Y12" s="46">
        <v>7</v>
      </c>
      <c r="Z12" s="46">
        <v>11</v>
      </c>
      <c r="AA12" s="46">
        <v>8</v>
      </c>
      <c r="AB12" s="46">
        <v>8</v>
      </c>
      <c r="AC12" s="46">
        <v>12</v>
      </c>
      <c r="AD12" s="46">
        <v>8</v>
      </c>
      <c r="AE12" s="46">
        <v>7</v>
      </c>
      <c r="AF12" s="46">
        <v>9</v>
      </c>
      <c r="AG12" s="46">
        <v>3</v>
      </c>
      <c r="AH12" s="46">
        <v>4</v>
      </c>
      <c r="AI12" s="46">
        <v>5</v>
      </c>
      <c r="AJ12" s="46">
        <v>6</v>
      </c>
      <c r="AK12" s="46">
        <v>12</v>
      </c>
      <c r="AL12" s="46">
        <v>8</v>
      </c>
      <c r="AM12" s="46">
        <v>13</v>
      </c>
      <c r="AN12" s="46">
        <v>11</v>
      </c>
      <c r="AO12" s="46">
        <v>15</v>
      </c>
      <c r="AP12" s="46">
        <v>12</v>
      </c>
      <c r="AQ12" s="46">
        <v>10</v>
      </c>
      <c r="AR12" s="46">
        <v>17</v>
      </c>
      <c r="AS12" s="46">
        <v>15</v>
      </c>
      <c r="AT12" s="46">
        <v>13</v>
      </c>
      <c r="AU12" s="46">
        <v>8</v>
      </c>
      <c r="AV12" s="46">
        <v>8</v>
      </c>
      <c r="AW12" s="46">
        <v>16</v>
      </c>
      <c r="AX12" s="46">
        <v>10</v>
      </c>
      <c r="AY12" s="46">
        <v>9</v>
      </c>
      <c r="AZ12" s="46">
        <v>17</v>
      </c>
      <c r="BA12" s="46">
        <v>4</v>
      </c>
      <c r="BB12" s="46"/>
      <c r="BD12" s="65"/>
    </row>
    <row r="13" spans="1:56" x14ac:dyDescent="0.35">
      <c r="A13" s="8" t="s">
        <v>26</v>
      </c>
      <c r="B13" s="24">
        <v>10</v>
      </c>
      <c r="C13" s="24">
        <v>13</v>
      </c>
      <c r="D13" s="24">
        <v>12</v>
      </c>
      <c r="E13" s="24">
        <v>11</v>
      </c>
      <c r="F13" s="24">
        <v>14</v>
      </c>
      <c r="G13" s="24">
        <v>10</v>
      </c>
      <c r="H13" s="24">
        <v>10</v>
      </c>
      <c r="I13" s="24">
        <v>16</v>
      </c>
      <c r="J13" s="40">
        <v>12</v>
      </c>
      <c r="K13" s="40">
        <v>12</v>
      </c>
      <c r="L13" s="40">
        <v>10</v>
      </c>
      <c r="M13" s="45">
        <v>11</v>
      </c>
      <c r="N13" s="45">
        <v>15</v>
      </c>
      <c r="O13" s="45">
        <v>15</v>
      </c>
      <c r="P13" s="45">
        <v>16</v>
      </c>
      <c r="Q13" s="45">
        <v>10</v>
      </c>
      <c r="R13" s="45">
        <v>11</v>
      </c>
      <c r="S13" s="45">
        <v>15</v>
      </c>
      <c r="T13" s="45">
        <v>12</v>
      </c>
      <c r="U13" s="45">
        <v>13</v>
      </c>
      <c r="V13" s="45">
        <v>5</v>
      </c>
      <c r="W13" s="45">
        <v>11</v>
      </c>
      <c r="X13" s="45">
        <v>16</v>
      </c>
      <c r="Y13" s="45">
        <v>10</v>
      </c>
      <c r="Z13" s="45">
        <v>15</v>
      </c>
      <c r="AA13" s="45">
        <v>19</v>
      </c>
      <c r="AB13" s="45">
        <v>12</v>
      </c>
      <c r="AC13" s="45">
        <v>10</v>
      </c>
      <c r="AD13" s="45">
        <v>14</v>
      </c>
      <c r="AE13" s="45">
        <v>11</v>
      </c>
      <c r="AF13" s="45">
        <v>11</v>
      </c>
      <c r="AG13" s="45">
        <v>15</v>
      </c>
      <c r="AH13" s="47">
        <v>10</v>
      </c>
      <c r="AI13" s="47">
        <v>11</v>
      </c>
      <c r="AJ13" s="47">
        <v>12</v>
      </c>
      <c r="AK13" s="47">
        <v>7</v>
      </c>
      <c r="AL13" s="47">
        <v>13</v>
      </c>
      <c r="AM13" s="47">
        <v>7</v>
      </c>
      <c r="AN13" s="47">
        <v>12</v>
      </c>
      <c r="AO13" s="47">
        <v>8</v>
      </c>
      <c r="AP13" s="47">
        <v>8</v>
      </c>
      <c r="AQ13" s="47">
        <v>4</v>
      </c>
      <c r="AR13" s="47">
        <v>11</v>
      </c>
      <c r="AS13" s="47">
        <v>10</v>
      </c>
      <c r="AT13" s="47">
        <v>8</v>
      </c>
      <c r="AU13" s="47">
        <v>9</v>
      </c>
      <c r="AV13" s="47">
        <v>11</v>
      </c>
      <c r="AW13" s="47">
        <v>9</v>
      </c>
      <c r="AX13" s="47">
        <v>9</v>
      </c>
      <c r="AY13" s="47">
        <v>11</v>
      </c>
      <c r="AZ13" s="47">
        <v>12</v>
      </c>
      <c r="BA13" s="47">
        <v>6</v>
      </c>
      <c r="BB13" s="47"/>
      <c r="BD13" s="65"/>
    </row>
    <row r="14" spans="1:56" x14ac:dyDescent="0.35">
      <c r="A14" s="17" t="s">
        <v>37</v>
      </c>
      <c r="B14" s="29">
        <v>38</v>
      </c>
      <c r="C14" s="29">
        <v>30</v>
      </c>
      <c r="D14" s="29">
        <v>31</v>
      </c>
      <c r="E14" s="29">
        <v>34</v>
      </c>
      <c r="F14" s="29">
        <v>42</v>
      </c>
      <c r="G14" s="29">
        <v>45</v>
      </c>
      <c r="H14" s="29">
        <v>43</v>
      </c>
      <c r="I14" s="29">
        <v>38</v>
      </c>
      <c r="J14" s="41">
        <v>38</v>
      </c>
      <c r="K14" s="41">
        <v>34</v>
      </c>
      <c r="L14" s="41">
        <v>28</v>
      </c>
      <c r="M14" s="46">
        <v>21</v>
      </c>
      <c r="N14" s="46">
        <v>23</v>
      </c>
      <c r="O14" s="46">
        <v>26</v>
      </c>
      <c r="P14" s="46">
        <v>36</v>
      </c>
      <c r="Q14" s="46">
        <v>25</v>
      </c>
      <c r="R14" s="46">
        <v>40</v>
      </c>
      <c r="S14" s="46">
        <v>32</v>
      </c>
      <c r="T14" s="46">
        <v>30</v>
      </c>
      <c r="U14" s="46">
        <v>32</v>
      </c>
      <c r="V14" s="46">
        <v>29</v>
      </c>
      <c r="W14" s="46">
        <v>27</v>
      </c>
      <c r="X14" s="46">
        <v>23</v>
      </c>
      <c r="Y14" s="46">
        <v>22</v>
      </c>
      <c r="Z14" s="46">
        <v>26</v>
      </c>
      <c r="AA14" s="46">
        <v>23</v>
      </c>
      <c r="AB14" s="46">
        <v>25</v>
      </c>
      <c r="AC14" s="46">
        <v>19</v>
      </c>
      <c r="AD14" s="46">
        <v>28</v>
      </c>
      <c r="AE14" s="46">
        <v>25</v>
      </c>
      <c r="AF14" s="46">
        <v>19</v>
      </c>
      <c r="AG14" s="46">
        <v>21</v>
      </c>
      <c r="AH14" s="46">
        <v>24</v>
      </c>
      <c r="AI14" s="46">
        <v>23</v>
      </c>
      <c r="AJ14" s="46">
        <v>21</v>
      </c>
      <c r="AK14" s="46">
        <v>15</v>
      </c>
      <c r="AL14" s="46">
        <v>26</v>
      </c>
      <c r="AM14" s="46">
        <v>24</v>
      </c>
      <c r="AN14" s="46">
        <v>18</v>
      </c>
      <c r="AO14" s="46">
        <v>18</v>
      </c>
      <c r="AP14" s="46">
        <v>19</v>
      </c>
      <c r="AQ14" s="46">
        <v>20</v>
      </c>
      <c r="AR14" s="46">
        <v>25</v>
      </c>
      <c r="AS14" s="46">
        <v>24</v>
      </c>
      <c r="AT14" s="46">
        <v>21</v>
      </c>
      <c r="AU14" s="46">
        <v>23</v>
      </c>
      <c r="AV14" s="46">
        <v>24</v>
      </c>
      <c r="AW14" s="46">
        <v>18</v>
      </c>
      <c r="AX14" s="46">
        <v>22</v>
      </c>
      <c r="AY14" s="46">
        <v>23</v>
      </c>
      <c r="AZ14" s="46">
        <v>32</v>
      </c>
      <c r="BA14" s="46">
        <v>11</v>
      </c>
      <c r="BB14" s="46"/>
      <c r="BD14" s="65"/>
    </row>
    <row r="15" spans="1:56" x14ac:dyDescent="0.35">
      <c r="A15" s="8" t="s">
        <v>54</v>
      </c>
      <c r="B15" s="31">
        <v>10</v>
      </c>
      <c r="C15" s="31">
        <v>9</v>
      </c>
      <c r="D15" s="31">
        <v>15</v>
      </c>
      <c r="E15" s="31">
        <v>15</v>
      </c>
      <c r="F15" s="31">
        <v>17</v>
      </c>
      <c r="G15" s="31">
        <v>13</v>
      </c>
      <c r="H15" s="31">
        <v>20</v>
      </c>
      <c r="I15" s="31">
        <v>15</v>
      </c>
      <c r="J15" s="40">
        <v>13</v>
      </c>
      <c r="K15" s="40">
        <v>11</v>
      </c>
      <c r="L15" s="40">
        <v>10</v>
      </c>
      <c r="M15" s="45">
        <v>4</v>
      </c>
      <c r="N15" s="45">
        <v>15</v>
      </c>
      <c r="O15" s="45">
        <v>5</v>
      </c>
      <c r="P15" s="45">
        <v>10</v>
      </c>
      <c r="Q15" s="45">
        <v>11</v>
      </c>
      <c r="R15" s="45">
        <v>11</v>
      </c>
      <c r="S15" s="45">
        <v>8</v>
      </c>
      <c r="T15" s="45">
        <v>15</v>
      </c>
      <c r="U15" s="45">
        <v>10</v>
      </c>
      <c r="V15" s="45">
        <v>15</v>
      </c>
      <c r="W15" s="45">
        <v>15</v>
      </c>
      <c r="X15" s="45">
        <v>5</v>
      </c>
      <c r="Y15" s="45">
        <v>9</v>
      </c>
      <c r="Z15" s="45">
        <v>10</v>
      </c>
      <c r="AA15" s="45">
        <v>8</v>
      </c>
      <c r="AB15" s="45">
        <v>8</v>
      </c>
      <c r="AC15" s="45">
        <v>5</v>
      </c>
      <c r="AD15" s="45">
        <v>7</v>
      </c>
      <c r="AE15" s="45">
        <v>4</v>
      </c>
      <c r="AF15" s="45">
        <v>10</v>
      </c>
      <c r="AG15" s="45">
        <v>10</v>
      </c>
      <c r="AH15" s="45">
        <v>10</v>
      </c>
      <c r="AI15" s="45">
        <v>10</v>
      </c>
      <c r="AJ15" s="45">
        <v>9</v>
      </c>
      <c r="AK15" s="45">
        <v>7</v>
      </c>
      <c r="AL15" s="45">
        <v>10</v>
      </c>
      <c r="AM15" s="45">
        <v>10</v>
      </c>
      <c r="AN15" s="45">
        <v>9</v>
      </c>
      <c r="AO15" s="45">
        <v>13</v>
      </c>
      <c r="AP15" s="45">
        <v>12</v>
      </c>
      <c r="AQ15" s="45">
        <v>6</v>
      </c>
      <c r="AR15" s="45">
        <v>11</v>
      </c>
      <c r="AS15" s="45">
        <v>10</v>
      </c>
      <c r="AT15" s="47">
        <v>11</v>
      </c>
      <c r="AU15" s="45">
        <v>12</v>
      </c>
      <c r="AV15" s="45">
        <v>9</v>
      </c>
      <c r="AW15" s="45">
        <v>9</v>
      </c>
      <c r="AX15" s="45">
        <v>14</v>
      </c>
      <c r="AY15" s="45">
        <v>10</v>
      </c>
      <c r="AZ15" s="45">
        <v>12</v>
      </c>
      <c r="BA15" s="45">
        <v>8</v>
      </c>
      <c r="BB15" s="45"/>
      <c r="BD15" s="167" t="s">
        <v>171</v>
      </c>
    </row>
    <row r="16" spans="1:56" x14ac:dyDescent="0.35">
      <c r="A16" s="17" t="s">
        <v>55</v>
      </c>
      <c r="B16" s="30">
        <v>8</v>
      </c>
      <c r="C16" s="30">
        <v>11</v>
      </c>
      <c r="D16" s="30">
        <v>13</v>
      </c>
      <c r="E16" s="30">
        <v>9</v>
      </c>
      <c r="F16" s="30">
        <v>7</v>
      </c>
      <c r="G16" s="30">
        <v>8</v>
      </c>
      <c r="H16" s="30">
        <v>14</v>
      </c>
      <c r="I16" s="30">
        <v>8</v>
      </c>
      <c r="J16" s="41">
        <v>12</v>
      </c>
      <c r="K16" s="41">
        <v>11</v>
      </c>
      <c r="L16" s="41">
        <v>13</v>
      </c>
      <c r="M16" s="46">
        <v>10</v>
      </c>
      <c r="N16" s="46">
        <v>10</v>
      </c>
      <c r="O16" s="46">
        <v>6</v>
      </c>
      <c r="P16" s="46">
        <v>16</v>
      </c>
      <c r="Q16" s="46">
        <v>9</v>
      </c>
      <c r="R16" s="46">
        <v>10</v>
      </c>
      <c r="S16" s="46">
        <v>9</v>
      </c>
      <c r="T16" s="46">
        <v>11</v>
      </c>
      <c r="U16" s="46">
        <v>10</v>
      </c>
      <c r="V16" s="46">
        <v>11</v>
      </c>
      <c r="W16" s="46">
        <v>11</v>
      </c>
      <c r="X16" s="46">
        <v>5</v>
      </c>
      <c r="Y16" s="46">
        <v>8</v>
      </c>
      <c r="Z16" s="46">
        <v>16</v>
      </c>
      <c r="AA16" s="46">
        <v>10</v>
      </c>
      <c r="AB16" s="46">
        <v>8</v>
      </c>
      <c r="AC16" s="46">
        <v>7</v>
      </c>
      <c r="AD16" s="46">
        <v>8</v>
      </c>
      <c r="AE16" s="46">
        <v>14</v>
      </c>
      <c r="AF16" s="46">
        <v>13</v>
      </c>
      <c r="AG16" s="46">
        <v>18</v>
      </c>
      <c r="AH16" s="46">
        <v>12</v>
      </c>
      <c r="AI16" s="46">
        <v>5</v>
      </c>
      <c r="AJ16" s="46">
        <v>10</v>
      </c>
      <c r="AK16" s="46">
        <v>9</v>
      </c>
      <c r="AL16" s="46">
        <v>20</v>
      </c>
      <c r="AM16" s="46">
        <v>4</v>
      </c>
      <c r="AN16" s="46">
        <v>8</v>
      </c>
      <c r="AO16" s="46">
        <v>7</v>
      </c>
      <c r="AP16" s="46">
        <v>10</v>
      </c>
      <c r="AQ16" s="46">
        <v>6</v>
      </c>
      <c r="AR16" s="46">
        <v>7</v>
      </c>
      <c r="AS16" s="46">
        <v>15</v>
      </c>
      <c r="AT16" s="46">
        <v>10</v>
      </c>
      <c r="AU16" s="46">
        <v>7</v>
      </c>
      <c r="AV16" s="46">
        <v>10</v>
      </c>
      <c r="AW16" s="46">
        <v>13</v>
      </c>
      <c r="AX16" s="46">
        <v>16</v>
      </c>
      <c r="AY16" s="46">
        <v>11</v>
      </c>
      <c r="AZ16" s="46">
        <v>15</v>
      </c>
      <c r="BA16" s="46">
        <v>2</v>
      </c>
      <c r="BB16" s="46"/>
      <c r="BD16" s="65"/>
    </row>
    <row r="17" spans="1:62" x14ac:dyDescent="0.35">
      <c r="A17" s="8" t="s">
        <v>58</v>
      </c>
      <c r="B17" s="31">
        <v>10</v>
      </c>
      <c r="C17" s="31">
        <v>10</v>
      </c>
      <c r="D17" s="31">
        <v>20</v>
      </c>
      <c r="E17" s="31">
        <v>11</v>
      </c>
      <c r="F17" s="31">
        <v>11</v>
      </c>
      <c r="G17" s="31">
        <v>11</v>
      </c>
      <c r="H17" s="31">
        <v>19</v>
      </c>
      <c r="I17" s="31">
        <v>20</v>
      </c>
      <c r="J17" s="40">
        <v>16</v>
      </c>
      <c r="K17" s="40">
        <v>20</v>
      </c>
      <c r="L17" s="40">
        <v>15</v>
      </c>
      <c r="M17" s="45">
        <v>12</v>
      </c>
      <c r="N17" s="45">
        <v>15</v>
      </c>
      <c r="O17" s="45">
        <v>14</v>
      </c>
      <c r="P17" s="45">
        <v>16</v>
      </c>
      <c r="Q17" s="45">
        <v>20</v>
      </c>
      <c r="R17" s="45">
        <v>15</v>
      </c>
      <c r="S17" s="45">
        <v>16</v>
      </c>
      <c r="T17" s="45">
        <v>21</v>
      </c>
      <c r="U17" s="45">
        <v>25</v>
      </c>
      <c r="V17" s="45">
        <v>16</v>
      </c>
      <c r="W17" s="45">
        <v>20</v>
      </c>
      <c r="X17" s="45">
        <v>20</v>
      </c>
      <c r="Y17" s="45">
        <v>20</v>
      </c>
      <c r="Z17" s="45">
        <v>15</v>
      </c>
      <c r="AA17" s="45">
        <v>15</v>
      </c>
      <c r="AB17" s="45">
        <v>17</v>
      </c>
      <c r="AC17" s="45">
        <v>17</v>
      </c>
      <c r="AD17" s="45">
        <v>4</v>
      </c>
      <c r="AE17" s="45">
        <v>14</v>
      </c>
      <c r="AF17" s="45">
        <v>12</v>
      </c>
      <c r="AG17" s="45">
        <v>20</v>
      </c>
      <c r="AH17" s="45">
        <v>10</v>
      </c>
      <c r="AI17" s="45">
        <v>18</v>
      </c>
      <c r="AJ17" s="45">
        <v>17</v>
      </c>
      <c r="AK17" s="45">
        <v>11</v>
      </c>
      <c r="AL17" s="45">
        <v>16</v>
      </c>
      <c r="AM17" s="45">
        <v>14</v>
      </c>
      <c r="AN17" s="45">
        <v>15</v>
      </c>
      <c r="AO17" s="45">
        <v>13</v>
      </c>
      <c r="AP17" s="45">
        <v>16</v>
      </c>
      <c r="AQ17" s="45">
        <v>16</v>
      </c>
      <c r="AR17" s="45">
        <v>15</v>
      </c>
      <c r="AS17" s="45">
        <v>15</v>
      </c>
      <c r="AT17" s="45">
        <v>10</v>
      </c>
      <c r="AU17" s="45">
        <v>14</v>
      </c>
      <c r="AV17" s="45">
        <v>16</v>
      </c>
      <c r="AW17" s="45">
        <v>10</v>
      </c>
      <c r="AX17" s="45">
        <v>16</v>
      </c>
      <c r="AY17" s="45">
        <v>11</v>
      </c>
      <c r="AZ17" s="45">
        <v>16</v>
      </c>
      <c r="BA17" s="45">
        <v>8</v>
      </c>
      <c r="BB17" s="45"/>
      <c r="BC17" s="40"/>
      <c r="BD17" s="72"/>
    </row>
    <row r="18" spans="1:62" s="9" customFormat="1" x14ac:dyDescent="0.35">
      <c r="A18" s="17" t="s">
        <v>61</v>
      </c>
      <c r="B18" s="30">
        <v>6</v>
      </c>
      <c r="C18" s="30">
        <v>8</v>
      </c>
      <c r="D18" s="30">
        <v>8</v>
      </c>
      <c r="E18" s="30">
        <v>12</v>
      </c>
      <c r="F18" s="30">
        <v>13</v>
      </c>
      <c r="G18" s="30">
        <v>12</v>
      </c>
      <c r="H18" s="30">
        <v>15</v>
      </c>
      <c r="I18" s="30">
        <v>10</v>
      </c>
      <c r="J18" s="41">
        <v>10</v>
      </c>
      <c r="K18" s="41">
        <v>10</v>
      </c>
      <c r="L18" s="41">
        <v>12</v>
      </c>
      <c r="M18" s="46">
        <v>16</v>
      </c>
      <c r="N18" s="46">
        <v>16</v>
      </c>
      <c r="O18" s="46">
        <v>15</v>
      </c>
      <c r="P18" s="46">
        <v>14</v>
      </c>
      <c r="Q18" s="46">
        <v>9</v>
      </c>
      <c r="R18" s="46">
        <v>12</v>
      </c>
      <c r="S18" s="46">
        <v>11</v>
      </c>
      <c r="T18" s="46">
        <v>12</v>
      </c>
      <c r="U18" s="46">
        <v>8</v>
      </c>
      <c r="V18" s="46">
        <v>11</v>
      </c>
      <c r="W18" s="46">
        <v>16</v>
      </c>
      <c r="X18" s="46">
        <v>10</v>
      </c>
      <c r="Y18" s="46">
        <v>13</v>
      </c>
      <c r="Z18" s="46">
        <v>14</v>
      </c>
      <c r="AA18" s="46">
        <v>3</v>
      </c>
      <c r="AB18" s="46">
        <v>13</v>
      </c>
      <c r="AC18" s="46">
        <v>15</v>
      </c>
      <c r="AD18" s="46">
        <v>16</v>
      </c>
      <c r="AE18" s="46">
        <v>9</v>
      </c>
      <c r="AF18" s="46">
        <v>14</v>
      </c>
      <c r="AG18" s="46">
        <v>13</v>
      </c>
      <c r="AH18" s="46">
        <v>12</v>
      </c>
      <c r="AI18" s="46">
        <v>10</v>
      </c>
      <c r="AJ18" s="46">
        <v>16</v>
      </c>
      <c r="AK18" s="46">
        <v>3</v>
      </c>
      <c r="AL18" s="46">
        <v>11</v>
      </c>
      <c r="AM18" s="46">
        <v>10</v>
      </c>
      <c r="AN18" s="46">
        <v>10</v>
      </c>
      <c r="AO18" s="46">
        <v>8</v>
      </c>
      <c r="AP18" s="46">
        <v>8</v>
      </c>
      <c r="AQ18" s="46">
        <v>10</v>
      </c>
      <c r="AR18" s="46">
        <v>6</v>
      </c>
      <c r="AS18" s="46">
        <v>17</v>
      </c>
      <c r="AT18" s="46">
        <v>11</v>
      </c>
      <c r="AU18" s="46">
        <v>7</v>
      </c>
      <c r="AV18" s="46">
        <v>9</v>
      </c>
      <c r="AW18" s="46">
        <v>10</v>
      </c>
      <c r="AX18" s="46">
        <v>9</v>
      </c>
      <c r="AY18" s="46">
        <v>12</v>
      </c>
      <c r="AZ18" s="46">
        <v>9</v>
      </c>
      <c r="BA18" s="46">
        <v>9</v>
      </c>
      <c r="BB18" s="46"/>
      <c r="BC18" s="85"/>
      <c r="BD18" s="86"/>
      <c r="BE18" s="85"/>
    </row>
    <row r="19" spans="1:62" s="9" customFormat="1" x14ac:dyDescent="0.35">
      <c r="A19" s="16" t="s">
        <v>62</v>
      </c>
      <c r="B19" s="32">
        <v>10</v>
      </c>
      <c r="C19" s="32">
        <v>8</v>
      </c>
      <c r="D19" s="32">
        <v>10</v>
      </c>
      <c r="E19" s="32">
        <v>10</v>
      </c>
      <c r="F19" s="32">
        <v>5</v>
      </c>
      <c r="G19" s="32">
        <v>8</v>
      </c>
      <c r="H19" s="32">
        <v>11</v>
      </c>
      <c r="I19" s="32">
        <v>4</v>
      </c>
      <c r="J19" s="42">
        <v>9</v>
      </c>
      <c r="K19" s="42">
        <v>3</v>
      </c>
      <c r="L19" s="42">
        <v>7</v>
      </c>
      <c r="M19" s="47">
        <v>4</v>
      </c>
      <c r="N19" s="47">
        <v>15</v>
      </c>
      <c r="O19" s="47">
        <v>11</v>
      </c>
      <c r="P19" s="47">
        <v>11</v>
      </c>
      <c r="Q19" s="47">
        <v>8</v>
      </c>
      <c r="R19" s="47">
        <v>5</v>
      </c>
      <c r="S19" s="47">
        <v>8</v>
      </c>
      <c r="T19" s="47">
        <v>9</v>
      </c>
      <c r="U19" s="47">
        <v>9</v>
      </c>
      <c r="V19" s="47">
        <v>4</v>
      </c>
      <c r="W19" s="47">
        <v>6</v>
      </c>
      <c r="X19" s="47">
        <v>3</v>
      </c>
      <c r="Y19" s="47">
        <v>7</v>
      </c>
      <c r="Z19" s="47">
        <v>12</v>
      </c>
      <c r="AA19" s="47">
        <v>6</v>
      </c>
      <c r="AB19" s="47">
        <v>3</v>
      </c>
      <c r="AC19" s="47">
        <v>2</v>
      </c>
      <c r="AD19" s="47">
        <v>4</v>
      </c>
      <c r="AE19" s="47">
        <v>2</v>
      </c>
      <c r="AF19" s="47">
        <v>6</v>
      </c>
      <c r="AG19" s="47">
        <v>4</v>
      </c>
      <c r="AH19" s="47">
        <v>4</v>
      </c>
      <c r="AI19" s="47">
        <v>4</v>
      </c>
      <c r="AJ19" s="47">
        <v>6</v>
      </c>
      <c r="AK19" s="47">
        <v>6</v>
      </c>
      <c r="AL19" s="47">
        <v>7</v>
      </c>
      <c r="AM19" s="47">
        <v>5</v>
      </c>
      <c r="AN19" s="47">
        <v>8</v>
      </c>
      <c r="AO19" s="47">
        <v>2</v>
      </c>
      <c r="AP19" s="47">
        <v>3</v>
      </c>
      <c r="AQ19" s="47">
        <v>5</v>
      </c>
      <c r="AR19" s="47">
        <v>3</v>
      </c>
      <c r="AS19" s="47">
        <v>4</v>
      </c>
      <c r="AT19" s="47">
        <v>3</v>
      </c>
      <c r="AU19" s="47">
        <v>1</v>
      </c>
      <c r="AV19" s="47">
        <v>7</v>
      </c>
      <c r="AW19" s="47">
        <v>2</v>
      </c>
      <c r="AX19" s="47">
        <v>7</v>
      </c>
      <c r="AY19" s="84" t="s">
        <v>60</v>
      </c>
      <c r="AZ19" s="84" t="s">
        <v>60</v>
      </c>
      <c r="BA19" s="84" t="s">
        <v>60</v>
      </c>
      <c r="BB19" s="84" t="s">
        <v>60</v>
      </c>
      <c r="BC19" s="87"/>
      <c r="BD19" s="88"/>
    </row>
    <row r="20" spans="1:62" s="9" customFormat="1" x14ac:dyDescent="0.35">
      <c r="A20" s="17" t="s">
        <v>63</v>
      </c>
      <c r="B20" s="30">
        <v>12</v>
      </c>
      <c r="C20" s="30">
        <v>10</v>
      </c>
      <c r="D20" s="30">
        <v>11</v>
      </c>
      <c r="E20" s="30">
        <v>9</v>
      </c>
      <c r="F20" s="30">
        <v>12</v>
      </c>
      <c r="G20" s="30">
        <v>7</v>
      </c>
      <c r="H20" s="30">
        <v>14</v>
      </c>
      <c r="I20" s="30">
        <v>12</v>
      </c>
      <c r="J20" s="41">
        <v>12</v>
      </c>
      <c r="K20" s="41">
        <v>16</v>
      </c>
      <c r="L20" s="41">
        <v>16</v>
      </c>
      <c r="M20" s="46">
        <v>17</v>
      </c>
      <c r="N20" s="46">
        <v>15</v>
      </c>
      <c r="O20" s="46">
        <v>15</v>
      </c>
      <c r="P20" s="46">
        <v>23</v>
      </c>
      <c r="Q20" s="46">
        <v>28</v>
      </c>
      <c r="R20" s="46">
        <v>20</v>
      </c>
      <c r="S20" s="46">
        <v>25</v>
      </c>
      <c r="T20" s="46">
        <v>26</v>
      </c>
      <c r="U20" s="46">
        <v>29</v>
      </c>
      <c r="V20" s="46">
        <v>25</v>
      </c>
      <c r="W20" s="46">
        <v>26</v>
      </c>
      <c r="X20" s="46">
        <v>26</v>
      </c>
      <c r="Y20" s="46">
        <v>20</v>
      </c>
      <c r="Z20" s="46">
        <v>25</v>
      </c>
      <c r="AA20" s="46">
        <v>24</v>
      </c>
      <c r="AB20" s="46">
        <v>24</v>
      </c>
      <c r="AC20" s="46">
        <v>11</v>
      </c>
      <c r="AD20" s="46">
        <v>10</v>
      </c>
      <c r="AE20" s="46">
        <v>13</v>
      </c>
      <c r="AF20" s="46">
        <v>15</v>
      </c>
      <c r="AG20" s="46">
        <v>10</v>
      </c>
      <c r="AH20" s="46">
        <v>13</v>
      </c>
      <c r="AI20" s="46">
        <v>13</v>
      </c>
      <c r="AJ20" s="46">
        <v>15</v>
      </c>
      <c r="AK20" s="46">
        <v>15</v>
      </c>
      <c r="AL20" s="46">
        <v>20</v>
      </c>
      <c r="AM20" s="46">
        <v>17</v>
      </c>
      <c r="AN20" s="46">
        <v>12</v>
      </c>
      <c r="AO20" s="46">
        <v>13</v>
      </c>
      <c r="AP20" s="46">
        <v>11</v>
      </c>
      <c r="AQ20" s="46">
        <v>11</v>
      </c>
      <c r="AR20" s="46">
        <v>16</v>
      </c>
      <c r="AS20" s="46">
        <v>8</v>
      </c>
      <c r="AT20" s="46">
        <v>10</v>
      </c>
      <c r="AU20" s="46">
        <v>12</v>
      </c>
      <c r="AV20" s="46">
        <v>15</v>
      </c>
      <c r="AW20" s="46">
        <v>15</v>
      </c>
      <c r="AX20" s="46">
        <v>16</v>
      </c>
      <c r="AY20" s="46">
        <v>14</v>
      </c>
      <c r="AZ20" s="46">
        <v>7</v>
      </c>
      <c r="BA20" s="46">
        <v>6</v>
      </c>
      <c r="BB20" s="46"/>
      <c r="BD20" s="88"/>
      <c r="BE20" s="85"/>
    </row>
    <row r="21" spans="1:62" s="9" customFormat="1" x14ac:dyDescent="0.35">
      <c r="A21" s="16" t="s">
        <v>73</v>
      </c>
      <c r="B21" s="23"/>
      <c r="C21" s="32"/>
      <c r="D21" s="32"/>
      <c r="E21" s="32"/>
      <c r="F21" s="32">
        <v>10</v>
      </c>
      <c r="G21" s="32">
        <v>8</v>
      </c>
      <c r="H21" s="32">
        <v>4</v>
      </c>
      <c r="I21" s="32">
        <v>15</v>
      </c>
      <c r="J21" s="42">
        <v>11</v>
      </c>
      <c r="K21" s="42">
        <v>15</v>
      </c>
      <c r="L21" s="42">
        <v>10</v>
      </c>
      <c r="M21" s="47">
        <v>9</v>
      </c>
      <c r="N21" s="47">
        <v>18</v>
      </c>
      <c r="O21" s="47">
        <v>15</v>
      </c>
      <c r="P21" s="47">
        <v>13</v>
      </c>
      <c r="Q21" s="47">
        <v>12</v>
      </c>
      <c r="R21" s="47">
        <v>15</v>
      </c>
      <c r="S21" s="47">
        <v>11</v>
      </c>
      <c r="T21" s="47">
        <v>15</v>
      </c>
      <c r="U21" s="47">
        <v>10</v>
      </c>
      <c r="V21" s="47">
        <v>13</v>
      </c>
      <c r="W21" s="47">
        <v>11</v>
      </c>
      <c r="X21" s="47">
        <v>12</v>
      </c>
      <c r="Y21" s="47">
        <v>10</v>
      </c>
      <c r="Z21" s="47">
        <v>11</v>
      </c>
      <c r="AA21" s="47">
        <v>2</v>
      </c>
      <c r="AB21" s="47">
        <v>4</v>
      </c>
      <c r="AC21" s="47">
        <v>8</v>
      </c>
      <c r="AD21" s="47">
        <v>10</v>
      </c>
      <c r="AE21" s="47">
        <v>8</v>
      </c>
      <c r="AF21" s="47">
        <v>8</v>
      </c>
      <c r="AG21" s="47">
        <v>8</v>
      </c>
      <c r="AH21" s="47">
        <v>7</v>
      </c>
      <c r="AI21" s="47">
        <v>11</v>
      </c>
      <c r="AJ21" s="47">
        <v>7</v>
      </c>
      <c r="AK21" s="47">
        <v>10</v>
      </c>
      <c r="AL21" s="47">
        <v>8</v>
      </c>
      <c r="AM21" s="47">
        <v>4</v>
      </c>
      <c r="AN21" s="47">
        <v>10</v>
      </c>
      <c r="AO21" s="47">
        <v>5</v>
      </c>
      <c r="AP21" s="47">
        <v>8</v>
      </c>
      <c r="AQ21" s="47">
        <v>4</v>
      </c>
      <c r="AR21" s="47">
        <v>10</v>
      </c>
      <c r="AS21" s="47">
        <v>8</v>
      </c>
      <c r="AT21" s="47">
        <v>6</v>
      </c>
      <c r="AU21" s="47">
        <v>6</v>
      </c>
      <c r="AV21" s="47">
        <v>10</v>
      </c>
      <c r="AW21" s="47">
        <v>9</v>
      </c>
      <c r="AX21" s="47">
        <v>2</v>
      </c>
      <c r="AY21" s="47">
        <v>5</v>
      </c>
      <c r="AZ21" s="47">
        <v>1</v>
      </c>
      <c r="BA21" s="47">
        <v>1</v>
      </c>
      <c r="BB21" s="47"/>
      <c r="BC21" s="75"/>
      <c r="BD21" s="89"/>
    </row>
    <row r="22" spans="1:62" s="9" customFormat="1" hidden="1" x14ac:dyDescent="0.35">
      <c r="A22" s="17" t="s">
        <v>76</v>
      </c>
      <c r="B22" s="22"/>
      <c r="C22" s="30"/>
      <c r="D22" s="30"/>
      <c r="E22" s="30"/>
      <c r="F22" s="30"/>
      <c r="G22" s="30">
        <v>0</v>
      </c>
      <c r="H22" s="30">
        <v>2</v>
      </c>
      <c r="I22" s="30">
        <v>3</v>
      </c>
      <c r="J22" s="41">
        <v>0</v>
      </c>
      <c r="K22" s="41">
        <v>2</v>
      </c>
      <c r="L22" s="41">
        <v>3</v>
      </c>
      <c r="M22" s="46">
        <v>2</v>
      </c>
      <c r="N22" s="46">
        <v>0</v>
      </c>
      <c r="O22" s="46">
        <v>5</v>
      </c>
      <c r="P22" s="46">
        <v>2</v>
      </c>
      <c r="Q22" s="46">
        <v>4</v>
      </c>
      <c r="R22" s="46">
        <v>1</v>
      </c>
      <c r="S22" s="46">
        <v>8</v>
      </c>
      <c r="T22" s="46">
        <v>10</v>
      </c>
      <c r="U22" s="46">
        <v>7</v>
      </c>
      <c r="V22" s="46">
        <v>4</v>
      </c>
      <c r="W22" s="46">
        <v>1</v>
      </c>
      <c r="X22" s="46">
        <v>2</v>
      </c>
      <c r="Y22" s="46">
        <v>8</v>
      </c>
      <c r="Z22" s="46">
        <v>10</v>
      </c>
      <c r="AA22" s="46">
        <v>5</v>
      </c>
      <c r="AB22" s="46">
        <v>3</v>
      </c>
      <c r="AC22" s="46">
        <v>7</v>
      </c>
      <c r="AD22" s="46">
        <v>1</v>
      </c>
      <c r="AE22" s="46">
        <v>8</v>
      </c>
      <c r="AF22" s="46">
        <v>7</v>
      </c>
      <c r="AG22" s="46">
        <v>9</v>
      </c>
      <c r="AH22" s="46">
        <v>3</v>
      </c>
      <c r="AI22" s="46">
        <v>3</v>
      </c>
      <c r="AJ22" s="83" t="s">
        <v>60</v>
      </c>
      <c r="AK22" s="83" t="s">
        <v>60</v>
      </c>
      <c r="AL22" s="83" t="s">
        <v>60</v>
      </c>
      <c r="AM22" s="83" t="s">
        <v>60</v>
      </c>
      <c r="AN22" s="83" t="s">
        <v>60</v>
      </c>
      <c r="AO22" s="83" t="s">
        <v>60</v>
      </c>
      <c r="AP22" s="83" t="s">
        <v>60</v>
      </c>
      <c r="AQ22" s="83" t="s">
        <v>60</v>
      </c>
      <c r="AR22" s="83" t="s">
        <v>60</v>
      </c>
      <c r="AS22" s="83" t="s">
        <v>60</v>
      </c>
      <c r="AT22" s="83" t="s">
        <v>60</v>
      </c>
      <c r="AU22" s="83"/>
      <c r="AV22" s="83"/>
      <c r="AW22" s="83"/>
      <c r="AX22" s="83"/>
      <c r="AY22" s="83" t="s">
        <v>60</v>
      </c>
      <c r="AZ22" s="83"/>
      <c r="BA22" s="83"/>
      <c r="BB22" s="90"/>
      <c r="BC22" s="90"/>
      <c r="BD22" s="89"/>
    </row>
    <row r="23" spans="1:62" s="9" customFormat="1" x14ac:dyDescent="0.35">
      <c r="A23" s="17" t="s">
        <v>81</v>
      </c>
      <c r="B23" s="23"/>
      <c r="C23" s="32"/>
      <c r="D23" s="32"/>
      <c r="E23" s="32"/>
      <c r="F23" s="32"/>
      <c r="G23" s="32"/>
      <c r="H23" s="32"/>
      <c r="I23" s="32">
        <v>4</v>
      </c>
      <c r="J23" s="42">
        <v>10</v>
      </c>
      <c r="K23" s="42">
        <v>11</v>
      </c>
      <c r="L23" s="42">
        <v>9</v>
      </c>
      <c r="M23" s="47">
        <v>8</v>
      </c>
      <c r="N23" s="47">
        <v>11</v>
      </c>
      <c r="O23" s="47">
        <v>4</v>
      </c>
      <c r="P23" s="47">
        <v>6</v>
      </c>
      <c r="Q23" s="47">
        <v>4</v>
      </c>
      <c r="R23" s="47">
        <v>6</v>
      </c>
      <c r="S23" s="47">
        <v>7</v>
      </c>
      <c r="T23" s="47">
        <v>6</v>
      </c>
      <c r="U23" s="47">
        <v>6</v>
      </c>
      <c r="V23" s="47">
        <v>11</v>
      </c>
      <c r="W23" s="47">
        <v>4</v>
      </c>
      <c r="X23" s="47">
        <v>9</v>
      </c>
      <c r="Y23" s="47">
        <v>7</v>
      </c>
      <c r="Z23" s="47">
        <v>13</v>
      </c>
      <c r="AA23" s="47">
        <v>10</v>
      </c>
      <c r="AB23" s="47">
        <v>10</v>
      </c>
      <c r="AC23" s="47">
        <v>10</v>
      </c>
      <c r="AD23" s="47">
        <v>7</v>
      </c>
      <c r="AE23" s="47">
        <v>7</v>
      </c>
      <c r="AF23" s="47">
        <v>6</v>
      </c>
      <c r="AG23" s="47">
        <v>9</v>
      </c>
      <c r="AH23" s="47">
        <v>4</v>
      </c>
      <c r="AI23" s="47">
        <v>10</v>
      </c>
      <c r="AJ23" s="47">
        <v>5</v>
      </c>
      <c r="AK23" s="47">
        <v>10</v>
      </c>
      <c r="AL23" s="46">
        <v>11</v>
      </c>
      <c r="AM23" s="46">
        <v>10</v>
      </c>
      <c r="AN23" s="46">
        <v>8</v>
      </c>
      <c r="AO23" s="46">
        <v>9</v>
      </c>
      <c r="AP23" s="46">
        <v>5</v>
      </c>
      <c r="AQ23" s="46">
        <v>8</v>
      </c>
      <c r="AR23" s="46">
        <v>5</v>
      </c>
      <c r="AS23" s="46">
        <v>9</v>
      </c>
      <c r="AT23" s="46">
        <v>2</v>
      </c>
      <c r="AU23" s="46">
        <v>10</v>
      </c>
      <c r="AV23" s="46">
        <v>6</v>
      </c>
      <c r="AW23" s="46">
        <v>8</v>
      </c>
      <c r="AX23" s="46">
        <v>7</v>
      </c>
      <c r="AY23" s="46">
        <v>5</v>
      </c>
      <c r="AZ23" s="46">
        <v>9</v>
      </c>
      <c r="BA23" s="46">
        <v>4</v>
      </c>
      <c r="BB23" s="46"/>
      <c r="BC23" s="95"/>
      <c r="BD23" s="149"/>
      <c r="BJ23" s="9" t="s">
        <v>150</v>
      </c>
    </row>
    <row r="24" spans="1:62" s="9" customFormat="1" x14ac:dyDescent="0.35">
      <c r="A24" s="16" t="s">
        <v>83</v>
      </c>
      <c r="B24" s="22"/>
      <c r="C24" s="30"/>
      <c r="D24" s="30"/>
      <c r="E24" s="30"/>
      <c r="F24" s="30"/>
      <c r="G24" s="30"/>
      <c r="H24" s="30"/>
      <c r="I24" s="30"/>
      <c r="J24" s="41">
        <v>2</v>
      </c>
      <c r="K24" s="41">
        <v>2</v>
      </c>
      <c r="L24" s="41">
        <v>5</v>
      </c>
      <c r="M24" s="46">
        <v>8</v>
      </c>
      <c r="N24" s="46">
        <v>8</v>
      </c>
      <c r="O24" s="46">
        <v>9</v>
      </c>
      <c r="P24" s="46">
        <v>6</v>
      </c>
      <c r="Q24" s="46">
        <v>9</v>
      </c>
      <c r="R24" s="46">
        <v>6</v>
      </c>
      <c r="S24" s="46">
        <v>10</v>
      </c>
      <c r="T24" s="46">
        <v>10</v>
      </c>
      <c r="U24" s="46">
        <v>13</v>
      </c>
      <c r="V24" s="46">
        <v>6</v>
      </c>
      <c r="W24" s="46">
        <v>7</v>
      </c>
      <c r="X24" s="46">
        <v>10</v>
      </c>
      <c r="Y24" s="46">
        <v>11</v>
      </c>
      <c r="Z24" s="46">
        <v>5</v>
      </c>
      <c r="AA24" s="46">
        <v>8</v>
      </c>
      <c r="AB24" s="46">
        <v>10</v>
      </c>
      <c r="AC24" s="46">
        <v>8</v>
      </c>
      <c r="AD24" s="46">
        <v>10</v>
      </c>
      <c r="AE24" s="46">
        <v>12</v>
      </c>
      <c r="AF24" s="46">
        <v>10</v>
      </c>
      <c r="AG24" s="46">
        <v>8</v>
      </c>
      <c r="AH24" s="46">
        <v>12</v>
      </c>
      <c r="AI24" s="46">
        <v>13</v>
      </c>
      <c r="AJ24" s="46">
        <v>11</v>
      </c>
      <c r="AK24" s="46">
        <v>10</v>
      </c>
      <c r="AL24" s="47">
        <v>10</v>
      </c>
      <c r="AM24" s="47">
        <v>11</v>
      </c>
      <c r="AN24" s="47">
        <v>9</v>
      </c>
      <c r="AO24" s="47">
        <v>10</v>
      </c>
      <c r="AP24" s="47">
        <v>10</v>
      </c>
      <c r="AQ24" s="47">
        <v>10</v>
      </c>
      <c r="AR24" s="47">
        <v>9</v>
      </c>
      <c r="AS24" s="47">
        <v>9</v>
      </c>
      <c r="AT24" s="47">
        <v>7</v>
      </c>
      <c r="AU24" s="47">
        <v>8</v>
      </c>
      <c r="AV24" s="47">
        <v>7</v>
      </c>
      <c r="AW24" s="47">
        <v>10</v>
      </c>
      <c r="AX24" s="47">
        <v>11</v>
      </c>
      <c r="AY24" s="47">
        <v>8</v>
      </c>
      <c r="AZ24" s="47">
        <v>10</v>
      </c>
      <c r="BA24" s="47">
        <v>5</v>
      </c>
      <c r="BB24" s="47"/>
      <c r="BC24" s="92"/>
      <c r="BD24" s="93"/>
    </row>
    <row r="25" spans="1:62" s="9" customFormat="1" hidden="1" x14ac:dyDescent="0.35">
      <c r="A25" s="16" t="s">
        <v>87</v>
      </c>
      <c r="B25" s="23"/>
      <c r="C25" s="32"/>
      <c r="D25" s="32"/>
      <c r="E25" s="32"/>
      <c r="F25" s="32"/>
      <c r="G25" s="32"/>
      <c r="H25" s="32"/>
      <c r="I25" s="32"/>
      <c r="J25" s="42"/>
      <c r="K25" s="42"/>
      <c r="L25" s="42"/>
      <c r="M25" s="47"/>
      <c r="N25" s="47">
        <v>2</v>
      </c>
      <c r="O25" s="47">
        <v>4</v>
      </c>
      <c r="P25" s="47">
        <v>6</v>
      </c>
      <c r="Q25" s="47">
        <v>4</v>
      </c>
      <c r="R25" s="47">
        <v>1</v>
      </c>
      <c r="S25" s="47">
        <v>4</v>
      </c>
      <c r="T25" s="47">
        <v>7</v>
      </c>
      <c r="U25" s="47">
        <v>3</v>
      </c>
      <c r="V25" s="47">
        <v>10</v>
      </c>
      <c r="W25" s="47">
        <v>3</v>
      </c>
      <c r="X25" s="47">
        <v>1</v>
      </c>
      <c r="Y25" s="47">
        <v>4</v>
      </c>
      <c r="Z25" s="47">
        <v>10</v>
      </c>
      <c r="AA25" s="47">
        <v>2</v>
      </c>
      <c r="AB25" s="47">
        <v>7</v>
      </c>
      <c r="AC25" s="47">
        <v>5</v>
      </c>
      <c r="AD25" s="47">
        <v>4</v>
      </c>
      <c r="AE25" s="47">
        <v>5</v>
      </c>
      <c r="AF25" s="47">
        <v>6</v>
      </c>
      <c r="AG25" s="47">
        <v>0</v>
      </c>
      <c r="AH25" s="47">
        <v>6</v>
      </c>
      <c r="AI25" s="47">
        <v>7</v>
      </c>
      <c r="AJ25" s="47">
        <v>8</v>
      </c>
      <c r="AK25" s="47">
        <v>8</v>
      </c>
      <c r="AL25" s="47">
        <v>4</v>
      </c>
      <c r="AM25" s="47">
        <v>3</v>
      </c>
      <c r="AN25" s="47">
        <v>5</v>
      </c>
      <c r="AO25" s="47">
        <v>4</v>
      </c>
      <c r="AP25" s="47">
        <v>2</v>
      </c>
      <c r="AQ25" s="47">
        <v>4</v>
      </c>
      <c r="AR25" s="47">
        <v>6</v>
      </c>
      <c r="AS25" s="84" t="s">
        <v>60</v>
      </c>
      <c r="AT25" s="84" t="s">
        <v>60</v>
      </c>
      <c r="AU25" s="84"/>
      <c r="AV25" s="84"/>
      <c r="AW25" s="84"/>
      <c r="AX25" s="84"/>
      <c r="AY25" s="84" t="s">
        <v>60</v>
      </c>
      <c r="AZ25" s="84"/>
      <c r="BA25" s="84"/>
      <c r="BD25" s="89"/>
    </row>
    <row r="26" spans="1:62" s="9" customFormat="1" hidden="1" x14ac:dyDescent="0.35">
      <c r="A26" s="17" t="s">
        <v>90</v>
      </c>
      <c r="B26" s="22"/>
      <c r="C26" s="30"/>
      <c r="D26" s="30"/>
      <c r="E26" s="30"/>
      <c r="F26" s="30"/>
      <c r="G26" s="30"/>
      <c r="H26" s="30"/>
      <c r="I26" s="30"/>
      <c r="J26" s="41"/>
      <c r="K26" s="41"/>
      <c r="L26" s="41"/>
      <c r="M26" s="46"/>
      <c r="N26" s="48"/>
      <c r="O26" s="46">
        <v>1</v>
      </c>
      <c r="P26" s="46">
        <v>2</v>
      </c>
      <c r="Q26" s="46">
        <v>4</v>
      </c>
      <c r="R26" s="46">
        <v>4</v>
      </c>
      <c r="S26" s="46">
        <v>2</v>
      </c>
      <c r="T26" s="46">
        <v>1</v>
      </c>
      <c r="U26" s="46">
        <v>3</v>
      </c>
      <c r="V26" s="46">
        <v>2</v>
      </c>
      <c r="W26" s="46">
        <v>0</v>
      </c>
      <c r="X26" s="46">
        <v>1</v>
      </c>
      <c r="Y26" s="46">
        <v>1</v>
      </c>
      <c r="Z26" s="46">
        <v>3</v>
      </c>
      <c r="AA26" s="46">
        <v>2</v>
      </c>
      <c r="AB26" s="46">
        <v>3</v>
      </c>
      <c r="AC26" s="46">
        <v>2</v>
      </c>
      <c r="AD26" s="46">
        <v>1</v>
      </c>
      <c r="AE26" s="83" t="s">
        <v>60</v>
      </c>
      <c r="AF26" s="83" t="s">
        <v>60</v>
      </c>
      <c r="AG26" s="83" t="s">
        <v>60</v>
      </c>
      <c r="AH26" s="83" t="s">
        <v>60</v>
      </c>
      <c r="AI26" s="83" t="s">
        <v>60</v>
      </c>
      <c r="AJ26" s="83" t="s">
        <v>60</v>
      </c>
      <c r="AK26" s="83" t="s">
        <v>60</v>
      </c>
      <c r="AL26" s="83" t="s">
        <v>60</v>
      </c>
      <c r="AM26" s="83" t="s">
        <v>60</v>
      </c>
      <c r="AN26" s="83" t="s">
        <v>60</v>
      </c>
      <c r="AO26" s="83" t="s">
        <v>60</v>
      </c>
      <c r="AP26" s="83" t="s">
        <v>60</v>
      </c>
      <c r="AQ26" s="83" t="s">
        <v>60</v>
      </c>
      <c r="AR26" s="83" t="s">
        <v>60</v>
      </c>
      <c r="AS26" s="83" t="s">
        <v>60</v>
      </c>
      <c r="AT26" s="83" t="s">
        <v>60</v>
      </c>
      <c r="AU26" s="83"/>
      <c r="AV26" s="83"/>
      <c r="AW26" s="83"/>
      <c r="AX26" s="83"/>
      <c r="AY26" s="83" t="s">
        <v>60</v>
      </c>
      <c r="AZ26" s="83"/>
      <c r="BA26" s="83"/>
      <c r="BB26" s="91"/>
      <c r="BC26" s="94"/>
      <c r="BD26" s="89"/>
    </row>
    <row r="27" spans="1:62" s="9" customFormat="1" hidden="1" x14ac:dyDescent="0.35">
      <c r="A27" s="16" t="s">
        <v>91</v>
      </c>
      <c r="B27" s="22"/>
      <c r="C27" s="30"/>
      <c r="D27" s="30"/>
      <c r="E27" s="30"/>
      <c r="F27" s="30"/>
      <c r="G27" s="30"/>
      <c r="H27" s="30"/>
      <c r="I27" s="30"/>
      <c r="J27" s="41"/>
      <c r="K27" s="41"/>
      <c r="L27" s="41"/>
      <c r="M27" s="46"/>
      <c r="N27" s="48"/>
      <c r="O27" s="84" t="s">
        <v>60</v>
      </c>
      <c r="P27" s="47">
        <v>3</v>
      </c>
      <c r="Q27" s="47">
        <v>4</v>
      </c>
      <c r="R27" s="46">
        <v>3</v>
      </c>
      <c r="S27" s="46">
        <v>4</v>
      </c>
      <c r="T27" s="46">
        <v>6</v>
      </c>
      <c r="U27" s="46">
        <v>7</v>
      </c>
      <c r="V27" s="46">
        <v>2</v>
      </c>
      <c r="W27" s="46">
        <v>3</v>
      </c>
      <c r="X27" s="46">
        <v>6</v>
      </c>
      <c r="Y27" s="46">
        <v>4</v>
      </c>
      <c r="Z27" s="47">
        <v>1</v>
      </c>
      <c r="AA27" s="47">
        <v>4</v>
      </c>
      <c r="AB27" s="47">
        <v>2</v>
      </c>
      <c r="AC27" s="47">
        <v>6</v>
      </c>
      <c r="AD27" s="47">
        <v>4</v>
      </c>
      <c r="AE27" s="47">
        <v>3</v>
      </c>
      <c r="AF27" s="47">
        <v>7</v>
      </c>
      <c r="AG27" s="47">
        <v>6</v>
      </c>
      <c r="AH27" s="47">
        <v>5</v>
      </c>
      <c r="AI27" s="47">
        <v>6</v>
      </c>
      <c r="AJ27" s="47">
        <v>4</v>
      </c>
      <c r="AK27" s="47">
        <v>6</v>
      </c>
      <c r="AL27" s="47">
        <v>7</v>
      </c>
      <c r="AM27" s="47">
        <v>3</v>
      </c>
      <c r="AN27" s="47">
        <v>5</v>
      </c>
      <c r="AO27" s="47">
        <v>1</v>
      </c>
      <c r="AP27" s="47">
        <v>0</v>
      </c>
      <c r="AQ27" s="47">
        <v>1</v>
      </c>
      <c r="AR27" s="49">
        <v>2</v>
      </c>
      <c r="AS27" s="84" t="s">
        <v>60</v>
      </c>
      <c r="AT27" s="84" t="s">
        <v>60</v>
      </c>
      <c r="AU27" s="84"/>
      <c r="AV27" s="84"/>
      <c r="AW27" s="84"/>
      <c r="AX27" s="84"/>
      <c r="AY27" s="84" t="s">
        <v>60</v>
      </c>
      <c r="AZ27" s="84"/>
      <c r="BA27" s="84"/>
      <c r="BB27" s="91"/>
      <c r="BC27" s="94"/>
      <c r="BD27" s="89"/>
    </row>
    <row r="28" spans="1:62" hidden="1" x14ac:dyDescent="0.35">
      <c r="A28" s="17" t="s">
        <v>92</v>
      </c>
      <c r="B28" s="22"/>
      <c r="C28" s="30"/>
      <c r="D28" s="30"/>
      <c r="E28" s="30"/>
      <c r="F28" s="30"/>
      <c r="G28" s="30"/>
      <c r="H28" s="30"/>
      <c r="I28" s="30"/>
      <c r="J28" s="41"/>
      <c r="K28" s="41"/>
      <c r="L28" s="41"/>
      <c r="M28" s="46"/>
      <c r="N28" s="48"/>
      <c r="O28" s="83" t="s">
        <v>60</v>
      </c>
      <c r="P28" s="83" t="s">
        <v>60</v>
      </c>
      <c r="Q28" s="46">
        <v>4</v>
      </c>
      <c r="R28" s="46">
        <v>5</v>
      </c>
      <c r="S28" s="46">
        <v>2</v>
      </c>
      <c r="T28" s="46">
        <v>4</v>
      </c>
      <c r="U28" s="46">
        <v>6</v>
      </c>
      <c r="V28" s="46">
        <v>10</v>
      </c>
      <c r="W28" s="46">
        <v>8</v>
      </c>
      <c r="X28" s="46">
        <v>8</v>
      </c>
      <c r="Y28" s="46">
        <v>5</v>
      </c>
      <c r="Z28" s="46">
        <v>3</v>
      </c>
      <c r="AA28" s="46">
        <v>3</v>
      </c>
      <c r="AB28" s="46">
        <v>6</v>
      </c>
      <c r="AC28" s="46">
        <v>8</v>
      </c>
      <c r="AD28" s="46">
        <v>3</v>
      </c>
      <c r="AE28" s="46">
        <v>1</v>
      </c>
      <c r="AF28" s="46">
        <v>4</v>
      </c>
      <c r="AG28" s="46">
        <v>12</v>
      </c>
      <c r="AH28" s="46">
        <v>8</v>
      </c>
      <c r="AI28" s="46">
        <v>1</v>
      </c>
      <c r="AJ28" s="83" t="s">
        <v>60</v>
      </c>
      <c r="AK28" s="83" t="s">
        <v>60</v>
      </c>
      <c r="AL28" s="83" t="s">
        <v>60</v>
      </c>
      <c r="AM28" s="83" t="s">
        <v>60</v>
      </c>
      <c r="AN28" s="83" t="s">
        <v>60</v>
      </c>
      <c r="AO28" s="83" t="s">
        <v>60</v>
      </c>
      <c r="AP28" s="83" t="s">
        <v>60</v>
      </c>
      <c r="AQ28" s="83" t="s">
        <v>60</v>
      </c>
      <c r="AR28" s="83" t="s">
        <v>60</v>
      </c>
      <c r="AS28" s="83" t="s">
        <v>60</v>
      </c>
      <c r="AT28" s="83" t="s">
        <v>60</v>
      </c>
      <c r="AU28" s="83"/>
      <c r="AV28" s="83"/>
      <c r="AW28" s="83"/>
      <c r="AX28" s="83"/>
      <c r="AY28" s="83" t="s">
        <v>60</v>
      </c>
      <c r="AZ28" s="83"/>
      <c r="BA28" s="83"/>
      <c r="BB28" s="31"/>
      <c r="BC28" s="71"/>
      <c r="BD28" s="65"/>
    </row>
    <row r="29" spans="1:62" x14ac:dyDescent="0.35">
      <c r="A29" s="17" t="s">
        <v>94</v>
      </c>
      <c r="B29" s="23"/>
      <c r="C29" s="32"/>
      <c r="D29" s="32"/>
      <c r="E29" s="32"/>
      <c r="F29" s="32"/>
      <c r="G29" s="32"/>
      <c r="H29" s="32"/>
      <c r="I29" s="32"/>
      <c r="J29" s="42"/>
      <c r="K29" s="42"/>
      <c r="L29" s="42"/>
      <c r="M29" s="47"/>
      <c r="N29" s="49"/>
      <c r="O29" s="84" t="s">
        <v>60</v>
      </c>
      <c r="P29" s="84" t="s">
        <v>60</v>
      </c>
      <c r="Q29" s="47">
        <v>7</v>
      </c>
      <c r="R29" s="47">
        <v>10</v>
      </c>
      <c r="S29" s="47">
        <v>4</v>
      </c>
      <c r="T29" s="47">
        <v>11</v>
      </c>
      <c r="U29" s="47">
        <v>3</v>
      </c>
      <c r="V29" s="47">
        <v>3</v>
      </c>
      <c r="W29" s="47">
        <v>5</v>
      </c>
      <c r="X29" s="47">
        <v>6</v>
      </c>
      <c r="Y29" s="47">
        <v>4</v>
      </c>
      <c r="Z29" s="47">
        <v>8</v>
      </c>
      <c r="AA29" s="47">
        <v>10</v>
      </c>
      <c r="AB29" s="47">
        <v>10</v>
      </c>
      <c r="AC29" s="47">
        <v>10</v>
      </c>
      <c r="AD29" s="47">
        <v>10</v>
      </c>
      <c r="AE29" s="47">
        <v>13</v>
      </c>
      <c r="AF29" s="47">
        <v>15</v>
      </c>
      <c r="AG29" s="47">
        <v>10</v>
      </c>
      <c r="AH29" s="47">
        <v>11</v>
      </c>
      <c r="AI29" s="47">
        <v>10</v>
      </c>
      <c r="AJ29" s="47">
        <v>10</v>
      </c>
      <c r="AK29" s="47">
        <v>8</v>
      </c>
      <c r="AL29" s="46">
        <v>11</v>
      </c>
      <c r="AM29" s="46">
        <v>11</v>
      </c>
      <c r="AN29" s="46">
        <v>11</v>
      </c>
      <c r="AO29" s="46">
        <v>8</v>
      </c>
      <c r="AP29" s="46">
        <v>10</v>
      </c>
      <c r="AQ29" s="46">
        <v>11</v>
      </c>
      <c r="AR29" s="46">
        <v>16</v>
      </c>
      <c r="AS29" s="46">
        <v>11</v>
      </c>
      <c r="AT29" s="46">
        <v>14</v>
      </c>
      <c r="AU29" s="46">
        <v>15</v>
      </c>
      <c r="AV29" s="46">
        <v>15</v>
      </c>
      <c r="AW29" s="46">
        <v>5</v>
      </c>
      <c r="AX29" s="46">
        <v>8</v>
      </c>
      <c r="AY29" s="46">
        <v>10</v>
      </c>
      <c r="AZ29" s="46">
        <v>7</v>
      </c>
      <c r="BA29" s="46">
        <v>6</v>
      </c>
      <c r="BB29" s="46"/>
      <c r="BC29" s="24"/>
      <c r="BD29" s="65"/>
    </row>
    <row r="30" spans="1:62" hidden="1" x14ac:dyDescent="0.35">
      <c r="A30" s="17" t="s">
        <v>103</v>
      </c>
      <c r="B30" s="22"/>
      <c r="C30" s="30"/>
      <c r="D30" s="30"/>
      <c r="E30" s="30"/>
      <c r="F30" s="30"/>
      <c r="G30" s="30"/>
      <c r="H30" s="30"/>
      <c r="I30" s="30"/>
      <c r="J30" s="41"/>
      <c r="K30" s="41"/>
      <c r="L30" s="41"/>
      <c r="M30" s="46"/>
      <c r="N30" s="48"/>
      <c r="O30" s="83" t="s">
        <v>60</v>
      </c>
      <c r="P30" s="83" t="s">
        <v>60</v>
      </c>
      <c r="Q30" s="46"/>
      <c r="R30" s="46">
        <v>0</v>
      </c>
      <c r="S30" s="46">
        <v>2</v>
      </c>
      <c r="T30" s="46">
        <v>1</v>
      </c>
      <c r="U30" s="46">
        <v>3</v>
      </c>
      <c r="V30" s="46">
        <v>3</v>
      </c>
      <c r="W30" s="46">
        <v>2</v>
      </c>
      <c r="X30" s="46">
        <v>10</v>
      </c>
      <c r="Y30" s="46">
        <v>1</v>
      </c>
      <c r="Z30" s="46">
        <v>5</v>
      </c>
      <c r="AA30" s="46">
        <v>3</v>
      </c>
      <c r="AB30" s="46">
        <v>1</v>
      </c>
      <c r="AC30" s="46">
        <v>8</v>
      </c>
      <c r="AD30" s="46">
        <v>2</v>
      </c>
      <c r="AE30" s="46">
        <v>2</v>
      </c>
      <c r="AF30" s="46">
        <v>4</v>
      </c>
      <c r="AG30" s="46">
        <v>5</v>
      </c>
      <c r="AH30" s="46">
        <v>0</v>
      </c>
      <c r="AI30" s="46">
        <v>4</v>
      </c>
      <c r="AJ30" s="46">
        <v>2</v>
      </c>
      <c r="AK30" s="46">
        <v>3</v>
      </c>
      <c r="AL30" s="83" t="s">
        <v>60</v>
      </c>
      <c r="AM30" s="83" t="s">
        <v>60</v>
      </c>
      <c r="AN30" s="83" t="s">
        <v>60</v>
      </c>
      <c r="AO30" s="83" t="s">
        <v>60</v>
      </c>
      <c r="AP30" s="83" t="s">
        <v>60</v>
      </c>
      <c r="AQ30" s="83" t="s">
        <v>60</v>
      </c>
      <c r="AR30" s="83" t="s">
        <v>60</v>
      </c>
      <c r="AS30" s="83" t="s">
        <v>60</v>
      </c>
      <c r="AT30" s="83" t="s">
        <v>60</v>
      </c>
      <c r="AU30" s="83"/>
      <c r="AV30" s="83"/>
      <c r="AW30" s="83"/>
      <c r="AX30" s="83"/>
      <c r="AY30" s="83" t="s">
        <v>60</v>
      </c>
      <c r="AZ30" s="83"/>
      <c r="BA30" s="83"/>
      <c r="BB30" s="74"/>
      <c r="BD30" s="65"/>
    </row>
    <row r="31" spans="1:62" hidden="1" x14ac:dyDescent="0.35">
      <c r="A31" s="16" t="s">
        <v>109</v>
      </c>
      <c r="B31" s="23"/>
      <c r="C31" s="32"/>
      <c r="D31" s="32"/>
      <c r="E31" s="32"/>
      <c r="F31" s="32"/>
      <c r="G31" s="32"/>
      <c r="H31" s="32"/>
      <c r="I31" s="32"/>
      <c r="J31" s="42"/>
      <c r="K31" s="42"/>
      <c r="L31" s="42"/>
      <c r="M31" s="47"/>
      <c r="N31" s="49"/>
      <c r="O31" s="84" t="s">
        <v>60</v>
      </c>
      <c r="P31" s="84" t="s">
        <v>60</v>
      </c>
      <c r="Q31" s="47"/>
      <c r="R31" s="47"/>
      <c r="S31" s="63"/>
      <c r="T31" s="47">
        <v>1</v>
      </c>
      <c r="U31" s="47">
        <v>4</v>
      </c>
      <c r="V31" s="47">
        <v>6</v>
      </c>
      <c r="W31" s="47">
        <v>3</v>
      </c>
      <c r="X31" s="47">
        <v>1</v>
      </c>
      <c r="Y31" s="47">
        <v>3</v>
      </c>
      <c r="Z31" s="47">
        <v>2</v>
      </c>
      <c r="AA31" s="47">
        <v>5</v>
      </c>
      <c r="AB31" s="47">
        <v>2</v>
      </c>
      <c r="AC31" s="47">
        <v>4</v>
      </c>
      <c r="AD31" s="47">
        <v>5</v>
      </c>
      <c r="AE31" s="47">
        <v>5</v>
      </c>
      <c r="AF31" s="47">
        <v>5</v>
      </c>
      <c r="AG31" s="47">
        <v>1</v>
      </c>
      <c r="AH31" s="84" t="s">
        <v>60</v>
      </c>
      <c r="AI31" s="84" t="s">
        <v>60</v>
      </c>
      <c r="AJ31" s="84" t="s">
        <v>60</v>
      </c>
      <c r="AK31" s="84" t="s">
        <v>60</v>
      </c>
      <c r="AL31" s="84" t="s">
        <v>60</v>
      </c>
      <c r="AM31" s="84" t="s">
        <v>60</v>
      </c>
      <c r="AN31" s="84" t="s">
        <v>60</v>
      </c>
      <c r="AO31" s="84" t="s">
        <v>60</v>
      </c>
      <c r="AP31" s="84" t="s">
        <v>60</v>
      </c>
      <c r="AQ31" s="84" t="s">
        <v>60</v>
      </c>
      <c r="AR31" s="84" t="s">
        <v>60</v>
      </c>
      <c r="AS31" s="84" t="s">
        <v>60</v>
      </c>
      <c r="AT31" s="84" t="s">
        <v>60</v>
      </c>
      <c r="AU31" s="84"/>
      <c r="AV31" s="84"/>
      <c r="AW31" s="84"/>
      <c r="AX31" s="84"/>
      <c r="AY31" s="84" t="s">
        <v>60</v>
      </c>
      <c r="AZ31" s="84"/>
      <c r="BA31" s="84"/>
      <c r="BB31" s="74"/>
      <c r="BD31" s="65"/>
    </row>
    <row r="32" spans="1:62" hidden="1" x14ac:dyDescent="0.35">
      <c r="A32" s="17" t="s">
        <v>111</v>
      </c>
      <c r="B32" s="22"/>
      <c r="C32" s="30"/>
      <c r="D32" s="30"/>
      <c r="E32" s="30"/>
      <c r="F32" s="30"/>
      <c r="G32" s="30"/>
      <c r="H32" s="30"/>
      <c r="I32" s="30"/>
      <c r="J32" s="41"/>
      <c r="K32" s="41"/>
      <c r="L32" s="41"/>
      <c r="M32" s="46"/>
      <c r="N32" s="48"/>
      <c r="O32" s="83" t="s">
        <v>60</v>
      </c>
      <c r="P32" s="83" t="s">
        <v>60</v>
      </c>
      <c r="Q32" s="46"/>
      <c r="R32" s="46"/>
      <c r="S32" s="64"/>
      <c r="T32" s="46"/>
      <c r="U32" s="46"/>
      <c r="V32" s="46"/>
      <c r="W32" s="46"/>
      <c r="X32" s="46">
        <v>0</v>
      </c>
      <c r="Y32" s="46">
        <v>1</v>
      </c>
      <c r="Z32" s="46">
        <v>1</v>
      </c>
      <c r="AA32" s="46">
        <v>4</v>
      </c>
      <c r="AB32" s="46">
        <v>3</v>
      </c>
      <c r="AC32" s="46">
        <v>4</v>
      </c>
      <c r="AD32" s="46">
        <v>5</v>
      </c>
      <c r="AE32" s="46">
        <v>2</v>
      </c>
      <c r="AF32" s="46">
        <v>4</v>
      </c>
      <c r="AG32" s="46">
        <v>4</v>
      </c>
      <c r="AH32" s="46">
        <v>2</v>
      </c>
      <c r="AI32" s="46">
        <v>2</v>
      </c>
      <c r="AJ32" s="46">
        <v>2</v>
      </c>
      <c r="AK32" s="46">
        <v>5</v>
      </c>
      <c r="AL32" s="46">
        <v>5</v>
      </c>
      <c r="AM32" s="83" t="s">
        <v>60</v>
      </c>
      <c r="AN32" s="83" t="s">
        <v>60</v>
      </c>
      <c r="AO32" s="83" t="s">
        <v>60</v>
      </c>
      <c r="AP32" s="83" t="s">
        <v>60</v>
      </c>
      <c r="AQ32" s="83" t="s">
        <v>60</v>
      </c>
      <c r="AR32" s="83" t="s">
        <v>60</v>
      </c>
      <c r="AS32" s="83" t="s">
        <v>60</v>
      </c>
      <c r="AT32" s="83" t="s">
        <v>60</v>
      </c>
      <c r="AU32" s="83"/>
      <c r="AV32" s="83"/>
      <c r="AW32" s="83"/>
      <c r="AX32" s="83"/>
      <c r="AY32" s="83" t="s">
        <v>60</v>
      </c>
      <c r="AZ32" s="83"/>
      <c r="BA32" s="83"/>
      <c r="BB32" s="65"/>
      <c r="BD32" s="65"/>
    </row>
    <row r="33" spans="1:61" x14ac:dyDescent="0.35">
      <c r="A33" s="16" t="s">
        <v>115</v>
      </c>
      <c r="B33" s="23"/>
      <c r="C33" s="32"/>
      <c r="D33" s="32"/>
      <c r="E33" s="32"/>
      <c r="F33" s="32"/>
      <c r="G33" s="32"/>
      <c r="H33" s="32"/>
      <c r="I33" s="32"/>
      <c r="J33" s="42"/>
      <c r="K33" s="42"/>
      <c r="L33" s="42"/>
      <c r="M33" s="47"/>
      <c r="N33" s="49"/>
      <c r="O33" s="84" t="s">
        <v>60</v>
      </c>
      <c r="P33" s="84" t="s">
        <v>60</v>
      </c>
      <c r="Q33" s="47"/>
      <c r="R33" s="47"/>
      <c r="S33" s="63"/>
      <c r="T33" s="47"/>
      <c r="U33" s="47"/>
      <c r="V33" s="47"/>
      <c r="W33" s="47"/>
      <c r="X33" s="47"/>
      <c r="Y33" s="47">
        <v>0</v>
      </c>
      <c r="Z33" s="47">
        <v>3</v>
      </c>
      <c r="AA33" s="47">
        <v>1</v>
      </c>
      <c r="AB33" s="47">
        <v>2</v>
      </c>
      <c r="AC33" s="47">
        <v>2</v>
      </c>
      <c r="AD33" s="47">
        <v>2</v>
      </c>
      <c r="AE33" s="47">
        <v>6</v>
      </c>
      <c r="AF33" s="47">
        <v>10</v>
      </c>
      <c r="AG33" s="47">
        <v>7</v>
      </c>
      <c r="AH33" s="47">
        <v>6</v>
      </c>
      <c r="AI33" s="47">
        <v>9</v>
      </c>
      <c r="AJ33" s="47">
        <v>6</v>
      </c>
      <c r="AK33" s="47">
        <v>4</v>
      </c>
      <c r="AL33" s="47">
        <v>8</v>
      </c>
      <c r="AM33" s="47">
        <v>6</v>
      </c>
      <c r="AN33" s="47">
        <v>8</v>
      </c>
      <c r="AO33" s="47">
        <v>11</v>
      </c>
      <c r="AP33" s="47">
        <v>5</v>
      </c>
      <c r="AQ33" s="47">
        <v>5</v>
      </c>
      <c r="AR33" s="47">
        <v>8</v>
      </c>
      <c r="AS33" s="47">
        <v>2</v>
      </c>
      <c r="AT33" s="47">
        <v>3</v>
      </c>
      <c r="AU33" s="47">
        <v>2</v>
      </c>
      <c r="AV33" s="47">
        <v>6</v>
      </c>
      <c r="AW33" s="47">
        <v>7</v>
      </c>
      <c r="AX33" s="47">
        <v>5</v>
      </c>
      <c r="AY33" s="47">
        <v>6</v>
      </c>
      <c r="AZ33" s="47">
        <v>6</v>
      </c>
      <c r="BA33" s="47">
        <v>7</v>
      </c>
      <c r="BB33" s="47"/>
      <c r="BD33" s="65"/>
    </row>
    <row r="34" spans="1:61" ht="15" customHeight="1" x14ac:dyDescent="0.35">
      <c r="A34" s="54" t="s">
        <v>52</v>
      </c>
      <c r="B34" s="55">
        <f>SUM(B3:B28)</f>
        <v>348</v>
      </c>
      <c r="C34" s="55">
        <f t="shared" ref="C34:O34" si="0">SUM(C3:C28)</f>
        <v>287</v>
      </c>
      <c r="D34" s="55">
        <f t="shared" si="0"/>
        <v>337</v>
      </c>
      <c r="E34" s="55">
        <f t="shared" si="0"/>
        <v>312</v>
      </c>
      <c r="F34" s="55">
        <f t="shared" si="0"/>
        <v>349</v>
      </c>
      <c r="G34" s="55">
        <f t="shared" si="0"/>
        <v>311</v>
      </c>
      <c r="H34" s="55">
        <f t="shared" si="0"/>
        <v>413</v>
      </c>
      <c r="I34" s="55">
        <f t="shared" si="0"/>
        <v>356</v>
      </c>
      <c r="J34" s="55">
        <f t="shared" si="0"/>
        <v>364</v>
      </c>
      <c r="K34" s="55">
        <f t="shared" si="0"/>
        <v>350</v>
      </c>
      <c r="L34" s="55">
        <f t="shared" si="0"/>
        <v>334</v>
      </c>
      <c r="M34" s="55">
        <f t="shared" si="0"/>
        <v>278</v>
      </c>
      <c r="N34" s="55">
        <f t="shared" si="0"/>
        <v>397</v>
      </c>
      <c r="O34" s="55">
        <f t="shared" si="0"/>
        <v>358</v>
      </c>
      <c r="P34" s="55">
        <f>SUM(P3:P29)</f>
        <v>395</v>
      </c>
      <c r="Q34" s="55">
        <f>SUM(Q3:Q33)</f>
        <v>376</v>
      </c>
      <c r="R34" s="55">
        <f t="shared" ref="R34:AB34" si="1">SUM(R3:R29)</f>
        <v>382</v>
      </c>
      <c r="S34" s="55">
        <f>SUM(S3:S33)</f>
        <v>410</v>
      </c>
      <c r="T34" s="55">
        <f t="shared" si="1"/>
        <v>443</v>
      </c>
      <c r="U34" s="55">
        <f>SUM(U3:U33)</f>
        <v>413</v>
      </c>
      <c r="V34" s="55">
        <f>SUM(V3:V33)</f>
        <v>413</v>
      </c>
      <c r="W34" s="55">
        <f>SUM(W3:W33)</f>
        <v>417</v>
      </c>
      <c r="X34" s="55">
        <f>SUM(X3:X33)</f>
        <v>364</v>
      </c>
      <c r="Y34" s="55">
        <f t="shared" si="1"/>
        <v>348</v>
      </c>
      <c r="Z34" s="55">
        <f>SUM(Z3:Z33)</f>
        <v>401</v>
      </c>
      <c r="AA34" s="55">
        <f>SUM(AA3:AA33)</f>
        <v>339</v>
      </c>
      <c r="AB34" s="55">
        <f t="shared" si="1"/>
        <v>353</v>
      </c>
      <c r="AC34" s="55">
        <f>SUM(AC3:AC33)</f>
        <v>365</v>
      </c>
      <c r="AD34" s="55">
        <f t="shared" ref="AD34:AK34" si="2">SUM(AD3:AD33)</f>
        <v>300</v>
      </c>
      <c r="AE34" s="55">
        <f t="shared" si="2"/>
        <v>315</v>
      </c>
      <c r="AF34" s="80">
        <f t="shared" si="2"/>
        <v>398</v>
      </c>
      <c r="AG34" s="80">
        <f t="shared" si="2"/>
        <v>394</v>
      </c>
      <c r="AH34" s="80">
        <f t="shared" si="2"/>
        <v>305</v>
      </c>
      <c r="AI34" s="80">
        <f t="shared" si="2"/>
        <v>336</v>
      </c>
      <c r="AJ34" s="80">
        <f t="shared" si="2"/>
        <v>315</v>
      </c>
      <c r="AK34" s="80">
        <f t="shared" si="2"/>
        <v>298</v>
      </c>
      <c r="AL34" s="80">
        <f t="shared" ref="AL34:BA34" si="3">SUM(AL3:AL33)</f>
        <v>392</v>
      </c>
      <c r="AM34" s="80">
        <f t="shared" si="3"/>
        <v>316</v>
      </c>
      <c r="AN34" s="80">
        <f t="shared" si="3"/>
        <v>305</v>
      </c>
      <c r="AO34" s="80">
        <f t="shared" si="3"/>
        <v>298</v>
      </c>
      <c r="AP34" s="80">
        <f t="shared" si="3"/>
        <v>267</v>
      </c>
      <c r="AQ34" s="80">
        <f t="shared" si="3"/>
        <v>245</v>
      </c>
      <c r="AR34" s="80">
        <f t="shared" si="3"/>
        <v>333</v>
      </c>
      <c r="AS34" s="80">
        <f t="shared" si="3"/>
        <v>312</v>
      </c>
      <c r="AT34" s="80">
        <f t="shared" si="3"/>
        <v>273</v>
      </c>
      <c r="AU34" s="80">
        <f t="shared" si="3"/>
        <v>288</v>
      </c>
      <c r="AV34" s="80">
        <f t="shared" si="3"/>
        <v>275</v>
      </c>
      <c r="AW34" s="80">
        <f t="shared" si="3"/>
        <v>280</v>
      </c>
      <c r="AX34" s="80">
        <f t="shared" si="3"/>
        <v>316</v>
      </c>
      <c r="AY34" s="80">
        <f t="shared" si="3"/>
        <v>276</v>
      </c>
      <c r="AZ34" s="80">
        <f t="shared" si="3"/>
        <v>292</v>
      </c>
      <c r="BA34" s="80">
        <f t="shared" si="3"/>
        <v>173</v>
      </c>
      <c r="BB34" s="80">
        <f t="shared" ref="BB34" si="4">SUM(BB3:BB33)</f>
        <v>0</v>
      </c>
      <c r="BD34" s="65"/>
    </row>
    <row r="35" spans="1:61" x14ac:dyDescent="0.35">
      <c r="B35" s="7"/>
      <c r="C35" s="7"/>
      <c r="D35" s="7"/>
      <c r="E35" s="7"/>
      <c r="F35" s="7"/>
      <c r="G35" s="7"/>
      <c r="H35" s="7"/>
      <c r="I35" s="7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D35" s="65"/>
    </row>
    <row r="36" spans="1:61" x14ac:dyDescent="0.35">
      <c r="BD36" s="65"/>
    </row>
    <row r="37" spans="1:61" x14ac:dyDescent="0.35">
      <c r="I37" s="15"/>
      <c r="P37"/>
      <c r="Q37" s="65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D37" s="65"/>
    </row>
    <row r="38" spans="1:61" x14ac:dyDescent="0.35">
      <c r="H38" s="15"/>
      <c r="I38" s="15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</row>
    <row r="42" spans="1:61" x14ac:dyDescent="0.35">
      <c r="BE42" s="135" t="s">
        <v>1</v>
      </c>
      <c r="BF42" s="137" t="s">
        <v>131</v>
      </c>
      <c r="BG42" s="137" t="s">
        <v>132</v>
      </c>
      <c r="BH42" s="137" t="s">
        <v>133</v>
      </c>
      <c r="BI42" s="137" t="s">
        <v>134</v>
      </c>
    </row>
    <row r="43" spans="1:61" x14ac:dyDescent="0.35">
      <c r="BE43" s="8" t="s">
        <v>20</v>
      </c>
      <c r="BF43" s="138">
        <v>22</v>
      </c>
      <c r="BG43" s="138">
        <v>20</v>
      </c>
      <c r="BH43" s="15">
        <v>16</v>
      </c>
      <c r="BI43" s="15">
        <v>18</v>
      </c>
    </row>
    <row r="44" spans="1:61" x14ac:dyDescent="0.35">
      <c r="BE44" s="8" t="s">
        <v>26</v>
      </c>
      <c r="BF44" s="139">
        <v>9</v>
      </c>
      <c r="BG44" s="139">
        <v>11</v>
      </c>
      <c r="BH44" s="15">
        <v>12</v>
      </c>
      <c r="BI44" s="15">
        <v>7</v>
      </c>
    </row>
    <row r="45" spans="1:61" x14ac:dyDescent="0.35">
      <c r="BE45" s="16" t="s">
        <v>81</v>
      </c>
      <c r="BF45" s="139">
        <v>7</v>
      </c>
      <c r="BG45" s="139">
        <v>5</v>
      </c>
      <c r="BH45" s="140">
        <v>9</v>
      </c>
      <c r="BI45" s="15">
        <v>4</v>
      </c>
    </row>
    <row r="46" spans="1:61" x14ac:dyDescent="0.35">
      <c r="BE46" s="16" t="s">
        <v>115</v>
      </c>
      <c r="BF46" s="139">
        <v>5</v>
      </c>
      <c r="BG46" s="139">
        <v>6</v>
      </c>
      <c r="BH46" s="15">
        <v>6</v>
      </c>
      <c r="BI46" s="15">
        <v>8</v>
      </c>
    </row>
    <row r="47" spans="1:61" x14ac:dyDescent="0.35">
      <c r="BE47" s="136" t="s">
        <v>154</v>
      </c>
      <c r="BF47" s="137">
        <f>SUM(BF43:BF46)</f>
        <v>43</v>
      </c>
      <c r="BG47" s="137">
        <f t="shared" ref="BG47:BI47" si="5">SUM(BG43:BG46)</f>
        <v>42</v>
      </c>
      <c r="BH47" s="137">
        <f t="shared" si="5"/>
        <v>43</v>
      </c>
      <c r="BI47" s="137">
        <f t="shared" si="5"/>
        <v>37</v>
      </c>
    </row>
  </sheetData>
  <autoFilter ref="A1:BD34" xr:uid="{1539EB91-C547-452A-95C1-8B606C420F06}">
    <filterColumn colId="0">
      <filters>
        <filter val="ABC"/>
        <filter val="Anália Franco"/>
        <filter val="Belo Horizonte"/>
        <filter val="Brasília"/>
        <filter val="Campinas"/>
        <filter val="Campo Grande"/>
        <filter val="Curitiba"/>
        <filter val="Florianópolis"/>
        <filter val="Fortaleza"/>
        <filter val="Goiânia"/>
        <filter val="Guarulhos"/>
        <filter val="Itaim Bibi"/>
        <filter val="Jundiaí"/>
        <filter val="Piracicaba"/>
        <filter val="Porto Alegre"/>
        <filter val="Recife"/>
        <filter val="Ribeirão Preto"/>
        <filter val="Rio de Janeiro"/>
        <filter val="Salvador"/>
        <filter val="Santos"/>
        <filter val="São José dos Campos"/>
        <filter val="Sorocaba"/>
        <filter val="Total"/>
        <filter val="Uberlândia"/>
        <filter val="Unidade"/>
      </filters>
    </filterColumn>
  </autoFilter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DD0A4-2B05-4C2A-B018-3BC3A62DC0A8}">
  <dimension ref="A2:I19"/>
  <sheetViews>
    <sheetView zoomScale="90" zoomScaleNormal="90" workbookViewId="0">
      <selection activeCell="H9" sqref="H9"/>
    </sheetView>
  </sheetViews>
  <sheetFormatPr defaultColWidth="8.7265625" defaultRowHeight="14.5" x14ac:dyDescent="0.35"/>
  <cols>
    <col min="1" max="1" width="8.7265625" style="99"/>
    <col min="2" max="2" width="16.26953125" style="100" bestFit="1" customWidth="1"/>
    <col min="3" max="3" width="17" style="100" customWidth="1"/>
    <col min="4" max="4" width="8.7265625" style="98"/>
    <col min="5" max="5" width="15.453125" style="99" bestFit="1" customWidth="1"/>
    <col min="6" max="6" width="8.7265625" style="99"/>
    <col min="7" max="8" width="15.453125" style="99" bestFit="1" customWidth="1"/>
    <col min="9" max="16384" width="8.7265625" style="99"/>
  </cols>
  <sheetData>
    <row r="2" spans="1:9" x14ac:dyDescent="0.35">
      <c r="A2" s="169">
        <v>2025</v>
      </c>
      <c r="B2" s="169"/>
      <c r="C2" s="169"/>
      <c r="D2" s="169"/>
      <c r="F2" s="169">
        <v>2026</v>
      </c>
      <c r="G2" s="169"/>
      <c r="H2" s="169"/>
      <c r="I2" s="169"/>
    </row>
    <row r="3" spans="1:9" x14ac:dyDescent="0.35">
      <c r="A3" s="96" t="s">
        <v>145</v>
      </c>
      <c r="B3" s="97" t="s">
        <v>143</v>
      </c>
      <c r="C3" s="97" t="s">
        <v>144</v>
      </c>
      <c r="D3" s="104" t="s">
        <v>146</v>
      </c>
      <c r="F3" s="96" t="s">
        <v>145</v>
      </c>
      <c r="G3" s="97" t="s">
        <v>143</v>
      </c>
      <c r="H3" s="97" t="s">
        <v>144</v>
      </c>
      <c r="I3" s="104" t="s">
        <v>146</v>
      </c>
    </row>
    <row r="4" spans="1:9" x14ac:dyDescent="0.35">
      <c r="A4" s="101" t="s">
        <v>131</v>
      </c>
      <c r="B4" s="100">
        <v>5327990</v>
      </c>
      <c r="C4" s="100">
        <v>3558260</v>
      </c>
      <c r="D4" s="105">
        <f>C4/B4</f>
        <v>0.66784284505038483</v>
      </c>
      <c r="F4" s="101" t="s">
        <v>131</v>
      </c>
      <c r="G4" s="100">
        <v>4672173</v>
      </c>
      <c r="H4" s="100">
        <v>3295044</v>
      </c>
      <c r="I4" s="105">
        <f>H4/G4</f>
        <v>0.70524871403520373</v>
      </c>
    </row>
    <row r="5" spans="1:9" x14ac:dyDescent="0.35">
      <c r="A5" s="101" t="s">
        <v>132</v>
      </c>
      <c r="B5" s="100">
        <v>4380090</v>
      </c>
      <c r="C5" s="100">
        <v>3088730</v>
      </c>
      <c r="D5" s="105">
        <f t="shared" ref="D5:D16" si="0">C5/B5</f>
        <v>0.70517500781947406</v>
      </c>
      <c r="F5" s="101" t="s">
        <v>132</v>
      </c>
      <c r="G5" s="100">
        <v>4188811.86</v>
      </c>
      <c r="H5" s="100">
        <v>2887442.86</v>
      </c>
      <c r="I5" s="105">
        <f t="shared" ref="I5:I16" si="1">H5/G5</f>
        <v>0.68932264243541364</v>
      </c>
    </row>
    <row r="6" spans="1:9" x14ac:dyDescent="0.35">
      <c r="A6" s="101" t="s">
        <v>133</v>
      </c>
      <c r="B6" s="100">
        <v>4176190</v>
      </c>
      <c r="C6" s="100">
        <v>2779560</v>
      </c>
      <c r="D6" s="105">
        <f t="shared" si="0"/>
        <v>0.66557316597185467</v>
      </c>
      <c r="F6" s="101" t="s">
        <v>133</v>
      </c>
      <c r="G6" s="100">
        <v>4426713</v>
      </c>
      <c r="H6" s="100"/>
      <c r="I6" s="105">
        <f t="shared" si="1"/>
        <v>0</v>
      </c>
    </row>
    <row r="7" spans="1:9" x14ac:dyDescent="0.35">
      <c r="A7" s="101" t="s">
        <v>134</v>
      </c>
      <c r="B7" s="100">
        <v>4096060</v>
      </c>
      <c r="C7" s="100">
        <v>2913055</v>
      </c>
      <c r="D7" s="105">
        <f t="shared" si="0"/>
        <v>0.71118465061546954</v>
      </c>
      <c r="F7" s="101" t="s">
        <v>134</v>
      </c>
      <c r="G7" s="100"/>
      <c r="H7" s="100"/>
      <c r="I7" s="105" t="e">
        <f t="shared" si="1"/>
        <v>#DIV/0!</v>
      </c>
    </row>
    <row r="8" spans="1:9" x14ac:dyDescent="0.35">
      <c r="A8" s="101" t="s">
        <v>135</v>
      </c>
      <c r="B8" s="100">
        <v>3756703</v>
      </c>
      <c r="C8" s="100">
        <v>2724010</v>
      </c>
      <c r="D8" s="105">
        <f t="shared" si="0"/>
        <v>0.72510656285578068</v>
      </c>
      <c r="F8" s="101" t="s">
        <v>135</v>
      </c>
      <c r="G8" s="100"/>
      <c r="H8" s="100"/>
      <c r="I8" s="105" t="e">
        <f t="shared" si="1"/>
        <v>#DIV/0!</v>
      </c>
    </row>
    <row r="9" spans="1:9" x14ac:dyDescent="0.35">
      <c r="A9" s="101" t="s">
        <v>136</v>
      </c>
      <c r="B9" s="100">
        <v>3436274</v>
      </c>
      <c r="C9" s="100">
        <v>2446032</v>
      </c>
      <c r="D9" s="105">
        <f t="shared" si="0"/>
        <v>0.71182682172609058</v>
      </c>
      <c r="F9" s="101" t="s">
        <v>136</v>
      </c>
      <c r="G9" s="100"/>
      <c r="H9" s="100"/>
      <c r="I9" s="105" t="e">
        <f t="shared" si="1"/>
        <v>#DIV/0!</v>
      </c>
    </row>
    <row r="10" spans="1:9" x14ac:dyDescent="0.35">
      <c r="A10" s="101" t="s">
        <v>137</v>
      </c>
      <c r="B10" s="100">
        <v>4782688</v>
      </c>
      <c r="C10" s="100">
        <v>3373154</v>
      </c>
      <c r="D10" s="105">
        <f t="shared" si="0"/>
        <v>0.70528414147023599</v>
      </c>
      <c r="F10" s="101" t="s">
        <v>137</v>
      </c>
      <c r="G10" s="100"/>
      <c r="H10" s="100"/>
      <c r="I10" s="105" t="e">
        <f t="shared" si="1"/>
        <v>#DIV/0!</v>
      </c>
    </row>
    <row r="11" spans="1:9" x14ac:dyDescent="0.35">
      <c r="A11" s="101" t="s">
        <v>138</v>
      </c>
      <c r="B11" s="100">
        <v>4502634</v>
      </c>
      <c r="C11" s="100">
        <v>2923416</v>
      </c>
      <c r="D11" s="105">
        <f t="shared" si="0"/>
        <v>0.64926796181968149</v>
      </c>
      <c r="F11" s="101" t="s">
        <v>138</v>
      </c>
      <c r="G11" s="100"/>
      <c r="H11" s="100"/>
      <c r="I11" s="105" t="e">
        <f t="shared" si="1"/>
        <v>#DIV/0!</v>
      </c>
    </row>
    <row r="12" spans="1:9" x14ac:dyDescent="0.35">
      <c r="A12" s="101" t="s">
        <v>139</v>
      </c>
      <c r="B12" s="100">
        <v>4020626</v>
      </c>
      <c r="C12" s="100">
        <v>2810746</v>
      </c>
      <c r="D12" s="105">
        <f t="shared" si="0"/>
        <v>0.69908168528980308</v>
      </c>
      <c r="F12" s="101" t="s">
        <v>139</v>
      </c>
      <c r="G12" s="100"/>
      <c r="H12" s="100"/>
      <c r="I12" s="105" t="e">
        <f t="shared" si="1"/>
        <v>#DIV/0!</v>
      </c>
    </row>
    <row r="13" spans="1:9" x14ac:dyDescent="0.35">
      <c r="A13" s="101" t="s">
        <v>140</v>
      </c>
      <c r="B13" s="100">
        <v>4212964</v>
      </c>
      <c r="C13" s="100">
        <v>2980945</v>
      </c>
      <c r="D13" s="105">
        <f t="shared" si="0"/>
        <v>0.70756479286317187</v>
      </c>
      <c r="F13" s="101" t="s">
        <v>140</v>
      </c>
      <c r="G13" s="100"/>
      <c r="H13" s="100"/>
      <c r="I13" s="105" t="e">
        <f t="shared" si="1"/>
        <v>#DIV/0!</v>
      </c>
    </row>
    <row r="14" spans="1:9" x14ac:dyDescent="0.35">
      <c r="A14" s="101" t="s">
        <v>141</v>
      </c>
      <c r="B14" s="100">
        <v>3968543</v>
      </c>
      <c r="C14" s="100">
        <v>2851289</v>
      </c>
      <c r="D14" s="105">
        <f t="shared" si="0"/>
        <v>0.71847249733718399</v>
      </c>
      <c r="F14" s="101" t="s">
        <v>141</v>
      </c>
      <c r="G14" s="100"/>
      <c r="H14" s="100"/>
      <c r="I14" s="105" t="e">
        <f t="shared" si="1"/>
        <v>#DIV/0!</v>
      </c>
    </row>
    <row r="15" spans="1:9" x14ac:dyDescent="0.35">
      <c r="A15" s="101" t="s">
        <v>142</v>
      </c>
      <c r="B15" s="100">
        <v>4095062</v>
      </c>
      <c r="C15" s="100">
        <v>4388856</v>
      </c>
      <c r="D15" s="105">
        <f t="shared" si="0"/>
        <v>1.0717434803184909</v>
      </c>
      <c r="F15" s="101" t="s">
        <v>142</v>
      </c>
      <c r="G15" s="100"/>
      <c r="H15" s="100"/>
      <c r="I15" s="105" t="e">
        <f t="shared" si="1"/>
        <v>#DIV/0!</v>
      </c>
    </row>
    <row r="16" spans="1:9" x14ac:dyDescent="0.35">
      <c r="B16" s="102">
        <f>SUM(B4:B15)</f>
        <v>50755824</v>
      </c>
      <c r="C16" s="102">
        <f>SUM(C4:C15)</f>
        <v>36838053</v>
      </c>
      <c r="D16" s="103">
        <f t="shared" si="0"/>
        <v>0.7257896748952396</v>
      </c>
      <c r="G16" s="102">
        <f>SUM(G4:G15)</f>
        <v>13287697.859999999</v>
      </c>
      <c r="H16" s="102">
        <f>SUM(H4:H15)</f>
        <v>6182486.8599999994</v>
      </c>
      <c r="I16" s="103">
        <f t="shared" si="1"/>
        <v>0.46527900657729132</v>
      </c>
    </row>
    <row r="17" spans="3:9" x14ac:dyDescent="0.35">
      <c r="G17" s="100"/>
      <c r="H17" s="100"/>
      <c r="I17" s="98"/>
    </row>
    <row r="18" spans="3:9" x14ac:dyDescent="0.35">
      <c r="C18" s="100">
        <f>B16-C16</f>
        <v>13917771</v>
      </c>
      <c r="E18" s="107"/>
      <c r="G18" s="100"/>
      <c r="H18" s="100">
        <f>G16-H16</f>
        <v>7105211</v>
      </c>
      <c r="I18" s="98"/>
    </row>
    <row r="19" spans="3:9" x14ac:dyDescent="0.35">
      <c r="E19" s="106"/>
      <c r="F19" s="108"/>
    </row>
  </sheetData>
  <mergeCells count="2">
    <mergeCell ref="A2:D2"/>
    <mergeCell ref="F2:I2"/>
  </mergeCells>
  <phoneticPr fontId="2" type="noConversion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5A29-FFC2-4CC6-A623-D7482F8BCB14}">
  <sheetPr>
    <tabColor rgb="FFFF9595"/>
  </sheetPr>
  <dimension ref="A1:F32"/>
  <sheetViews>
    <sheetView zoomScale="80" zoomScaleNormal="80" workbookViewId="0">
      <selection sqref="A1:C32"/>
    </sheetView>
  </sheetViews>
  <sheetFormatPr defaultRowHeight="14.5" x14ac:dyDescent="0.35"/>
  <cols>
    <col min="1" max="1" width="26.1796875" style="99" customWidth="1"/>
    <col min="2" max="2" width="18.81640625" style="115" bestFit="1" customWidth="1"/>
    <col min="3" max="3" width="18.81640625" style="116" bestFit="1" customWidth="1"/>
    <col min="4" max="4" width="17.7265625" style="99" bestFit="1" customWidth="1"/>
    <col min="5" max="5" width="8.7265625" style="104"/>
    <col min="6" max="16384" width="8.7265625" style="99"/>
  </cols>
  <sheetData>
    <row r="1" spans="1:6" x14ac:dyDescent="0.35">
      <c r="A1" s="120" t="s">
        <v>170</v>
      </c>
    </row>
    <row r="2" spans="1:6" ht="31.5" customHeight="1" x14ac:dyDescent="0.35">
      <c r="A2" s="152" t="s">
        <v>1</v>
      </c>
      <c r="B2" s="150" t="s">
        <v>151</v>
      </c>
      <c r="C2" s="151" t="s">
        <v>168</v>
      </c>
      <c r="D2" s="152" t="s">
        <v>152</v>
      </c>
      <c r="E2" s="153" t="s">
        <v>146</v>
      </c>
      <c r="F2" s="154"/>
    </row>
    <row r="3" spans="1:6" x14ac:dyDescent="0.35">
      <c r="A3" s="117" t="s">
        <v>9</v>
      </c>
      <c r="B3" s="73">
        <v>1651610.2</v>
      </c>
      <c r="C3" s="107">
        <v>1064517.3</v>
      </c>
      <c r="D3" s="118">
        <f>B3-C3</f>
        <v>587092.89999999991</v>
      </c>
      <c r="E3" s="104">
        <f>D3/B3</f>
        <v>0.35546698609635613</v>
      </c>
    </row>
    <row r="4" spans="1:6" x14ac:dyDescent="0.35">
      <c r="A4" s="117" t="s">
        <v>24</v>
      </c>
      <c r="B4" s="73">
        <v>1614310</v>
      </c>
      <c r="C4" s="107">
        <v>1043147</v>
      </c>
      <c r="D4" s="118">
        <f t="shared" ref="D4:D32" si="0">B4-C4</f>
        <v>571163</v>
      </c>
      <c r="E4" s="104">
        <f t="shared" ref="E4:E32" si="1">D4/B4</f>
        <v>0.35381246476822914</v>
      </c>
    </row>
    <row r="5" spans="1:6" x14ac:dyDescent="0.35">
      <c r="A5" s="117" t="s">
        <v>18</v>
      </c>
      <c r="B5" s="73">
        <v>3909312.8</v>
      </c>
      <c r="C5" s="107">
        <v>3501232.4</v>
      </c>
      <c r="D5" s="118">
        <f t="shared" si="0"/>
        <v>408080.39999999991</v>
      </c>
      <c r="E5" s="104">
        <f t="shared" si="1"/>
        <v>0.10438673518271548</v>
      </c>
    </row>
    <row r="6" spans="1:6" x14ac:dyDescent="0.35">
      <c r="A6" s="117" t="s">
        <v>19</v>
      </c>
      <c r="B6" s="73">
        <v>3510184</v>
      </c>
      <c r="C6" s="107">
        <v>2512300.2999999998</v>
      </c>
      <c r="D6" s="118">
        <f t="shared" si="0"/>
        <v>997883.70000000019</v>
      </c>
      <c r="E6" s="104">
        <f t="shared" si="1"/>
        <v>0.28428244787167856</v>
      </c>
    </row>
    <row r="7" spans="1:6" x14ac:dyDescent="0.35">
      <c r="A7" s="117" t="s">
        <v>20</v>
      </c>
      <c r="B7" s="73">
        <v>4159463.4</v>
      </c>
      <c r="C7" s="107">
        <v>2908045.5</v>
      </c>
      <c r="D7" s="118">
        <f t="shared" si="0"/>
        <v>1251417.8999999999</v>
      </c>
      <c r="E7" s="104">
        <f t="shared" si="1"/>
        <v>0.30086041867804386</v>
      </c>
    </row>
    <row r="8" spans="1:6" x14ac:dyDescent="0.35">
      <c r="A8" s="117" t="s">
        <v>83</v>
      </c>
      <c r="B8" s="73">
        <v>1504378</v>
      </c>
      <c r="C8" s="107">
        <v>1424701.9</v>
      </c>
      <c r="D8" s="118">
        <f t="shared" si="0"/>
        <v>79676.100000000093</v>
      </c>
      <c r="E8" s="104">
        <f t="shared" si="1"/>
        <v>5.2962819185071897E-2</v>
      </c>
    </row>
    <row r="9" spans="1:6" x14ac:dyDescent="0.35">
      <c r="A9" s="117" t="s">
        <v>111</v>
      </c>
      <c r="B9" s="73">
        <v>63000</v>
      </c>
      <c r="C9" s="107">
        <v>122297.8</v>
      </c>
      <c r="D9" s="118">
        <f t="shared" si="0"/>
        <v>-59297.8</v>
      </c>
      <c r="E9" s="104">
        <f t="shared" si="1"/>
        <v>-0.94123492063492065</v>
      </c>
    </row>
    <row r="10" spans="1:6" x14ac:dyDescent="0.35">
      <c r="A10" s="117" t="s">
        <v>21</v>
      </c>
      <c r="B10" s="73">
        <v>1405479.8599999999</v>
      </c>
      <c r="C10" s="107">
        <v>1498219.4</v>
      </c>
      <c r="D10" s="118">
        <f t="shared" si="0"/>
        <v>-92739.540000000037</v>
      </c>
      <c r="E10" s="104">
        <f t="shared" si="1"/>
        <v>-6.5984253947260443E-2</v>
      </c>
    </row>
    <row r="11" spans="1:6" x14ac:dyDescent="0.35">
      <c r="A11" s="117" t="s">
        <v>73</v>
      </c>
      <c r="B11" s="73">
        <v>1236646</v>
      </c>
      <c r="C11" s="107">
        <v>1266053.3</v>
      </c>
      <c r="D11" s="118">
        <f t="shared" si="0"/>
        <v>-29407.300000000047</v>
      </c>
      <c r="E11" s="104">
        <f t="shared" si="1"/>
        <v>-2.377988527031992E-2</v>
      </c>
    </row>
    <row r="12" spans="1:6" x14ac:dyDescent="0.35">
      <c r="A12" s="117" t="s">
        <v>62</v>
      </c>
      <c r="B12" s="73">
        <v>688148</v>
      </c>
      <c r="C12" s="107">
        <v>972284</v>
      </c>
      <c r="D12" s="118">
        <f t="shared" si="0"/>
        <v>-284136</v>
      </c>
      <c r="E12" s="104">
        <f t="shared" si="1"/>
        <v>-0.41289955067805184</v>
      </c>
    </row>
    <row r="13" spans="1:6" x14ac:dyDescent="0.35">
      <c r="A13" s="117" t="s">
        <v>22</v>
      </c>
      <c r="B13" s="73">
        <v>3010600</v>
      </c>
      <c r="C13" s="107">
        <v>2226171</v>
      </c>
      <c r="D13" s="118">
        <f t="shared" si="0"/>
        <v>784429</v>
      </c>
      <c r="E13" s="104">
        <f t="shared" si="1"/>
        <v>0.26055570318208993</v>
      </c>
    </row>
    <row r="14" spans="1:6" x14ac:dyDescent="0.35">
      <c r="A14" s="117" t="s">
        <v>23</v>
      </c>
      <c r="B14" s="73">
        <v>1421787</v>
      </c>
      <c r="C14" s="107">
        <v>848260.6</v>
      </c>
      <c r="D14" s="118">
        <f t="shared" si="0"/>
        <v>573526.4</v>
      </c>
      <c r="E14" s="104">
        <f t="shared" si="1"/>
        <v>0.40338419186558888</v>
      </c>
    </row>
    <row r="15" spans="1:6" x14ac:dyDescent="0.35">
      <c r="A15" s="117" t="s">
        <v>37</v>
      </c>
      <c r="B15" s="73">
        <v>3701802</v>
      </c>
      <c r="C15" s="107">
        <v>2884786</v>
      </c>
      <c r="D15" s="118">
        <f t="shared" si="0"/>
        <v>817016</v>
      </c>
      <c r="E15" s="104">
        <f t="shared" si="1"/>
        <v>0.22070764454716918</v>
      </c>
    </row>
    <row r="16" spans="1:6" x14ac:dyDescent="0.35">
      <c r="A16" s="117" t="s">
        <v>76</v>
      </c>
      <c r="B16" s="73">
        <v>0</v>
      </c>
      <c r="C16" s="107">
        <v>4022.87</v>
      </c>
      <c r="D16" s="118">
        <f t="shared" si="0"/>
        <v>-4022.87</v>
      </c>
    </row>
    <row r="17" spans="1:5" x14ac:dyDescent="0.35">
      <c r="A17" s="117" t="s">
        <v>81</v>
      </c>
      <c r="B17" s="73">
        <v>1303464</v>
      </c>
      <c r="C17" s="107">
        <v>854991.2</v>
      </c>
      <c r="D17" s="118">
        <f t="shared" si="0"/>
        <v>448472.80000000005</v>
      </c>
      <c r="E17" s="104">
        <f t="shared" si="1"/>
        <v>0.34406228326981031</v>
      </c>
    </row>
    <row r="18" spans="1:5" x14ac:dyDescent="0.35">
      <c r="A18" s="117" t="s">
        <v>87</v>
      </c>
      <c r="B18" s="73">
        <v>372000</v>
      </c>
      <c r="C18" s="107">
        <v>664483.1</v>
      </c>
      <c r="D18" s="118">
        <f t="shared" si="0"/>
        <v>-292483.09999999998</v>
      </c>
      <c r="E18" s="104">
        <f t="shared" si="1"/>
        <v>-0.78624489247311824</v>
      </c>
    </row>
    <row r="19" spans="1:5" x14ac:dyDescent="0.35">
      <c r="A19" s="117" t="s">
        <v>115</v>
      </c>
      <c r="B19" s="73">
        <v>966282</v>
      </c>
      <c r="C19" s="107">
        <v>727042.6</v>
      </c>
      <c r="D19" s="118">
        <f t="shared" si="0"/>
        <v>239239.40000000002</v>
      </c>
      <c r="E19" s="104">
        <f t="shared" si="1"/>
        <v>0.24758755725554241</v>
      </c>
    </row>
    <row r="20" spans="1:5" x14ac:dyDescent="0.35">
      <c r="A20" s="117" t="s">
        <v>58</v>
      </c>
      <c r="B20" s="73">
        <v>2305120</v>
      </c>
      <c r="C20" s="107">
        <v>1824530.1</v>
      </c>
      <c r="D20" s="118">
        <f t="shared" si="0"/>
        <v>480589.89999999991</v>
      </c>
      <c r="E20" s="104">
        <f t="shared" si="1"/>
        <v>0.20848801797737207</v>
      </c>
    </row>
    <row r="21" spans="1:5" x14ac:dyDescent="0.35">
      <c r="A21" s="117" t="s">
        <v>54</v>
      </c>
      <c r="B21" s="73">
        <v>1733942</v>
      </c>
      <c r="C21" s="107">
        <v>1490620.5</v>
      </c>
      <c r="D21" s="118">
        <f t="shared" si="0"/>
        <v>243321.5</v>
      </c>
      <c r="E21" s="104">
        <f t="shared" si="1"/>
        <v>0.14032851156497739</v>
      </c>
    </row>
    <row r="22" spans="1:5" x14ac:dyDescent="0.35">
      <c r="A22" s="117" t="s">
        <v>27</v>
      </c>
      <c r="B22" s="73">
        <v>5134400</v>
      </c>
      <c r="C22" s="107">
        <v>3025898.1</v>
      </c>
      <c r="D22" s="118">
        <f t="shared" si="0"/>
        <v>2108501.9</v>
      </c>
      <c r="E22" s="104">
        <f t="shared" si="1"/>
        <v>0.41066179105640382</v>
      </c>
    </row>
    <row r="23" spans="1:5" x14ac:dyDescent="0.35">
      <c r="A23" s="117" t="s">
        <v>61</v>
      </c>
      <c r="B23" s="107">
        <v>1817329</v>
      </c>
      <c r="C23" s="107">
        <v>2063030.1</v>
      </c>
      <c r="D23" s="118">
        <f t="shared" si="0"/>
        <v>-245701.10000000009</v>
      </c>
      <c r="E23" s="104">
        <f t="shared" si="1"/>
        <v>-0.13519902010037813</v>
      </c>
    </row>
    <row r="24" spans="1:5" x14ac:dyDescent="0.35">
      <c r="A24" s="119" t="s">
        <v>55</v>
      </c>
      <c r="B24" s="73">
        <v>1523876</v>
      </c>
      <c r="C24" s="107">
        <v>1601763.2</v>
      </c>
      <c r="D24" s="118">
        <f t="shared" si="0"/>
        <v>-77887.199999999953</v>
      </c>
      <c r="E24" s="104">
        <f t="shared" si="1"/>
        <v>-5.1111245271924982E-2</v>
      </c>
    </row>
    <row r="25" spans="1:5" x14ac:dyDescent="0.35">
      <c r="A25" s="117" t="s">
        <v>94</v>
      </c>
      <c r="B25" s="73">
        <v>2038650</v>
      </c>
      <c r="C25" s="107">
        <v>1601847.4</v>
      </c>
      <c r="D25" s="118">
        <f t="shared" si="0"/>
        <v>436802.60000000009</v>
      </c>
      <c r="E25" s="104">
        <f t="shared" si="1"/>
        <v>0.21426071174551792</v>
      </c>
    </row>
    <row r="26" spans="1:5" x14ac:dyDescent="0.35">
      <c r="A26" s="117" t="s">
        <v>25</v>
      </c>
      <c r="B26" s="73">
        <v>2110190</v>
      </c>
      <c r="C26" s="107">
        <v>1506229.6</v>
      </c>
      <c r="D26" s="118">
        <f t="shared" si="0"/>
        <v>603960.39999999991</v>
      </c>
      <c r="E26" s="104">
        <f t="shared" si="1"/>
        <v>0.28621138380904082</v>
      </c>
    </row>
    <row r="27" spans="1:5" x14ac:dyDescent="0.35">
      <c r="A27" s="117" t="s">
        <v>153</v>
      </c>
      <c r="B27" s="73"/>
      <c r="C27" s="107">
        <v>18979.3</v>
      </c>
      <c r="D27" s="118">
        <f t="shared" si="0"/>
        <v>-18979.3</v>
      </c>
    </row>
    <row r="28" spans="1:5" x14ac:dyDescent="0.35">
      <c r="A28" s="117" t="s">
        <v>26</v>
      </c>
      <c r="B28" s="73">
        <v>1496950</v>
      </c>
      <c r="C28" s="107">
        <v>962306</v>
      </c>
      <c r="D28" s="118">
        <f t="shared" si="0"/>
        <v>534644</v>
      </c>
      <c r="E28" s="104">
        <f t="shared" si="1"/>
        <v>0.35715554961755569</v>
      </c>
    </row>
    <row r="29" spans="1:5" x14ac:dyDescent="0.35">
      <c r="A29" s="117" t="s">
        <v>63</v>
      </c>
      <c r="B29" s="73">
        <v>2076900</v>
      </c>
      <c r="C29" s="107">
        <v>1621743.4</v>
      </c>
      <c r="D29" s="118">
        <f t="shared" si="0"/>
        <v>455156.60000000009</v>
      </c>
      <c r="E29" s="104">
        <f t="shared" si="1"/>
        <v>0.21915190909528628</v>
      </c>
    </row>
    <row r="30" spans="1:5" x14ac:dyDescent="0.35">
      <c r="A30" s="117" t="s">
        <v>92</v>
      </c>
      <c r="B30" s="73"/>
      <c r="C30" s="107">
        <v>2442</v>
      </c>
      <c r="D30" s="118">
        <f t="shared" si="0"/>
        <v>-2442</v>
      </c>
    </row>
    <row r="31" spans="1:5" x14ac:dyDescent="0.35">
      <c r="A31" s="120" t="s">
        <v>169</v>
      </c>
      <c r="B31" s="115">
        <v>0</v>
      </c>
      <c r="C31" s="107">
        <v>1181515.52</v>
      </c>
      <c r="D31" s="118">
        <f t="shared" si="0"/>
        <v>-1181515.52</v>
      </c>
    </row>
    <row r="32" spans="1:5" x14ac:dyDescent="0.35">
      <c r="A32" s="121" t="s">
        <v>154</v>
      </c>
      <c r="B32" s="122">
        <f>SUM(B3:B31)</f>
        <v>50755824.260000005</v>
      </c>
      <c r="C32" s="122">
        <f>SUM(C3:C31)</f>
        <v>41423461.49000001</v>
      </c>
      <c r="D32" s="123">
        <f t="shared" si="0"/>
        <v>9332362.7699999958</v>
      </c>
      <c r="E32" s="124">
        <f t="shared" si="1"/>
        <v>0.18386782021693435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76EF6-DCFE-47AA-B5EE-C227D4EC182E}">
  <sheetPr>
    <tabColor rgb="FFFF9595"/>
  </sheetPr>
  <dimension ref="A1:N29"/>
  <sheetViews>
    <sheetView zoomScale="80" zoomScaleNormal="80" workbookViewId="0">
      <selection activeCell="F22" sqref="F22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27">
        <v>224964</v>
      </c>
      <c r="C4" s="107">
        <v>8725.4599999999991</v>
      </c>
      <c r="D4" s="107">
        <v>0</v>
      </c>
      <c r="E4" s="107">
        <f>B4-(C4+D4)</f>
        <v>216238.54</v>
      </c>
      <c r="F4" s="107">
        <v>94756.94</v>
      </c>
      <c r="G4" s="107">
        <f>E4-F4</f>
        <v>121481.60000000001</v>
      </c>
      <c r="H4" s="98">
        <f>G4/E4</f>
        <v>0.56179439613308524</v>
      </c>
      <c r="I4" s="107">
        <v>10228.4</v>
      </c>
      <c r="J4" s="107">
        <f>G4-I4</f>
        <v>111253.20000000001</v>
      </c>
      <c r="K4" s="125">
        <f>J4/E4</f>
        <v>0.51449292989122108</v>
      </c>
    </row>
    <row r="5" spans="1:11" x14ac:dyDescent="0.35">
      <c r="A5" s="117" t="s">
        <v>24</v>
      </c>
      <c r="B5" s="127">
        <v>135600</v>
      </c>
      <c r="C5" s="107">
        <v>12565.6</v>
      </c>
      <c r="D5" s="107">
        <v>0</v>
      </c>
      <c r="E5" s="107">
        <f t="shared" ref="E5:E28" si="0">B5-(C5+D5)</f>
        <v>123034.4</v>
      </c>
      <c r="F5" s="107">
        <v>66986.66</v>
      </c>
      <c r="G5" s="107">
        <f t="shared" ref="G5:G28" si="1">E5-F5</f>
        <v>56047.739999999991</v>
      </c>
      <c r="H5" s="98">
        <f t="shared" ref="H5:H28" si="2">G5/E5</f>
        <v>0.45554527839368497</v>
      </c>
      <c r="I5" s="107">
        <v>10468.27</v>
      </c>
      <c r="J5" s="107">
        <f t="shared" ref="J5:J28" si="3">G5-I5</f>
        <v>45579.469999999987</v>
      </c>
      <c r="K5" s="125">
        <f t="shared" ref="K5:K28" si="4">J5/E5</f>
        <v>0.37046118809048517</v>
      </c>
    </row>
    <row r="6" spans="1:11" x14ac:dyDescent="0.35">
      <c r="A6" s="117" t="s">
        <v>18</v>
      </c>
      <c r="B6" s="127">
        <v>344039</v>
      </c>
      <c r="C6" s="107">
        <v>19863.28</v>
      </c>
      <c r="D6" s="107">
        <v>0</v>
      </c>
      <c r="E6" s="107">
        <f t="shared" si="0"/>
        <v>324175.71999999997</v>
      </c>
      <c r="F6" s="107">
        <v>183855.6</v>
      </c>
      <c r="G6" s="107">
        <f t="shared" si="1"/>
        <v>140320.11999999997</v>
      </c>
      <c r="H6" s="98">
        <f t="shared" si="2"/>
        <v>0.43285203469278938</v>
      </c>
      <c r="I6" s="107">
        <v>21948.5</v>
      </c>
      <c r="J6" s="107">
        <f t="shared" si="3"/>
        <v>118371.61999999997</v>
      </c>
      <c r="K6" s="125">
        <f t="shared" si="4"/>
        <v>0.36514647056232336</v>
      </c>
    </row>
    <row r="7" spans="1:11" x14ac:dyDescent="0.35">
      <c r="A7" s="117" t="s">
        <v>19</v>
      </c>
      <c r="B7" s="127">
        <v>392652</v>
      </c>
      <c r="C7" s="107">
        <v>18387.400000000001</v>
      </c>
      <c r="D7" s="107">
        <v>0</v>
      </c>
      <c r="E7" s="107">
        <f t="shared" si="0"/>
        <v>374264.6</v>
      </c>
      <c r="F7" s="107">
        <v>193187.82</v>
      </c>
      <c r="G7" s="107">
        <f t="shared" si="1"/>
        <v>181076.77999999997</v>
      </c>
      <c r="H7" s="98">
        <f t="shared" si="2"/>
        <v>0.48382021703361733</v>
      </c>
      <c r="I7" s="107">
        <v>23257.02</v>
      </c>
      <c r="J7" s="107">
        <f t="shared" si="3"/>
        <v>157819.75999999998</v>
      </c>
      <c r="K7" s="125">
        <f t="shared" si="4"/>
        <v>0.42167963520995572</v>
      </c>
    </row>
    <row r="8" spans="1:11" x14ac:dyDescent="0.35">
      <c r="A8" s="117" t="s">
        <v>20</v>
      </c>
      <c r="B8" s="127">
        <v>328720</v>
      </c>
      <c r="C8" s="107">
        <v>23309.48</v>
      </c>
      <c r="D8" s="107">
        <v>0</v>
      </c>
      <c r="E8" s="107">
        <f t="shared" si="0"/>
        <v>305410.52</v>
      </c>
      <c r="F8" s="107">
        <v>212025.8</v>
      </c>
      <c r="G8" s="107">
        <f t="shared" si="1"/>
        <v>93384.72000000003</v>
      </c>
      <c r="H8" s="98">
        <f t="shared" si="2"/>
        <v>0.30576785632662562</v>
      </c>
      <c r="I8" s="107">
        <v>20049.32</v>
      </c>
      <c r="J8" s="107">
        <f t="shared" si="3"/>
        <v>73335.400000000023</v>
      </c>
      <c r="K8" s="125">
        <f t="shared" si="4"/>
        <v>0.2401207397832924</v>
      </c>
    </row>
    <row r="9" spans="1:11" x14ac:dyDescent="0.35">
      <c r="A9" s="117" t="s">
        <v>83</v>
      </c>
      <c r="B9" s="127">
        <v>161484</v>
      </c>
      <c r="C9" s="107">
        <v>11926.8</v>
      </c>
      <c r="D9" s="107">
        <v>0</v>
      </c>
      <c r="E9" s="107">
        <f t="shared" si="0"/>
        <v>149557.20000000001</v>
      </c>
      <c r="F9" s="107">
        <v>114029.09</v>
      </c>
      <c r="G9" s="107">
        <f t="shared" si="1"/>
        <v>35528.110000000015</v>
      </c>
      <c r="H9" s="98">
        <f t="shared" si="2"/>
        <v>0.23755533000082921</v>
      </c>
      <c r="I9" s="107">
        <v>9643.7199999999993</v>
      </c>
      <c r="J9" s="107">
        <f t="shared" si="3"/>
        <v>25884.390000000014</v>
      </c>
      <c r="K9" s="125">
        <f t="shared" si="4"/>
        <v>0.1730735130104068</v>
      </c>
    </row>
    <row r="10" spans="1:11" x14ac:dyDescent="0.35">
      <c r="A10" s="117" t="s">
        <v>21</v>
      </c>
      <c r="B10" s="127">
        <v>183106</v>
      </c>
      <c r="C10" s="107">
        <v>16185.01</v>
      </c>
      <c r="D10" s="107">
        <v>0</v>
      </c>
      <c r="E10" s="107">
        <f t="shared" si="0"/>
        <v>166920.99</v>
      </c>
      <c r="F10" s="107">
        <v>132362.28</v>
      </c>
      <c r="G10" s="107">
        <f t="shared" si="1"/>
        <v>34558.709999999992</v>
      </c>
      <c r="H10" s="98">
        <f t="shared" si="2"/>
        <v>0.2070363349750082</v>
      </c>
      <c r="I10" s="107">
        <v>8674.25</v>
      </c>
      <c r="J10" s="107">
        <f t="shared" si="3"/>
        <v>25884.459999999992</v>
      </c>
      <c r="K10" s="125">
        <f t="shared" si="4"/>
        <v>0.15507013228234504</v>
      </c>
    </row>
    <row r="11" spans="1:11" x14ac:dyDescent="0.35">
      <c r="A11" s="117" t="s">
        <v>73</v>
      </c>
      <c r="B11" s="127">
        <v>30400</v>
      </c>
      <c r="C11" s="107">
        <v>12552.05</v>
      </c>
      <c r="D11" s="107">
        <v>0</v>
      </c>
      <c r="E11" s="107">
        <f t="shared" si="0"/>
        <v>17847.95</v>
      </c>
      <c r="F11" s="107">
        <v>51420.57</v>
      </c>
      <c r="G11" s="107">
        <f t="shared" si="1"/>
        <v>-33572.619999999995</v>
      </c>
      <c r="H11" s="98">
        <f t="shared" si="2"/>
        <v>-1.8810350768575659</v>
      </c>
      <c r="I11" s="107">
        <v>12706.39</v>
      </c>
      <c r="J11" s="131">
        <f t="shared" si="3"/>
        <v>-46279.009999999995</v>
      </c>
      <c r="K11" s="132">
        <f t="shared" si="4"/>
        <v>-2.5929594155071025</v>
      </c>
    </row>
    <row r="12" spans="1:11" x14ac:dyDescent="0.35">
      <c r="A12" s="117" t="s">
        <v>62</v>
      </c>
      <c r="B12" s="127">
        <v>98428</v>
      </c>
      <c r="C12" s="107">
        <v>2054.5700000000002</v>
      </c>
      <c r="D12" s="107">
        <v>0</v>
      </c>
      <c r="E12" s="107">
        <f t="shared" si="0"/>
        <v>96373.43</v>
      </c>
      <c r="F12" s="107">
        <v>87921.47</v>
      </c>
      <c r="G12" s="107">
        <f t="shared" si="1"/>
        <v>8451.9599999999919</v>
      </c>
      <c r="H12" s="98">
        <f t="shared" si="2"/>
        <v>8.7700105724160621E-2</v>
      </c>
      <c r="I12" s="107">
        <v>2826.33</v>
      </c>
      <c r="J12" s="107">
        <f t="shared" si="3"/>
        <v>5625.6299999999919</v>
      </c>
      <c r="K12" s="125">
        <f t="shared" si="4"/>
        <v>5.8373246651073768E-2</v>
      </c>
    </row>
    <row r="13" spans="1:11" x14ac:dyDescent="0.35">
      <c r="A13" s="117" t="s">
        <v>22</v>
      </c>
      <c r="B13" s="127">
        <v>291100</v>
      </c>
      <c r="C13" s="107">
        <v>15065.05</v>
      </c>
      <c r="D13" s="107">
        <v>0</v>
      </c>
      <c r="E13" s="107">
        <f t="shared" si="0"/>
        <v>276034.95</v>
      </c>
      <c r="F13" s="107">
        <v>175431.98</v>
      </c>
      <c r="G13" s="107">
        <f t="shared" si="1"/>
        <v>100602.97</v>
      </c>
      <c r="H13" s="98">
        <f t="shared" si="2"/>
        <v>0.36445736309840476</v>
      </c>
      <c r="I13" s="107">
        <v>19344.900000000001</v>
      </c>
      <c r="J13" s="107">
        <f t="shared" si="3"/>
        <v>81258.070000000007</v>
      </c>
      <c r="K13" s="125">
        <f t="shared" si="4"/>
        <v>0.29437602013802966</v>
      </c>
    </row>
    <row r="14" spans="1:11" x14ac:dyDescent="0.35">
      <c r="A14" s="117" t="s">
        <v>23</v>
      </c>
      <c r="B14" s="127">
        <v>177750</v>
      </c>
      <c r="C14" s="107">
        <v>7031.42</v>
      </c>
      <c r="D14" s="107">
        <v>0</v>
      </c>
      <c r="E14" s="107">
        <f t="shared" si="0"/>
        <v>170718.58</v>
      </c>
      <c r="F14" s="107">
        <v>86562.1</v>
      </c>
      <c r="G14" s="107">
        <f t="shared" si="1"/>
        <v>84156.479999999981</v>
      </c>
      <c r="H14" s="98">
        <f t="shared" si="2"/>
        <v>0.49295442827605518</v>
      </c>
      <c r="I14" s="107">
        <v>11404.5</v>
      </c>
      <c r="J14" s="107">
        <f t="shared" si="3"/>
        <v>72751.979999999981</v>
      </c>
      <c r="K14" s="125">
        <f t="shared" si="4"/>
        <v>0.42615150618052228</v>
      </c>
    </row>
    <row r="15" spans="1:11" x14ac:dyDescent="0.35">
      <c r="A15" s="117" t="s">
        <v>37</v>
      </c>
      <c r="B15" s="127">
        <v>309610</v>
      </c>
      <c r="C15" s="107">
        <v>16904.349999999999</v>
      </c>
      <c r="D15" s="107">
        <v>0</v>
      </c>
      <c r="E15" s="107">
        <f t="shared" si="0"/>
        <v>292705.65000000002</v>
      </c>
      <c r="F15" s="107">
        <v>237182.52</v>
      </c>
      <c r="G15" s="107">
        <f t="shared" si="1"/>
        <v>55523.130000000034</v>
      </c>
      <c r="H15" s="98">
        <f t="shared" si="2"/>
        <v>0.18968930049693278</v>
      </c>
      <c r="I15" s="107">
        <v>18285.400000000001</v>
      </c>
      <c r="J15" s="107">
        <f t="shared" si="3"/>
        <v>37237.730000000032</v>
      </c>
      <c r="K15" s="125">
        <f t="shared" si="4"/>
        <v>0.12721903386559169</v>
      </c>
    </row>
    <row r="16" spans="1:11" x14ac:dyDescent="0.35">
      <c r="A16" s="117" t="s">
        <v>81</v>
      </c>
      <c r="B16" s="127">
        <v>103550</v>
      </c>
      <c r="C16" s="107">
        <v>5666.13</v>
      </c>
      <c r="D16" s="107">
        <v>0</v>
      </c>
      <c r="E16" s="107">
        <f t="shared" si="0"/>
        <v>97883.87</v>
      </c>
      <c r="F16" s="107">
        <v>58417.03</v>
      </c>
      <c r="G16" s="107">
        <f t="shared" si="1"/>
        <v>39466.839999999997</v>
      </c>
      <c r="H16" s="98">
        <f t="shared" si="2"/>
        <v>0.40320064991300403</v>
      </c>
      <c r="I16" s="107">
        <v>8992.84</v>
      </c>
      <c r="J16" s="107">
        <f t="shared" si="3"/>
        <v>30473.999999999996</v>
      </c>
      <c r="K16" s="125">
        <f t="shared" si="4"/>
        <v>0.31132810748083417</v>
      </c>
    </row>
    <row r="17" spans="1:14" x14ac:dyDescent="0.35">
      <c r="A17" s="117" t="s">
        <v>87</v>
      </c>
      <c r="B17" s="115">
        <v>0</v>
      </c>
      <c r="C17" s="107">
        <v>0</v>
      </c>
      <c r="D17" s="107">
        <v>0</v>
      </c>
      <c r="E17" s="107">
        <f t="shared" si="0"/>
        <v>0</v>
      </c>
      <c r="F17" s="107">
        <v>5180</v>
      </c>
      <c r="G17" s="107">
        <f t="shared" si="1"/>
        <v>-5180</v>
      </c>
      <c r="H17" s="98" t="e">
        <f t="shared" si="2"/>
        <v>#DIV/0!</v>
      </c>
      <c r="I17" s="107">
        <v>407.9</v>
      </c>
      <c r="J17" s="131">
        <f t="shared" si="3"/>
        <v>-5587.9</v>
      </c>
      <c r="K17" s="125" t="e">
        <f t="shared" si="4"/>
        <v>#DIV/0!</v>
      </c>
    </row>
    <row r="18" spans="1:14" x14ac:dyDescent="0.35">
      <c r="A18" s="117" t="s">
        <v>115</v>
      </c>
      <c r="B18" s="127">
        <v>79950</v>
      </c>
      <c r="C18" s="107">
        <v>5756.34</v>
      </c>
      <c r="D18" s="107">
        <v>0</v>
      </c>
      <c r="E18" s="107">
        <f t="shared" si="0"/>
        <v>74193.66</v>
      </c>
      <c r="F18" s="107">
        <v>47804.18</v>
      </c>
      <c r="G18" s="107">
        <f t="shared" si="1"/>
        <v>26389.480000000003</v>
      </c>
      <c r="H18" s="98">
        <f t="shared" si="2"/>
        <v>0.35568376058008194</v>
      </c>
      <c r="I18" s="107">
        <v>6007.63</v>
      </c>
      <c r="J18" s="107">
        <f t="shared" si="3"/>
        <v>20381.850000000002</v>
      </c>
      <c r="K18" s="125">
        <f t="shared" si="4"/>
        <v>0.27471147804273305</v>
      </c>
    </row>
    <row r="19" spans="1:14" x14ac:dyDescent="0.35">
      <c r="A19" s="117" t="s">
        <v>58</v>
      </c>
      <c r="B19" s="127">
        <v>229650</v>
      </c>
      <c r="C19" s="107">
        <v>8649.92</v>
      </c>
      <c r="D19" s="107">
        <v>0</v>
      </c>
      <c r="E19" s="107">
        <f t="shared" si="0"/>
        <v>221000.08</v>
      </c>
      <c r="F19" s="107">
        <v>153507.21</v>
      </c>
      <c r="G19" s="107">
        <f t="shared" si="1"/>
        <v>67492.87</v>
      </c>
      <c r="H19" s="98">
        <f t="shared" si="2"/>
        <v>0.3053974912588267</v>
      </c>
      <c r="I19" s="107">
        <v>12721.07</v>
      </c>
      <c r="J19" s="107">
        <f t="shared" si="3"/>
        <v>54771.799999999996</v>
      </c>
      <c r="K19" s="125">
        <f t="shared" si="4"/>
        <v>0.24783610938059389</v>
      </c>
    </row>
    <row r="20" spans="1:14" x14ac:dyDescent="0.35">
      <c r="A20" s="117" t="s">
        <v>54</v>
      </c>
      <c r="B20" s="127">
        <v>218228</v>
      </c>
      <c r="C20" s="107">
        <v>10989.48</v>
      </c>
      <c r="D20" s="107">
        <v>0</v>
      </c>
      <c r="E20" s="107">
        <f t="shared" si="0"/>
        <v>207238.52</v>
      </c>
      <c r="F20" s="107">
        <v>141988.32999999999</v>
      </c>
      <c r="G20" s="107">
        <f t="shared" si="1"/>
        <v>65250.19</v>
      </c>
      <c r="H20" s="98">
        <f t="shared" si="2"/>
        <v>0.31485551045240046</v>
      </c>
      <c r="I20" s="107">
        <v>7939.03</v>
      </c>
      <c r="J20" s="107">
        <f t="shared" si="3"/>
        <v>57311.16</v>
      </c>
      <c r="K20" s="125">
        <f t="shared" si="4"/>
        <v>0.27654685046003996</v>
      </c>
    </row>
    <row r="21" spans="1:14" x14ac:dyDescent="0.35">
      <c r="A21" s="117" t="s">
        <v>27</v>
      </c>
      <c r="B21" s="127">
        <v>392300</v>
      </c>
      <c r="C21" s="107">
        <v>25690.55</v>
      </c>
      <c r="D21" s="107">
        <v>0</v>
      </c>
      <c r="E21" s="107">
        <f t="shared" si="0"/>
        <v>366609.45</v>
      </c>
      <c r="F21" s="107">
        <v>227536.08</v>
      </c>
      <c r="G21" s="107">
        <f t="shared" si="1"/>
        <v>139073.37000000002</v>
      </c>
      <c r="H21" s="98">
        <f t="shared" si="2"/>
        <v>0.37935020496607497</v>
      </c>
      <c r="I21" s="107">
        <v>33429.440000000002</v>
      </c>
      <c r="J21" s="107">
        <f t="shared" si="3"/>
        <v>105643.93000000002</v>
      </c>
      <c r="K21" s="125">
        <f t="shared" si="4"/>
        <v>0.28816477589434758</v>
      </c>
    </row>
    <row r="22" spans="1:14" x14ac:dyDescent="0.35">
      <c r="A22" s="117" t="s">
        <v>61</v>
      </c>
      <c r="B22" s="127">
        <v>125500</v>
      </c>
      <c r="C22" s="107">
        <v>16867.5</v>
      </c>
      <c r="D22" s="107">
        <v>0</v>
      </c>
      <c r="E22" s="107">
        <f t="shared" si="0"/>
        <v>108632.5</v>
      </c>
      <c r="F22" s="107">
        <v>127422.46</v>
      </c>
      <c r="G22" s="107">
        <f t="shared" si="1"/>
        <v>-18789.960000000006</v>
      </c>
      <c r="H22" s="98">
        <f t="shared" si="2"/>
        <v>-0.1729681264814858</v>
      </c>
      <c r="I22" s="107">
        <v>7538.24</v>
      </c>
      <c r="J22" s="131">
        <f t="shared" si="3"/>
        <v>-26328.200000000004</v>
      </c>
      <c r="K22" s="132">
        <f t="shared" si="4"/>
        <v>-0.24236025130600883</v>
      </c>
      <c r="N22" s="108"/>
    </row>
    <row r="23" spans="1:14" x14ac:dyDescent="0.35">
      <c r="A23" s="117" t="s">
        <v>55</v>
      </c>
      <c r="B23" s="127">
        <v>216530</v>
      </c>
      <c r="C23" s="107">
        <v>12397.73</v>
      </c>
      <c r="D23" s="107">
        <v>0</v>
      </c>
      <c r="E23" s="107">
        <f t="shared" si="0"/>
        <v>204132.27</v>
      </c>
      <c r="F23" s="107">
        <v>168014.22</v>
      </c>
      <c r="G23" s="107">
        <f t="shared" si="1"/>
        <v>36118.049999999988</v>
      </c>
      <c r="H23" s="98">
        <f t="shared" si="2"/>
        <v>0.17693454347027049</v>
      </c>
      <c r="I23" s="107">
        <v>9602.93</v>
      </c>
      <c r="J23" s="107">
        <f t="shared" si="3"/>
        <v>26515.119999999988</v>
      </c>
      <c r="K23" s="125">
        <f t="shared" si="4"/>
        <v>0.12989185884230842</v>
      </c>
    </row>
    <row r="24" spans="1:14" x14ac:dyDescent="0.35">
      <c r="A24" s="117" t="s">
        <v>94</v>
      </c>
      <c r="B24" s="127">
        <v>123982</v>
      </c>
      <c r="C24" s="107">
        <v>4959.79</v>
      </c>
      <c r="D24" s="107">
        <v>0</v>
      </c>
      <c r="E24" s="107">
        <f t="shared" si="0"/>
        <v>119022.21</v>
      </c>
      <c r="F24" s="107">
        <v>91109.9</v>
      </c>
      <c r="G24" s="107">
        <f t="shared" si="1"/>
        <v>27912.310000000012</v>
      </c>
      <c r="H24" s="98">
        <f t="shared" si="2"/>
        <v>0.23451345761433948</v>
      </c>
      <c r="I24" s="107">
        <v>14867.4</v>
      </c>
      <c r="J24" s="107">
        <f t="shared" si="3"/>
        <v>13044.910000000013</v>
      </c>
      <c r="K24" s="125">
        <f t="shared" si="4"/>
        <v>0.10960063672149939</v>
      </c>
    </row>
    <row r="25" spans="1:14" x14ac:dyDescent="0.35">
      <c r="A25" s="117" t="s">
        <v>25</v>
      </c>
      <c r="B25" s="127">
        <v>152000</v>
      </c>
      <c r="C25" s="107">
        <v>14292.46</v>
      </c>
      <c r="D25" s="107">
        <v>0</v>
      </c>
      <c r="E25" s="107">
        <f t="shared" si="0"/>
        <v>137707.54</v>
      </c>
      <c r="F25" s="107">
        <v>106412.47</v>
      </c>
      <c r="G25" s="107">
        <f t="shared" si="1"/>
        <v>31295.070000000007</v>
      </c>
      <c r="H25" s="98">
        <f t="shared" si="2"/>
        <v>0.22725749076630086</v>
      </c>
      <c r="I25" s="107">
        <v>11059.39</v>
      </c>
      <c r="J25" s="107">
        <f t="shared" si="3"/>
        <v>20235.680000000008</v>
      </c>
      <c r="K25" s="125">
        <f t="shared" si="4"/>
        <v>0.14694678301565772</v>
      </c>
    </row>
    <row r="26" spans="1:14" x14ac:dyDescent="0.35">
      <c r="A26" s="117" t="s">
        <v>26</v>
      </c>
      <c r="B26" s="127">
        <v>130450</v>
      </c>
      <c r="C26" s="107">
        <v>8896.9500000000007</v>
      </c>
      <c r="D26" s="107">
        <v>0</v>
      </c>
      <c r="E26" s="107">
        <f t="shared" si="0"/>
        <v>121553.05</v>
      </c>
      <c r="F26" s="107">
        <v>68513.33</v>
      </c>
      <c r="G26" s="107">
        <f t="shared" si="1"/>
        <v>53039.72</v>
      </c>
      <c r="H26" s="98">
        <f t="shared" si="2"/>
        <v>0.43635038363907774</v>
      </c>
      <c r="I26" s="107">
        <v>12200.66</v>
      </c>
      <c r="J26" s="107">
        <f t="shared" si="3"/>
        <v>40839.06</v>
      </c>
      <c r="K26" s="125">
        <f t="shared" si="4"/>
        <v>0.33597725437576431</v>
      </c>
    </row>
    <row r="27" spans="1:14" x14ac:dyDescent="0.35">
      <c r="A27" s="117" t="s">
        <v>63</v>
      </c>
      <c r="B27" s="127">
        <v>222180</v>
      </c>
      <c r="C27" s="107">
        <v>11023.15</v>
      </c>
      <c r="D27" s="107">
        <v>0</v>
      </c>
      <c r="E27" s="107">
        <f t="shared" si="0"/>
        <v>211156.85</v>
      </c>
      <c r="F27" s="107">
        <v>136534.29999999999</v>
      </c>
      <c r="G27" s="107">
        <f t="shared" si="1"/>
        <v>74622.550000000017</v>
      </c>
      <c r="H27" s="98">
        <f t="shared" si="2"/>
        <v>0.35339867023021043</v>
      </c>
      <c r="I27" s="107">
        <v>16080.21</v>
      </c>
      <c r="J27" s="107">
        <f t="shared" si="3"/>
        <v>58542.340000000018</v>
      </c>
      <c r="K27" s="125">
        <f t="shared" si="4"/>
        <v>0.27724575357133818</v>
      </c>
    </row>
    <row r="28" spans="1:14" x14ac:dyDescent="0.35">
      <c r="A28" s="121" t="s">
        <v>154</v>
      </c>
      <c r="B28" s="122">
        <f>SUM(B4:B27)</f>
        <v>4672173</v>
      </c>
      <c r="C28" s="122">
        <f>SUM(C4:C27)</f>
        <v>289760.47000000009</v>
      </c>
      <c r="D28" s="122">
        <f>SUM(D4:D27)</f>
        <v>0</v>
      </c>
      <c r="E28" s="122">
        <f t="shared" si="0"/>
        <v>4382412.53</v>
      </c>
      <c r="F28" s="122">
        <f>SUM(F4:F27)</f>
        <v>2968162.3400000003</v>
      </c>
      <c r="G28" s="122">
        <f t="shared" si="1"/>
        <v>1414250.19</v>
      </c>
      <c r="H28" s="133">
        <f t="shared" si="2"/>
        <v>0.322710420417678</v>
      </c>
      <c r="I28" s="122">
        <f>SUM(I4:I27)</f>
        <v>309683.74</v>
      </c>
      <c r="J28" s="134">
        <f t="shared" si="3"/>
        <v>1104566.45</v>
      </c>
      <c r="K28" s="126">
        <f t="shared" si="4"/>
        <v>0.25204529296104394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3359-6EF2-4AFE-9A84-94ABED26E9F6}">
  <sheetPr>
    <tabColor rgb="FFFF9595"/>
  </sheetPr>
  <dimension ref="A1:N29"/>
  <sheetViews>
    <sheetView zoomScale="80" zoomScaleNormal="80" workbookViewId="0">
      <selection activeCell="F22" sqref="F22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>
        <v>228210</v>
      </c>
      <c r="C4" s="107">
        <v>11575.255999999999</v>
      </c>
      <c r="D4" s="107">
        <v>0</v>
      </c>
      <c r="E4" s="107">
        <f>B4-(C4+D4)</f>
        <v>216634.74400000001</v>
      </c>
      <c r="F4" s="107">
        <v>91792.67</v>
      </c>
      <c r="G4" s="107">
        <f>E4-F4</f>
        <v>124842.07400000001</v>
      </c>
      <c r="H4" s="98">
        <f>G4/E4</f>
        <v>0.57627909399426713</v>
      </c>
      <c r="I4" s="107">
        <v>0</v>
      </c>
      <c r="J4" s="107">
        <f>G4-I4</f>
        <v>124842.07400000001</v>
      </c>
      <c r="K4" s="125">
        <f>J4/E4</f>
        <v>0.57627909399426713</v>
      </c>
    </row>
    <row r="5" spans="1:11" x14ac:dyDescent="0.35">
      <c r="A5" s="117" t="s">
        <v>24</v>
      </c>
      <c r="B5" s="142">
        <v>209420</v>
      </c>
      <c r="C5" s="107">
        <v>5429.65</v>
      </c>
      <c r="D5" s="107">
        <v>0</v>
      </c>
      <c r="E5" s="107">
        <f t="shared" ref="E5:E28" si="0">B5-(C5+D5)</f>
        <v>203990.35</v>
      </c>
      <c r="F5" s="107">
        <v>87848.5</v>
      </c>
      <c r="G5" s="107">
        <f t="shared" ref="G5:G28" si="1">E5-F5</f>
        <v>116141.85</v>
      </c>
      <c r="H5" s="98">
        <f t="shared" ref="H5:H28" si="2">G5/E5</f>
        <v>0.56934972659245897</v>
      </c>
      <c r="I5" s="107">
        <v>0</v>
      </c>
      <c r="J5" s="107">
        <f t="shared" ref="J5:J28" si="3">G5-I5</f>
        <v>116141.85</v>
      </c>
      <c r="K5" s="125">
        <f t="shared" ref="K5:K28" si="4">J5/E5</f>
        <v>0.56934972659245897</v>
      </c>
    </row>
    <row r="6" spans="1:11" x14ac:dyDescent="0.35">
      <c r="A6" s="117" t="s">
        <v>18</v>
      </c>
      <c r="B6" s="143">
        <v>326850</v>
      </c>
      <c r="C6" s="107">
        <v>17981.599999999999</v>
      </c>
      <c r="D6" s="107">
        <v>0</v>
      </c>
      <c r="E6" s="107">
        <f t="shared" si="0"/>
        <v>308868.40000000002</v>
      </c>
      <c r="F6" s="107">
        <v>225688.24</v>
      </c>
      <c r="G6" s="107">
        <f t="shared" si="1"/>
        <v>83180.160000000033</v>
      </c>
      <c r="H6" s="98">
        <f t="shared" si="2"/>
        <v>0.26930615109865569</v>
      </c>
      <c r="I6" s="107">
        <v>0</v>
      </c>
      <c r="J6" s="107">
        <f t="shared" si="3"/>
        <v>83180.160000000033</v>
      </c>
      <c r="K6" s="125">
        <f t="shared" si="4"/>
        <v>0.26930615109865569</v>
      </c>
    </row>
    <row r="7" spans="1:11" x14ac:dyDescent="0.35">
      <c r="A7" s="117" t="s">
        <v>19</v>
      </c>
      <c r="B7" s="144">
        <v>272510</v>
      </c>
      <c r="C7" s="107">
        <v>21447.4</v>
      </c>
      <c r="D7" s="107">
        <v>0</v>
      </c>
      <c r="E7" s="107">
        <f t="shared" si="0"/>
        <v>251062.6</v>
      </c>
      <c r="F7" s="107">
        <v>199115.9</v>
      </c>
      <c r="G7" s="107">
        <f t="shared" si="1"/>
        <v>51946.700000000012</v>
      </c>
      <c r="H7" s="98">
        <f t="shared" si="2"/>
        <v>0.20690736095300538</v>
      </c>
      <c r="I7" s="107">
        <v>0</v>
      </c>
      <c r="J7" s="107">
        <f t="shared" si="3"/>
        <v>51946.700000000012</v>
      </c>
      <c r="K7" s="125">
        <f t="shared" si="4"/>
        <v>0.20690736095300538</v>
      </c>
    </row>
    <row r="8" spans="1:11" x14ac:dyDescent="0.35">
      <c r="A8" s="117" t="s">
        <v>20</v>
      </c>
      <c r="B8" s="142">
        <v>305028</v>
      </c>
      <c r="C8" s="107">
        <v>16317.924000000001</v>
      </c>
      <c r="D8" s="107">
        <v>0</v>
      </c>
      <c r="E8" s="107">
        <f t="shared" si="0"/>
        <v>288710.076</v>
      </c>
      <c r="F8" s="107">
        <v>210774.75</v>
      </c>
      <c r="G8" s="107">
        <f t="shared" si="1"/>
        <v>77935.326000000001</v>
      </c>
      <c r="H8" s="98">
        <f t="shared" si="2"/>
        <v>0.26994321459012743</v>
      </c>
      <c r="I8" s="107">
        <v>0</v>
      </c>
      <c r="J8" s="107">
        <f t="shared" si="3"/>
        <v>77935.326000000001</v>
      </c>
      <c r="K8" s="125">
        <f t="shared" si="4"/>
        <v>0.26994321459012743</v>
      </c>
    </row>
    <row r="9" spans="1:11" x14ac:dyDescent="0.35">
      <c r="A9" s="117" t="s">
        <v>83</v>
      </c>
      <c r="B9" s="143">
        <v>119720</v>
      </c>
      <c r="C9" s="107">
        <v>9134.5730000000003</v>
      </c>
      <c r="D9" s="107">
        <v>0</v>
      </c>
      <c r="E9" s="107">
        <f t="shared" si="0"/>
        <v>110585.427</v>
      </c>
      <c r="F9" s="107">
        <v>103179.22</v>
      </c>
      <c r="G9" s="107">
        <f t="shared" si="1"/>
        <v>7406.2069999999949</v>
      </c>
      <c r="H9" s="98">
        <f t="shared" si="2"/>
        <v>6.6972721459944221E-2</v>
      </c>
      <c r="I9" s="107">
        <v>0</v>
      </c>
      <c r="J9" s="107">
        <f t="shared" si="3"/>
        <v>7406.2069999999949</v>
      </c>
      <c r="K9" s="125">
        <f t="shared" si="4"/>
        <v>6.6972721459944221E-2</v>
      </c>
    </row>
    <row r="10" spans="1:11" x14ac:dyDescent="0.35">
      <c r="A10" s="117" t="s">
        <v>21</v>
      </c>
      <c r="B10" s="143">
        <v>174069.86</v>
      </c>
      <c r="C10" s="107">
        <v>11113.001</v>
      </c>
      <c r="D10" s="107">
        <v>0</v>
      </c>
      <c r="E10" s="107">
        <f t="shared" si="0"/>
        <v>162956.859</v>
      </c>
      <c r="F10" s="107">
        <v>132801.57</v>
      </c>
      <c r="G10" s="107">
        <f t="shared" si="1"/>
        <v>30155.28899999999</v>
      </c>
      <c r="H10" s="98">
        <f t="shared" si="2"/>
        <v>0.1850507501497681</v>
      </c>
      <c r="I10" s="107">
        <v>0</v>
      </c>
      <c r="J10" s="107">
        <f t="shared" si="3"/>
        <v>30155.28899999999</v>
      </c>
      <c r="K10" s="125">
        <f t="shared" si="4"/>
        <v>0.1850507501497681</v>
      </c>
    </row>
    <row r="11" spans="1:11" x14ac:dyDescent="0.35">
      <c r="A11" s="117" t="s">
        <v>73</v>
      </c>
      <c r="B11" s="143">
        <v>67610</v>
      </c>
      <c r="C11" s="107">
        <v>1717.6</v>
      </c>
      <c r="D11" s="107">
        <v>0</v>
      </c>
      <c r="E11" s="107">
        <f t="shared" si="0"/>
        <v>65892.399999999994</v>
      </c>
      <c r="F11" s="107">
        <v>75055.320000000007</v>
      </c>
      <c r="G11" s="107">
        <f t="shared" si="1"/>
        <v>-9162.9200000000128</v>
      </c>
      <c r="H11" s="98">
        <f t="shared" si="2"/>
        <v>-0.13905882924282639</v>
      </c>
      <c r="I11" s="107">
        <v>0</v>
      </c>
      <c r="J11" s="131">
        <f t="shared" si="3"/>
        <v>-9162.9200000000128</v>
      </c>
      <c r="K11" s="132">
        <f t="shared" si="4"/>
        <v>-0.13905882924282639</v>
      </c>
    </row>
    <row r="12" spans="1:11" x14ac:dyDescent="0.35">
      <c r="A12" s="117" t="s">
        <v>62</v>
      </c>
      <c r="B12" s="143">
        <v>0</v>
      </c>
      <c r="C12" s="107">
        <v>5724.4889999999996</v>
      </c>
      <c r="D12" s="107">
        <v>0</v>
      </c>
      <c r="E12" s="107">
        <f t="shared" si="0"/>
        <v>-5724.4889999999996</v>
      </c>
      <c r="F12" s="107">
        <v>54621.21</v>
      </c>
      <c r="G12" s="107">
        <f t="shared" si="1"/>
        <v>-60345.699000000001</v>
      </c>
      <c r="H12" s="148" t="s">
        <v>167</v>
      </c>
      <c r="I12" s="107">
        <v>0</v>
      </c>
      <c r="J12" s="131">
        <f t="shared" si="3"/>
        <v>-60345.699000000001</v>
      </c>
      <c r="K12" s="132" t="s">
        <v>167</v>
      </c>
    </row>
    <row r="13" spans="1:11" x14ac:dyDescent="0.35">
      <c r="A13" s="117" t="s">
        <v>22</v>
      </c>
      <c r="B13" s="144">
        <v>205000</v>
      </c>
      <c r="C13" s="107">
        <v>17674.8</v>
      </c>
      <c r="D13" s="107">
        <v>0</v>
      </c>
      <c r="E13" s="107">
        <f t="shared" si="0"/>
        <v>187325.2</v>
      </c>
      <c r="F13" s="107">
        <v>164806.09</v>
      </c>
      <c r="G13" s="107">
        <f t="shared" si="1"/>
        <v>22519.110000000015</v>
      </c>
      <c r="H13" s="98">
        <f t="shared" si="2"/>
        <v>0.12021399149713981</v>
      </c>
      <c r="I13" s="107">
        <v>0</v>
      </c>
      <c r="J13" s="107">
        <f t="shared" si="3"/>
        <v>22519.110000000015</v>
      </c>
      <c r="K13" s="125">
        <f t="shared" si="4"/>
        <v>0.12021399149713981</v>
      </c>
    </row>
    <row r="14" spans="1:11" x14ac:dyDescent="0.35">
      <c r="A14" s="117" t="s">
        <v>23</v>
      </c>
      <c r="B14" s="142">
        <v>147182</v>
      </c>
      <c r="C14" s="107">
        <v>7830.375</v>
      </c>
      <c r="D14" s="107">
        <v>0</v>
      </c>
      <c r="E14" s="107">
        <f t="shared" si="0"/>
        <v>139351.625</v>
      </c>
      <c r="F14" s="107">
        <v>69288.61</v>
      </c>
      <c r="G14" s="107">
        <f t="shared" si="1"/>
        <v>70063.014999999999</v>
      </c>
      <c r="H14" s="98">
        <f t="shared" si="2"/>
        <v>0.50277860053659218</v>
      </c>
      <c r="I14" s="107">
        <v>0</v>
      </c>
      <c r="J14" s="107">
        <f t="shared" si="3"/>
        <v>70063.014999999999</v>
      </c>
      <c r="K14" s="125">
        <f t="shared" si="4"/>
        <v>0.50277860053659218</v>
      </c>
    </row>
    <row r="15" spans="1:11" x14ac:dyDescent="0.35">
      <c r="A15" s="117" t="s">
        <v>37</v>
      </c>
      <c r="B15" s="144">
        <v>359760</v>
      </c>
      <c r="C15" s="107">
        <v>11309.266</v>
      </c>
      <c r="D15" s="107">
        <v>0</v>
      </c>
      <c r="E15" s="107">
        <f t="shared" si="0"/>
        <v>348450.734</v>
      </c>
      <c r="F15" s="107">
        <v>284879.34999999998</v>
      </c>
      <c r="G15" s="107">
        <f t="shared" si="1"/>
        <v>63571.38400000002</v>
      </c>
      <c r="H15" s="98">
        <f t="shared" si="2"/>
        <v>0.18244009209060819</v>
      </c>
      <c r="I15" s="107">
        <v>0</v>
      </c>
      <c r="J15" s="107">
        <f t="shared" si="3"/>
        <v>63571.38400000002</v>
      </c>
      <c r="K15" s="125">
        <f t="shared" si="4"/>
        <v>0.18244009209060819</v>
      </c>
    </row>
    <row r="16" spans="1:11" x14ac:dyDescent="0.35">
      <c r="A16" s="117" t="s">
        <v>81</v>
      </c>
      <c r="B16" s="142">
        <v>71700</v>
      </c>
      <c r="C16" s="107">
        <v>2932.35</v>
      </c>
      <c r="D16" s="107">
        <v>0</v>
      </c>
      <c r="E16" s="107">
        <f t="shared" si="0"/>
        <v>68767.649999999994</v>
      </c>
      <c r="F16" s="107">
        <v>54560.69</v>
      </c>
      <c r="G16" s="107">
        <f t="shared" si="1"/>
        <v>14206.959999999992</v>
      </c>
      <c r="H16" s="98">
        <f t="shared" si="2"/>
        <v>0.20659365268407445</v>
      </c>
      <c r="I16" s="107">
        <v>0</v>
      </c>
      <c r="J16" s="107">
        <f t="shared" si="3"/>
        <v>14206.959999999992</v>
      </c>
      <c r="K16" s="125">
        <f t="shared" si="4"/>
        <v>0.20659365268407445</v>
      </c>
    </row>
    <row r="17" spans="1:14" x14ac:dyDescent="0.35">
      <c r="A17" s="117" t="s">
        <v>87</v>
      </c>
      <c r="B17" s="145">
        <v>0</v>
      </c>
      <c r="C17" s="107">
        <v>0</v>
      </c>
      <c r="D17" s="107">
        <v>0</v>
      </c>
      <c r="E17" s="107">
        <f t="shared" si="0"/>
        <v>0</v>
      </c>
      <c r="F17" s="107">
        <v>5000</v>
      </c>
      <c r="G17" s="107">
        <f t="shared" si="1"/>
        <v>-5000</v>
      </c>
      <c r="H17" s="98" t="e">
        <f t="shared" si="2"/>
        <v>#DIV/0!</v>
      </c>
      <c r="I17" s="107">
        <v>0</v>
      </c>
      <c r="J17" s="131">
        <f t="shared" si="3"/>
        <v>-5000</v>
      </c>
      <c r="K17" s="125" t="e">
        <f t="shared" si="4"/>
        <v>#DIV/0!</v>
      </c>
    </row>
    <row r="18" spans="1:14" x14ac:dyDescent="0.35">
      <c r="A18" s="117" t="s">
        <v>115</v>
      </c>
      <c r="B18" s="142">
        <v>92350</v>
      </c>
      <c r="C18" s="107">
        <v>3671.9250000000002</v>
      </c>
      <c r="D18" s="107">
        <v>0</v>
      </c>
      <c r="E18" s="107">
        <f t="shared" si="0"/>
        <v>88678.074999999997</v>
      </c>
      <c r="F18" s="107">
        <v>53597.55</v>
      </c>
      <c r="G18" s="107">
        <f t="shared" si="1"/>
        <v>35080.524999999994</v>
      </c>
      <c r="H18" s="98">
        <f t="shared" si="2"/>
        <v>0.39559411951601336</v>
      </c>
      <c r="I18" s="107">
        <v>0</v>
      </c>
      <c r="J18" s="107">
        <f t="shared" si="3"/>
        <v>35080.524999999994</v>
      </c>
      <c r="K18" s="125">
        <f t="shared" si="4"/>
        <v>0.39559411951601336</v>
      </c>
    </row>
    <row r="19" spans="1:14" x14ac:dyDescent="0.35">
      <c r="A19" s="117" t="s">
        <v>58</v>
      </c>
      <c r="B19" s="143">
        <v>167512</v>
      </c>
      <c r="C19" s="107">
        <v>8178.375</v>
      </c>
      <c r="D19" s="107">
        <v>0</v>
      </c>
      <c r="E19" s="107">
        <f t="shared" si="0"/>
        <v>159333.625</v>
      </c>
      <c r="F19" s="107">
        <v>134755.6</v>
      </c>
      <c r="G19" s="107">
        <f t="shared" si="1"/>
        <v>24578.024999999994</v>
      </c>
      <c r="H19" s="98">
        <f t="shared" si="2"/>
        <v>0.1542551046585427</v>
      </c>
      <c r="I19" s="107">
        <v>0</v>
      </c>
      <c r="J19" s="107">
        <f t="shared" si="3"/>
        <v>24578.024999999994</v>
      </c>
      <c r="K19" s="125">
        <f t="shared" si="4"/>
        <v>0.1542551046585427</v>
      </c>
    </row>
    <row r="20" spans="1:14" x14ac:dyDescent="0.35">
      <c r="A20" s="117" t="s">
        <v>54</v>
      </c>
      <c r="B20" s="144">
        <v>156622</v>
      </c>
      <c r="C20" s="107">
        <v>9562.2289999999994</v>
      </c>
      <c r="D20" s="107">
        <v>0</v>
      </c>
      <c r="E20" s="107">
        <f t="shared" si="0"/>
        <v>147059.77100000001</v>
      </c>
      <c r="F20" s="107">
        <v>136144.22</v>
      </c>
      <c r="G20" s="107">
        <f t="shared" si="1"/>
        <v>10915.551000000007</v>
      </c>
      <c r="H20" s="98">
        <f t="shared" si="2"/>
        <v>7.422526858143963E-2</v>
      </c>
      <c r="I20" s="107">
        <v>0</v>
      </c>
      <c r="J20" s="107">
        <f t="shared" si="3"/>
        <v>10915.551000000007</v>
      </c>
      <c r="K20" s="125">
        <f t="shared" si="4"/>
        <v>7.422526858143963E-2</v>
      </c>
    </row>
    <row r="21" spans="1:14" x14ac:dyDescent="0.35">
      <c r="A21" s="117" t="s">
        <v>27</v>
      </c>
      <c r="B21" s="142">
        <v>320500</v>
      </c>
      <c r="C21" s="107">
        <v>16051.65</v>
      </c>
      <c r="D21" s="107">
        <v>0</v>
      </c>
      <c r="E21" s="107">
        <f t="shared" si="0"/>
        <v>304448.34999999998</v>
      </c>
      <c r="F21" s="107">
        <v>199957.68</v>
      </c>
      <c r="G21" s="107">
        <f t="shared" si="1"/>
        <v>104490.66999999998</v>
      </c>
      <c r="H21" s="98">
        <f t="shared" si="2"/>
        <v>0.34321312629876294</v>
      </c>
      <c r="I21" s="107">
        <v>0</v>
      </c>
      <c r="J21" s="107">
        <f t="shared" si="3"/>
        <v>104490.66999999998</v>
      </c>
      <c r="K21" s="125">
        <f t="shared" si="4"/>
        <v>0.34321312629876294</v>
      </c>
    </row>
    <row r="22" spans="1:14" x14ac:dyDescent="0.35">
      <c r="A22" s="117" t="s">
        <v>61</v>
      </c>
      <c r="B22" s="143">
        <v>161000</v>
      </c>
      <c r="C22" s="107">
        <v>6011.75</v>
      </c>
      <c r="D22" s="107">
        <v>0</v>
      </c>
      <c r="E22" s="107">
        <f t="shared" si="0"/>
        <v>154988.25</v>
      </c>
      <c r="F22" s="107">
        <v>128775.85</v>
      </c>
      <c r="G22" s="107">
        <f t="shared" si="1"/>
        <v>26212.399999999994</v>
      </c>
      <c r="H22" s="98">
        <f t="shared" si="2"/>
        <v>0.16912507883662145</v>
      </c>
      <c r="I22" s="107">
        <v>0</v>
      </c>
      <c r="J22" s="146">
        <f t="shared" si="3"/>
        <v>26212.399999999994</v>
      </c>
      <c r="K22" s="147">
        <f t="shared" si="4"/>
        <v>0.16912507883662145</v>
      </c>
      <c r="N22" s="108"/>
    </row>
    <row r="23" spans="1:14" x14ac:dyDescent="0.35">
      <c r="A23" s="117" t="s">
        <v>55</v>
      </c>
      <c r="B23" s="143">
        <v>146552</v>
      </c>
      <c r="C23" s="107">
        <v>10875.41</v>
      </c>
      <c r="D23" s="107">
        <v>0</v>
      </c>
      <c r="E23" s="107">
        <f t="shared" si="0"/>
        <v>135676.59</v>
      </c>
      <c r="F23" s="107">
        <v>141588.51</v>
      </c>
      <c r="G23" s="107">
        <f t="shared" si="1"/>
        <v>-5911.9200000000128</v>
      </c>
      <c r="H23" s="98">
        <f t="shared" si="2"/>
        <v>-4.3573618706071647E-2</v>
      </c>
      <c r="I23" s="107">
        <v>0</v>
      </c>
      <c r="J23" s="131">
        <f t="shared" si="3"/>
        <v>-5911.9200000000128</v>
      </c>
      <c r="K23" s="132">
        <f t="shared" si="4"/>
        <v>-4.3573618706071647E-2</v>
      </c>
    </row>
    <row r="24" spans="1:14" x14ac:dyDescent="0.35">
      <c r="A24" s="117" t="s">
        <v>94</v>
      </c>
      <c r="B24" s="144">
        <v>146200</v>
      </c>
      <c r="C24" s="107">
        <v>5529.6329999999998</v>
      </c>
      <c r="D24" s="107">
        <v>0</v>
      </c>
      <c r="E24" s="107">
        <f t="shared" si="0"/>
        <v>140670.367</v>
      </c>
      <c r="F24" s="107">
        <v>105807.9</v>
      </c>
      <c r="G24" s="107">
        <f t="shared" si="1"/>
        <v>34862.467000000004</v>
      </c>
      <c r="H24" s="98">
        <f t="shared" si="2"/>
        <v>0.24783092376520213</v>
      </c>
      <c r="I24" s="107">
        <v>0</v>
      </c>
      <c r="J24" s="107">
        <f t="shared" si="3"/>
        <v>34862.467000000004</v>
      </c>
      <c r="K24" s="125">
        <f t="shared" si="4"/>
        <v>0.24783092376520213</v>
      </c>
    </row>
    <row r="25" spans="1:14" x14ac:dyDescent="0.35">
      <c r="A25" s="117" t="s">
        <v>25</v>
      </c>
      <c r="B25" s="142">
        <v>146716</v>
      </c>
      <c r="C25" s="107">
        <v>5240.375</v>
      </c>
      <c r="D25" s="107">
        <v>0</v>
      </c>
      <c r="E25" s="107">
        <f t="shared" si="0"/>
        <v>141475.625</v>
      </c>
      <c r="F25" s="107">
        <v>110232.27</v>
      </c>
      <c r="G25" s="107">
        <f t="shared" si="1"/>
        <v>31243.354999999996</v>
      </c>
      <c r="H25" s="98">
        <f t="shared" si="2"/>
        <v>0.2208391374839305</v>
      </c>
      <c r="I25" s="107">
        <v>0</v>
      </c>
      <c r="J25" s="107">
        <f t="shared" si="3"/>
        <v>31243.354999999996</v>
      </c>
      <c r="K25" s="125">
        <f t="shared" si="4"/>
        <v>0.2208391374839305</v>
      </c>
    </row>
    <row r="26" spans="1:14" x14ac:dyDescent="0.35">
      <c r="A26" s="117" t="s">
        <v>26</v>
      </c>
      <c r="B26" s="144">
        <v>170500</v>
      </c>
      <c r="C26" s="107">
        <v>6230.9250000000002</v>
      </c>
      <c r="D26" s="107">
        <v>0</v>
      </c>
      <c r="E26" s="107">
        <f t="shared" si="0"/>
        <v>164269.07500000001</v>
      </c>
      <c r="F26" s="107">
        <v>77749.13</v>
      </c>
      <c r="G26" s="107">
        <f t="shared" si="1"/>
        <v>86519.945000000007</v>
      </c>
      <c r="H26" s="98">
        <f t="shared" si="2"/>
        <v>0.52669648867262453</v>
      </c>
      <c r="I26" s="107">
        <v>0</v>
      </c>
      <c r="J26" s="107">
        <f t="shared" si="3"/>
        <v>86519.945000000007</v>
      </c>
      <c r="K26" s="125">
        <f t="shared" si="4"/>
        <v>0.52669648867262453</v>
      </c>
    </row>
    <row r="27" spans="1:14" x14ac:dyDescent="0.35">
      <c r="A27" s="117" t="s">
        <v>63</v>
      </c>
      <c r="B27" s="127">
        <v>193800</v>
      </c>
      <c r="C27" s="107">
        <v>9626.4699999999993</v>
      </c>
      <c r="D27" s="107">
        <v>0</v>
      </c>
      <c r="E27" s="107">
        <f t="shared" si="0"/>
        <v>184173.53</v>
      </c>
      <c r="F27" s="107">
        <v>135775.39000000001</v>
      </c>
      <c r="G27" s="107">
        <f t="shared" si="1"/>
        <v>48398.139999999985</v>
      </c>
      <c r="H27" s="98">
        <f t="shared" si="2"/>
        <v>0.26278553709645452</v>
      </c>
      <c r="I27" s="107">
        <v>0</v>
      </c>
      <c r="J27" s="107">
        <f t="shared" si="3"/>
        <v>48398.139999999985</v>
      </c>
      <c r="K27" s="125">
        <f t="shared" si="4"/>
        <v>0.26278553709645452</v>
      </c>
    </row>
    <row r="28" spans="1:14" x14ac:dyDescent="0.35">
      <c r="A28" s="121" t="s">
        <v>154</v>
      </c>
      <c r="B28" s="122">
        <f>SUM(B4:B27)</f>
        <v>4188811.86</v>
      </c>
      <c r="C28" s="122">
        <f>SUM(C4:C27)</f>
        <v>221167.02599999998</v>
      </c>
      <c r="D28" s="122">
        <f>SUM(D4:D27)</f>
        <v>0</v>
      </c>
      <c r="E28" s="122">
        <f t="shared" si="0"/>
        <v>3967644.8339999998</v>
      </c>
      <c r="F28" s="122">
        <f>SUM(F4:F27)</f>
        <v>2983796.22</v>
      </c>
      <c r="G28" s="122">
        <f t="shared" si="1"/>
        <v>983848.61399999959</v>
      </c>
      <c r="H28" s="133">
        <f t="shared" si="2"/>
        <v>0.24796791425711559</v>
      </c>
      <c r="I28" s="122">
        <f>SUM(I4:I27)</f>
        <v>0</v>
      </c>
      <c r="J28" s="134">
        <f t="shared" si="3"/>
        <v>983848.61399999959</v>
      </c>
      <c r="K28" s="126">
        <f t="shared" si="4"/>
        <v>0.24796791425711559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850AF-4E31-4E9B-B85A-12035818DAE0}">
  <sheetPr>
    <tabColor rgb="FFFF9595"/>
  </sheetPr>
  <dimension ref="A1:N29"/>
  <sheetViews>
    <sheetView zoomScale="80" zoomScaleNormal="80" workbookViewId="0">
      <selection activeCell="L28" sqref="L28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4.17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66">
        <v>126264</v>
      </c>
      <c r="C4" s="107">
        <v>11281.46</v>
      </c>
      <c r="D4" s="107">
        <v>0</v>
      </c>
      <c r="E4" s="107">
        <f>B4-(C4+D4)</f>
        <v>114982.54000000001</v>
      </c>
      <c r="F4" s="107">
        <v>71401.123000000007</v>
      </c>
      <c r="G4" s="107">
        <f>E4-F4</f>
        <v>43581.417000000001</v>
      </c>
      <c r="H4" s="98">
        <f>G4/E4</f>
        <v>0.37902638957184281</v>
      </c>
      <c r="I4" s="107">
        <v>0</v>
      </c>
      <c r="J4" s="107">
        <f>G4-I4</f>
        <v>43581.417000000001</v>
      </c>
      <c r="K4" s="125">
        <f>J4/E4</f>
        <v>0.37902638957184281</v>
      </c>
    </row>
    <row r="5" spans="1:11" x14ac:dyDescent="0.35">
      <c r="A5" s="117" t="s">
        <v>24</v>
      </c>
      <c r="B5" s="166">
        <v>162166</v>
      </c>
      <c r="C5" s="107">
        <v>10775.63</v>
      </c>
      <c r="D5" s="107">
        <v>0</v>
      </c>
      <c r="E5" s="107">
        <f t="shared" ref="E5:E28" si="0">B5-(C5+D5)</f>
        <v>151390.37</v>
      </c>
      <c r="F5" s="107">
        <v>79078.948999999993</v>
      </c>
      <c r="G5" s="107">
        <f t="shared" ref="G5:G28" si="1">E5-F5</f>
        <v>72311.421000000002</v>
      </c>
      <c r="H5" s="98">
        <f t="shared" ref="H5:H28" si="2">G5/E5</f>
        <v>0.47764875004929314</v>
      </c>
      <c r="I5" s="107">
        <v>0</v>
      </c>
      <c r="J5" s="107">
        <f t="shared" ref="J5:J28" si="3">G5-I5</f>
        <v>72311.421000000002</v>
      </c>
      <c r="K5" s="125">
        <f t="shared" ref="K5:K28" si="4">J5/E5</f>
        <v>0.47764875004929314</v>
      </c>
    </row>
    <row r="6" spans="1:11" x14ac:dyDescent="0.35">
      <c r="A6" s="117" t="s">
        <v>18</v>
      </c>
      <c r="B6" s="166">
        <v>414860</v>
      </c>
      <c r="C6" s="107">
        <v>20618.64</v>
      </c>
      <c r="D6" s="107">
        <v>0</v>
      </c>
      <c r="E6" s="107">
        <f t="shared" si="0"/>
        <v>394241.36</v>
      </c>
      <c r="F6" s="107">
        <v>235807.97399999999</v>
      </c>
      <c r="G6" s="107">
        <f t="shared" si="1"/>
        <v>158433.386</v>
      </c>
      <c r="H6" s="98">
        <f t="shared" si="2"/>
        <v>0.4018690124242672</v>
      </c>
      <c r="I6" s="107">
        <v>3806.63</v>
      </c>
      <c r="J6" s="107">
        <f t="shared" si="3"/>
        <v>154626.75599999999</v>
      </c>
      <c r="K6" s="125">
        <f t="shared" si="4"/>
        <v>0.39221342986438562</v>
      </c>
    </row>
    <row r="7" spans="1:11" x14ac:dyDescent="0.35">
      <c r="A7" s="117" t="s">
        <v>19</v>
      </c>
      <c r="B7" s="166">
        <v>298142</v>
      </c>
      <c r="C7" s="107">
        <v>15816.22</v>
      </c>
      <c r="D7" s="107">
        <v>0</v>
      </c>
      <c r="E7" s="107">
        <f t="shared" si="0"/>
        <v>282325.78000000003</v>
      </c>
      <c r="F7" s="107">
        <v>139577.55499999999</v>
      </c>
      <c r="G7" s="107">
        <f t="shared" si="1"/>
        <v>142748.22500000003</v>
      </c>
      <c r="H7" s="98">
        <f t="shared" si="2"/>
        <v>0.5056152682904127</v>
      </c>
      <c r="I7" s="107">
        <v>0</v>
      </c>
      <c r="J7" s="107">
        <f t="shared" si="3"/>
        <v>142748.22500000003</v>
      </c>
      <c r="K7" s="125">
        <f t="shared" si="4"/>
        <v>0.5056152682904127</v>
      </c>
    </row>
    <row r="8" spans="1:11" x14ac:dyDescent="0.35">
      <c r="A8" s="117" t="s">
        <v>20</v>
      </c>
      <c r="B8" s="166">
        <v>232484</v>
      </c>
      <c r="C8" s="107">
        <v>18162.16</v>
      </c>
      <c r="D8" s="107">
        <v>0</v>
      </c>
      <c r="E8" s="107">
        <f t="shared" si="0"/>
        <v>214321.84</v>
      </c>
      <c r="F8" s="107">
        <v>175474.1</v>
      </c>
      <c r="G8" s="107">
        <f t="shared" si="1"/>
        <v>38847.739999999991</v>
      </c>
      <c r="H8" s="98">
        <f t="shared" si="2"/>
        <v>0.18125889550033722</v>
      </c>
      <c r="I8" s="107">
        <v>0</v>
      </c>
      <c r="J8" s="107">
        <f t="shared" si="3"/>
        <v>38847.739999999991</v>
      </c>
      <c r="K8" s="125">
        <f t="shared" si="4"/>
        <v>0.18125889550033722</v>
      </c>
    </row>
    <row r="9" spans="1:11" x14ac:dyDescent="0.35">
      <c r="A9" s="117" t="s">
        <v>83</v>
      </c>
      <c r="B9" s="166">
        <v>149070</v>
      </c>
      <c r="C9" s="107">
        <v>7964.53</v>
      </c>
      <c r="D9" s="107">
        <v>0</v>
      </c>
      <c r="E9" s="107">
        <f t="shared" si="0"/>
        <v>141105.47</v>
      </c>
      <c r="F9" s="107">
        <v>109394.466</v>
      </c>
      <c r="G9" s="107">
        <f t="shared" si="1"/>
        <v>31711.004000000001</v>
      </c>
      <c r="H9" s="98">
        <f t="shared" si="2"/>
        <v>0.22473263439043151</v>
      </c>
      <c r="I9" s="107">
        <v>0</v>
      </c>
      <c r="J9" s="107">
        <f t="shared" si="3"/>
        <v>31711.004000000001</v>
      </c>
      <c r="K9" s="125">
        <f t="shared" si="4"/>
        <v>0.22473263439043151</v>
      </c>
    </row>
    <row r="10" spans="1:11" x14ac:dyDescent="0.35">
      <c r="A10" s="117" t="s">
        <v>21</v>
      </c>
      <c r="B10" s="166">
        <v>182489.72</v>
      </c>
      <c r="C10" s="107">
        <v>7012.31</v>
      </c>
      <c r="D10" s="107">
        <v>0</v>
      </c>
      <c r="E10" s="107">
        <f t="shared" si="0"/>
        <v>175477.41</v>
      </c>
      <c r="F10" s="107">
        <v>166263.45300000001</v>
      </c>
      <c r="G10" s="107">
        <f t="shared" si="1"/>
        <v>9213.9569999999949</v>
      </c>
      <c r="H10" s="98">
        <f t="shared" si="2"/>
        <v>5.2507938201276132E-2</v>
      </c>
      <c r="I10" s="107">
        <v>0</v>
      </c>
      <c r="J10" s="107">
        <f t="shared" si="3"/>
        <v>9213.9569999999949</v>
      </c>
      <c r="K10" s="125">
        <f t="shared" si="4"/>
        <v>5.2507938201276132E-2</v>
      </c>
    </row>
    <row r="11" spans="1:11" x14ac:dyDescent="0.35">
      <c r="A11" s="117" t="s">
        <v>73</v>
      </c>
      <c r="B11" s="166">
        <v>14500</v>
      </c>
      <c r="C11" s="107">
        <v>2130.62</v>
      </c>
      <c r="D11" s="107">
        <v>0</v>
      </c>
      <c r="E11" s="107">
        <f t="shared" si="0"/>
        <v>12369.380000000001</v>
      </c>
      <c r="F11" s="107">
        <v>61421.197</v>
      </c>
      <c r="G11" s="107">
        <f t="shared" si="1"/>
        <v>-49051.816999999995</v>
      </c>
      <c r="H11" s="98">
        <f t="shared" si="2"/>
        <v>-3.9655841279029338</v>
      </c>
      <c r="I11" s="107">
        <v>0</v>
      </c>
      <c r="J11" s="131">
        <f t="shared" si="3"/>
        <v>-49051.816999999995</v>
      </c>
      <c r="K11" s="132">
        <f t="shared" si="4"/>
        <v>-3.9655841279029338</v>
      </c>
    </row>
    <row r="12" spans="1:11" x14ac:dyDescent="0.35">
      <c r="A12" s="117" t="s">
        <v>62</v>
      </c>
      <c r="B12" s="166">
        <v>0</v>
      </c>
      <c r="C12" s="107">
        <v>0</v>
      </c>
      <c r="D12" s="107">
        <v>0</v>
      </c>
      <c r="E12" s="107">
        <f t="shared" si="0"/>
        <v>0</v>
      </c>
      <c r="F12" s="107">
        <v>63188.186999999998</v>
      </c>
      <c r="G12" s="107">
        <f t="shared" si="1"/>
        <v>-63188.186999999998</v>
      </c>
      <c r="H12" s="148" t="s">
        <v>167</v>
      </c>
      <c r="I12" s="107">
        <v>0</v>
      </c>
      <c r="J12" s="131">
        <f t="shared" si="3"/>
        <v>-63188.186999999998</v>
      </c>
      <c r="K12" s="132" t="s">
        <v>167</v>
      </c>
    </row>
    <row r="13" spans="1:11" x14ac:dyDescent="0.35">
      <c r="A13" s="117" t="s">
        <v>22</v>
      </c>
      <c r="B13" s="166">
        <v>198980</v>
      </c>
      <c r="C13" s="107">
        <v>9974.25</v>
      </c>
      <c r="D13" s="107">
        <v>0</v>
      </c>
      <c r="E13" s="107">
        <f t="shared" si="0"/>
        <v>189005.75</v>
      </c>
      <c r="F13" s="107">
        <v>159268.00899999999</v>
      </c>
      <c r="G13" s="107">
        <f t="shared" si="1"/>
        <v>29737.741000000009</v>
      </c>
      <c r="H13" s="98">
        <f t="shared" si="2"/>
        <v>0.15733775824280483</v>
      </c>
      <c r="I13" s="107">
        <v>0</v>
      </c>
      <c r="J13" s="107">
        <f t="shared" si="3"/>
        <v>29737.741000000009</v>
      </c>
      <c r="K13" s="125">
        <f t="shared" si="4"/>
        <v>0.15733775824280483</v>
      </c>
    </row>
    <row r="14" spans="1:11" x14ac:dyDescent="0.35">
      <c r="A14" s="117" t="s">
        <v>23</v>
      </c>
      <c r="B14" s="166">
        <v>122250</v>
      </c>
      <c r="C14" s="107">
        <v>9757.68</v>
      </c>
      <c r="D14" s="107">
        <v>0</v>
      </c>
      <c r="E14" s="107">
        <f t="shared" si="0"/>
        <v>112492.32</v>
      </c>
      <c r="F14" s="107">
        <v>64818.978999999999</v>
      </c>
      <c r="G14" s="107">
        <f t="shared" si="1"/>
        <v>47673.341000000008</v>
      </c>
      <c r="H14" s="98">
        <f t="shared" si="2"/>
        <v>0.42379196197571534</v>
      </c>
      <c r="I14" s="107">
        <v>0</v>
      </c>
      <c r="J14" s="107">
        <f t="shared" si="3"/>
        <v>47673.341000000008</v>
      </c>
      <c r="K14" s="125">
        <f t="shared" si="4"/>
        <v>0.42379196197571534</v>
      </c>
    </row>
    <row r="15" spans="1:11" x14ac:dyDescent="0.35">
      <c r="A15" s="117" t="s">
        <v>37</v>
      </c>
      <c r="B15" s="166">
        <v>469584</v>
      </c>
      <c r="C15" s="107">
        <v>13164.29</v>
      </c>
      <c r="D15" s="107">
        <v>0</v>
      </c>
      <c r="E15" s="107">
        <f t="shared" si="0"/>
        <v>456419.71</v>
      </c>
      <c r="F15" s="107">
        <v>364137.80699999997</v>
      </c>
      <c r="G15" s="107">
        <f t="shared" si="1"/>
        <v>92281.903000000049</v>
      </c>
      <c r="H15" s="98">
        <f t="shared" si="2"/>
        <v>0.20218649847527409</v>
      </c>
      <c r="I15" s="107">
        <v>0</v>
      </c>
      <c r="J15" s="107">
        <f t="shared" si="3"/>
        <v>92281.903000000049</v>
      </c>
      <c r="K15" s="125">
        <f t="shared" si="4"/>
        <v>0.20218649847527409</v>
      </c>
    </row>
    <row r="16" spans="1:11" x14ac:dyDescent="0.35">
      <c r="A16" s="117" t="s">
        <v>81</v>
      </c>
      <c r="B16" s="166">
        <v>143010</v>
      </c>
      <c r="C16" s="107">
        <v>4709.37</v>
      </c>
      <c r="D16" s="107">
        <v>0</v>
      </c>
      <c r="E16" s="107">
        <f t="shared" si="0"/>
        <v>138300.63</v>
      </c>
      <c r="F16" s="107">
        <v>77521.464000000007</v>
      </c>
      <c r="G16" s="107">
        <f t="shared" si="1"/>
        <v>60779.165999999997</v>
      </c>
      <c r="H16" s="98">
        <f t="shared" si="2"/>
        <v>0.43947136032569045</v>
      </c>
      <c r="I16" s="107">
        <v>0</v>
      </c>
      <c r="J16" s="107">
        <f t="shared" si="3"/>
        <v>60779.165999999997</v>
      </c>
      <c r="K16" s="125">
        <f t="shared" si="4"/>
        <v>0.43947136032569045</v>
      </c>
    </row>
    <row r="17" spans="1:14" x14ac:dyDescent="0.35">
      <c r="A17" s="117" t="s">
        <v>87</v>
      </c>
      <c r="B17" s="166">
        <v>0</v>
      </c>
      <c r="C17" s="107">
        <v>0</v>
      </c>
      <c r="D17" s="107">
        <v>0</v>
      </c>
      <c r="E17" s="107">
        <f t="shared" si="0"/>
        <v>0</v>
      </c>
      <c r="F17" s="107">
        <v>5000</v>
      </c>
      <c r="G17" s="107">
        <f t="shared" si="1"/>
        <v>-5000</v>
      </c>
      <c r="H17" s="148" t="s">
        <v>167</v>
      </c>
      <c r="I17" s="107">
        <v>0</v>
      </c>
      <c r="J17" s="131">
        <f t="shared" si="3"/>
        <v>-5000</v>
      </c>
      <c r="K17" s="132" t="s">
        <v>167</v>
      </c>
    </row>
    <row r="18" spans="1:14" x14ac:dyDescent="0.35">
      <c r="A18" s="117" t="s">
        <v>115</v>
      </c>
      <c r="B18" s="166">
        <v>83700</v>
      </c>
      <c r="C18" s="107">
        <v>5220.28</v>
      </c>
      <c r="D18" s="107">
        <v>0</v>
      </c>
      <c r="E18" s="107">
        <f t="shared" si="0"/>
        <v>78479.72</v>
      </c>
      <c r="F18" s="107">
        <v>57265.38</v>
      </c>
      <c r="G18" s="107">
        <f t="shared" si="1"/>
        <v>21214.340000000004</v>
      </c>
      <c r="H18" s="98">
        <f t="shared" si="2"/>
        <v>0.27031620398237921</v>
      </c>
      <c r="I18" s="107">
        <v>0</v>
      </c>
      <c r="J18" s="107">
        <f t="shared" si="3"/>
        <v>21214.340000000004</v>
      </c>
      <c r="K18" s="125">
        <f t="shared" si="4"/>
        <v>0.27031620398237921</v>
      </c>
    </row>
    <row r="19" spans="1:14" x14ac:dyDescent="0.35">
      <c r="A19" s="117" t="s">
        <v>58</v>
      </c>
      <c r="B19" s="166">
        <v>245410</v>
      </c>
      <c r="C19" s="107">
        <v>5651.06</v>
      </c>
      <c r="D19" s="107">
        <v>0</v>
      </c>
      <c r="E19" s="107">
        <f t="shared" si="0"/>
        <v>239758.94</v>
      </c>
      <c r="F19" s="107">
        <v>164894.62599999999</v>
      </c>
      <c r="G19" s="107">
        <f t="shared" si="1"/>
        <v>74864.314000000013</v>
      </c>
      <c r="H19" s="98">
        <f t="shared" si="2"/>
        <v>0.31224826903222047</v>
      </c>
      <c r="I19" s="107">
        <v>0</v>
      </c>
      <c r="J19" s="107">
        <f t="shared" si="3"/>
        <v>74864.314000000013</v>
      </c>
      <c r="K19" s="125">
        <f t="shared" si="4"/>
        <v>0.31224826903222047</v>
      </c>
    </row>
    <row r="20" spans="1:14" x14ac:dyDescent="0.35">
      <c r="A20" s="117" t="s">
        <v>54</v>
      </c>
      <c r="B20" s="166">
        <v>194010</v>
      </c>
      <c r="C20" s="107">
        <v>6289.42</v>
      </c>
      <c r="D20" s="107">
        <v>0</v>
      </c>
      <c r="E20" s="107">
        <f t="shared" si="0"/>
        <v>187720.58</v>
      </c>
      <c r="F20" s="107">
        <v>126869.25</v>
      </c>
      <c r="G20" s="107">
        <f t="shared" si="1"/>
        <v>60851.329999999987</v>
      </c>
      <c r="H20" s="98">
        <f t="shared" si="2"/>
        <v>0.32415907728390775</v>
      </c>
      <c r="I20" s="107">
        <v>0</v>
      </c>
      <c r="J20" s="107">
        <f t="shared" si="3"/>
        <v>60851.329999999987</v>
      </c>
      <c r="K20" s="125">
        <f t="shared" si="4"/>
        <v>0.32415907728390775</v>
      </c>
    </row>
    <row r="21" spans="1:14" x14ac:dyDescent="0.35">
      <c r="A21" s="117" t="s">
        <v>27</v>
      </c>
      <c r="B21" s="166">
        <v>426900</v>
      </c>
      <c r="C21" s="107">
        <v>13546.96</v>
      </c>
      <c r="D21" s="107">
        <v>0</v>
      </c>
      <c r="E21" s="107">
        <f t="shared" si="0"/>
        <v>413353.04</v>
      </c>
      <c r="F21" s="107">
        <v>211071.565</v>
      </c>
      <c r="G21" s="107">
        <f t="shared" si="1"/>
        <v>202281.47499999998</v>
      </c>
      <c r="H21" s="98">
        <f t="shared" si="2"/>
        <v>0.48936733355100032</v>
      </c>
      <c r="I21" s="107">
        <v>0</v>
      </c>
      <c r="J21" s="107">
        <f t="shared" si="3"/>
        <v>202281.47499999998</v>
      </c>
      <c r="K21" s="125">
        <f t="shared" si="4"/>
        <v>0.48936733355100032</v>
      </c>
    </row>
    <row r="22" spans="1:14" x14ac:dyDescent="0.35">
      <c r="A22" s="117" t="s">
        <v>61</v>
      </c>
      <c r="B22" s="166">
        <v>129400</v>
      </c>
      <c r="C22" s="107">
        <v>8046.26</v>
      </c>
      <c r="D22" s="107">
        <v>0</v>
      </c>
      <c r="E22" s="107">
        <f t="shared" si="0"/>
        <v>121353.74</v>
      </c>
      <c r="F22" s="107">
        <v>147836.266</v>
      </c>
      <c r="G22" s="107">
        <f t="shared" si="1"/>
        <v>-26482.525999999998</v>
      </c>
      <c r="H22" s="98">
        <f t="shared" si="2"/>
        <v>-0.21822587420873882</v>
      </c>
      <c r="I22" s="107">
        <v>0</v>
      </c>
      <c r="J22" s="131">
        <f t="shared" si="3"/>
        <v>-26482.525999999998</v>
      </c>
      <c r="K22" s="132">
        <f t="shared" si="4"/>
        <v>-0.21822587420873882</v>
      </c>
      <c r="N22" s="108"/>
    </row>
    <row r="23" spans="1:14" x14ac:dyDescent="0.35">
      <c r="A23" s="117" t="s">
        <v>55</v>
      </c>
      <c r="B23" s="166">
        <v>203950</v>
      </c>
      <c r="C23" s="107">
        <v>6249.67</v>
      </c>
      <c r="D23" s="107">
        <v>0</v>
      </c>
      <c r="E23" s="107">
        <f t="shared" si="0"/>
        <v>197700.33</v>
      </c>
      <c r="F23" s="107">
        <v>159250.21599999999</v>
      </c>
      <c r="G23" s="107">
        <f t="shared" si="1"/>
        <v>38450.114000000001</v>
      </c>
      <c r="H23" s="98">
        <f t="shared" si="2"/>
        <v>0.1944868478469409</v>
      </c>
      <c r="I23" s="107">
        <v>0</v>
      </c>
      <c r="J23" s="146">
        <f t="shared" si="3"/>
        <v>38450.114000000001</v>
      </c>
      <c r="K23" s="147">
        <f t="shared" si="4"/>
        <v>0.1944868478469409</v>
      </c>
    </row>
    <row r="24" spans="1:14" x14ac:dyDescent="0.35">
      <c r="A24" s="117" t="s">
        <v>94</v>
      </c>
      <c r="B24" s="166">
        <v>106610</v>
      </c>
      <c r="C24" s="107">
        <v>8139.18</v>
      </c>
      <c r="D24" s="107">
        <v>0</v>
      </c>
      <c r="E24" s="107">
        <f t="shared" si="0"/>
        <v>98470.82</v>
      </c>
      <c r="F24" s="107">
        <v>84130.248999999996</v>
      </c>
      <c r="G24" s="107">
        <f t="shared" si="1"/>
        <v>14340.571000000011</v>
      </c>
      <c r="H24" s="98">
        <f t="shared" si="2"/>
        <v>0.14563269606163542</v>
      </c>
      <c r="I24" s="107">
        <v>0</v>
      </c>
      <c r="J24" s="107">
        <f t="shared" si="3"/>
        <v>14340.571000000011</v>
      </c>
      <c r="K24" s="125">
        <f t="shared" si="4"/>
        <v>0.14563269606163542</v>
      </c>
    </row>
    <row r="25" spans="1:14" x14ac:dyDescent="0.35">
      <c r="A25" s="117" t="s">
        <v>25</v>
      </c>
      <c r="B25" s="166">
        <v>255590</v>
      </c>
      <c r="C25" s="107">
        <v>4607.24</v>
      </c>
      <c r="D25" s="107">
        <v>0</v>
      </c>
      <c r="E25" s="107">
        <f t="shared" si="0"/>
        <v>250982.76</v>
      </c>
      <c r="F25" s="107">
        <v>153398.666</v>
      </c>
      <c r="G25" s="107">
        <f t="shared" si="1"/>
        <v>97584.094000000012</v>
      </c>
      <c r="H25" s="98">
        <f t="shared" si="2"/>
        <v>0.38880795637118665</v>
      </c>
      <c r="I25" s="107">
        <v>0</v>
      </c>
      <c r="J25" s="107">
        <f t="shared" si="3"/>
        <v>97584.094000000012</v>
      </c>
      <c r="K25" s="125">
        <f t="shared" si="4"/>
        <v>0.38880795637118665</v>
      </c>
    </row>
    <row r="26" spans="1:14" x14ac:dyDescent="0.35">
      <c r="A26" s="117" t="s">
        <v>26</v>
      </c>
      <c r="B26" s="166">
        <v>171643</v>
      </c>
      <c r="C26" s="107">
        <v>4245.75</v>
      </c>
      <c r="D26" s="107">
        <v>0</v>
      </c>
      <c r="E26" s="107">
        <f t="shared" si="0"/>
        <v>167397.25</v>
      </c>
      <c r="F26" s="107">
        <v>85839.414000000004</v>
      </c>
      <c r="G26" s="107">
        <f t="shared" si="1"/>
        <v>81557.835999999996</v>
      </c>
      <c r="H26" s="98">
        <f t="shared" si="2"/>
        <v>0.48721132515617788</v>
      </c>
      <c r="I26" s="107">
        <v>0</v>
      </c>
      <c r="J26" s="107">
        <f t="shared" si="3"/>
        <v>81557.835999999996</v>
      </c>
      <c r="K26" s="125">
        <f t="shared" si="4"/>
        <v>0.48721132515617788</v>
      </c>
    </row>
    <row r="27" spans="1:14" x14ac:dyDescent="0.35">
      <c r="A27" s="117" t="s">
        <v>63</v>
      </c>
      <c r="B27" s="166">
        <v>95700</v>
      </c>
      <c r="C27" s="107">
        <v>8746.2000000000007</v>
      </c>
      <c r="D27" s="107">
        <v>0</v>
      </c>
      <c r="E27" s="107">
        <f t="shared" si="0"/>
        <v>86953.8</v>
      </c>
      <c r="F27" s="107">
        <v>93967.767000000007</v>
      </c>
      <c r="G27" s="107">
        <f t="shared" si="1"/>
        <v>-7013.9670000000042</v>
      </c>
      <c r="H27" s="98">
        <f t="shared" si="2"/>
        <v>-8.0663145256446578E-2</v>
      </c>
      <c r="I27" s="107">
        <v>0</v>
      </c>
      <c r="J27" s="131">
        <f t="shared" si="3"/>
        <v>-7013.9670000000042</v>
      </c>
      <c r="K27" s="132">
        <f t="shared" si="4"/>
        <v>-8.0663145256446578E-2</v>
      </c>
    </row>
    <row r="28" spans="1:14" x14ac:dyDescent="0.35">
      <c r="A28" s="121" t="s">
        <v>154</v>
      </c>
      <c r="B28" s="122">
        <f>SUM(B4:B27)</f>
        <v>4426712.72</v>
      </c>
      <c r="C28" s="122">
        <f>SUM(C4:C27)</f>
        <v>202109.18000000002</v>
      </c>
      <c r="D28" s="122">
        <f>SUM(D4:D27)</f>
        <v>0</v>
      </c>
      <c r="E28" s="122">
        <f t="shared" si="0"/>
        <v>4224603.54</v>
      </c>
      <c r="F28" s="122">
        <f>SUM(F4:F27)</f>
        <v>3056876.6619999995</v>
      </c>
      <c r="G28" s="122">
        <f t="shared" si="1"/>
        <v>1167726.8780000005</v>
      </c>
      <c r="H28" s="133">
        <f t="shared" si="2"/>
        <v>0.27641099737373237</v>
      </c>
      <c r="I28" s="122">
        <f>SUM(I4:I27)</f>
        <v>3806.63</v>
      </c>
      <c r="J28" s="134">
        <f t="shared" si="3"/>
        <v>1163920.2480000006</v>
      </c>
      <c r="K28" s="126">
        <f t="shared" si="4"/>
        <v>0.27550993530626083</v>
      </c>
      <c r="L28" s="115"/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00553-AF59-47ED-AD6A-D6962DD88B72}">
  <sheetPr>
    <tabColor rgb="FFFF9595"/>
  </sheetPr>
  <dimension ref="A1:N29"/>
  <sheetViews>
    <sheetView zoomScale="80" zoomScaleNormal="80" workbookViewId="0">
      <selection activeCell="F23" sqref="F23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8D627-905A-4595-88E0-E476D14F6F75}">
  <sheetPr>
    <tabColor rgb="FFFF9595"/>
  </sheetPr>
  <dimension ref="A1:N29"/>
  <sheetViews>
    <sheetView zoomScale="80" zoomScaleNormal="80" workbookViewId="0">
      <selection activeCell="F24" sqref="F24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B1DED-AE5B-4160-9B58-8E5C328329C5}">
  <sheetPr>
    <tabColor rgb="FFFF9595"/>
  </sheetPr>
  <dimension ref="A1:N29"/>
  <sheetViews>
    <sheetView zoomScale="80" zoomScaleNormal="80" workbookViewId="0">
      <selection activeCell="F17" sqref="F17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F584-5FCD-4373-A45B-223FE71039C5}">
  <sheetPr>
    <tabColor rgb="FFFF9595"/>
  </sheetPr>
  <dimension ref="A1:N29"/>
  <sheetViews>
    <sheetView zoomScale="80" zoomScaleNormal="80" workbookViewId="0">
      <selection activeCell="F17" sqref="F17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88106-8855-4AE8-9F08-72C7EAB520B6}">
  <sheetPr>
    <tabColor rgb="FFFF9595"/>
  </sheetPr>
  <dimension ref="A1:N29"/>
  <sheetViews>
    <sheetView zoomScale="80" zoomScaleNormal="80" workbookViewId="0">
      <selection activeCell="F17" sqref="F17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76567-0B2F-44CB-85CB-57D4B634FA74}">
  <sheetPr>
    <tabColor rgb="FFFF9595"/>
  </sheetPr>
  <dimension ref="A1:N29"/>
  <sheetViews>
    <sheetView zoomScale="80" zoomScaleNormal="80" workbookViewId="0">
      <selection activeCell="F17" sqref="F17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D1D44-06C6-4672-A9E0-A31F8CB28FC8}">
  <sheetPr>
    <tabColor rgb="FFFF9595"/>
  </sheetPr>
  <dimension ref="A1:N29"/>
  <sheetViews>
    <sheetView zoomScale="80" zoomScaleNormal="80" workbookViewId="0">
      <selection activeCell="F17" sqref="F17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1E0ED-F3EC-478D-B708-CD6EC447038E}">
  <sheetPr>
    <tabColor rgb="FFFF9595"/>
  </sheetPr>
  <dimension ref="A1:N29"/>
  <sheetViews>
    <sheetView zoomScale="80" zoomScaleNormal="80" workbookViewId="0">
      <selection activeCell="F17" sqref="F17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DD541-1222-4B02-B2A1-90CA2205C0EC}">
  <sheetPr>
    <tabColor rgb="FFFF9595"/>
  </sheetPr>
  <dimension ref="A1:N29"/>
  <sheetViews>
    <sheetView zoomScale="80" zoomScaleNormal="80" workbookViewId="0">
      <selection activeCell="G21" sqref="G21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2" width="11.54296875" style="99" bestFit="1" customWidth="1"/>
    <col min="13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/>
      <c r="C4" s="107"/>
      <c r="D4" s="107">
        <v>0</v>
      </c>
      <c r="E4" s="107">
        <f>B4-(C4+D4)</f>
        <v>0</v>
      </c>
      <c r="F4" s="107"/>
      <c r="G4" s="107">
        <f>E4-F4</f>
        <v>0</v>
      </c>
      <c r="H4" s="98" t="e">
        <f>G4/E4</f>
        <v>#DIV/0!</v>
      </c>
      <c r="I4" s="107">
        <v>0</v>
      </c>
      <c r="J4" s="107">
        <f>G4-I4</f>
        <v>0</v>
      </c>
      <c r="K4" s="125" t="e">
        <f>J4/E4</f>
        <v>#DIV/0!</v>
      </c>
    </row>
    <row r="5" spans="1:11" x14ac:dyDescent="0.35">
      <c r="A5" s="117" t="s">
        <v>24</v>
      </c>
      <c r="B5" s="142"/>
      <c r="C5" s="107"/>
      <c r="D5" s="107">
        <v>0</v>
      </c>
      <c r="E5" s="107">
        <f t="shared" ref="E5:E28" si="0">B5-(C5+D5)</f>
        <v>0</v>
      </c>
      <c r="F5" s="107"/>
      <c r="G5" s="107">
        <f t="shared" ref="G5:G28" si="1">E5-F5</f>
        <v>0</v>
      </c>
      <c r="H5" s="98" t="e">
        <f t="shared" ref="H5:H28" si="2">G5/E5</f>
        <v>#DIV/0!</v>
      </c>
      <c r="I5" s="107">
        <v>0</v>
      </c>
      <c r="J5" s="107">
        <f t="shared" ref="J5:J28" si="3">G5-I5</f>
        <v>0</v>
      </c>
      <c r="K5" s="125" t="e">
        <f t="shared" ref="K5:K28" si="4">J5/E5</f>
        <v>#DIV/0!</v>
      </c>
    </row>
    <row r="6" spans="1:11" x14ac:dyDescent="0.35">
      <c r="A6" s="117" t="s">
        <v>18</v>
      </c>
      <c r="B6" s="143"/>
      <c r="C6" s="107"/>
      <c r="D6" s="107">
        <v>0</v>
      </c>
      <c r="E6" s="107">
        <f t="shared" si="0"/>
        <v>0</v>
      </c>
      <c r="F6" s="107"/>
      <c r="G6" s="107">
        <f t="shared" si="1"/>
        <v>0</v>
      </c>
      <c r="H6" s="98" t="e">
        <f t="shared" si="2"/>
        <v>#DIV/0!</v>
      </c>
      <c r="I6" s="107">
        <v>0</v>
      </c>
      <c r="J6" s="107">
        <f t="shared" si="3"/>
        <v>0</v>
      </c>
      <c r="K6" s="125" t="e">
        <f t="shared" si="4"/>
        <v>#DIV/0!</v>
      </c>
    </row>
    <row r="7" spans="1:11" x14ac:dyDescent="0.35">
      <c r="A7" s="117" t="s">
        <v>19</v>
      </c>
      <c r="B7" s="144"/>
      <c r="C7" s="107"/>
      <c r="D7" s="107">
        <v>0</v>
      </c>
      <c r="E7" s="107">
        <f t="shared" si="0"/>
        <v>0</v>
      </c>
      <c r="F7" s="107"/>
      <c r="G7" s="107">
        <f t="shared" si="1"/>
        <v>0</v>
      </c>
      <c r="H7" s="98" t="e">
        <f t="shared" si="2"/>
        <v>#DIV/0!</v>
      </c>
      <c r="I7" s="107">
        <v>0</v>
      </c>
      <c r="J7" s="107">
        <f t="shared" si="3"/>
        <v>0</v>
      </c>
      <c r="K7" s="125" t="e">
        <f t="shared" si="4"/>
        <v>#DIV/0!</v>
      </c>
    </row>
    <row r="8" spans="1:11" x14ac:dyDescent="0.35">
      <c r="A8" s="117" t="s">
        <v>20</v>
      </c>
      <c r="B8" s="142"/>
      <c r="C8" s="107"/>
      <c r="D8" s="107">
        <v>0</v>
      </c>
      <c r="E8" s="107">
        <f t="shared" si="0"/>
        <v>0</v>
      </c>
      <c r="F8" s="107"/>
      <c r="G8" s="107">
        <f t="shared" si="1"/>
        <v>0</v>
      </c>
      <c r="H8" s="98" t="e">
        <f t="shared" si="2"/>
        <v>#DIV/0!</v>
      </c>
      <c r="I8" s="107">
        <v>0</v>
      </c>
      <c r="J8" s="107">
        <f t="shared" si="3"/>
        <v>0</v>
      </c>
      <c r="K8" s="125" t="e">
        <f t="shared" si="4"/>
        <v>#DIV/0!</v>
      </c>
    </row>
    <row r="9" spans="1:11" x14ac:dyDescent="0.35">
      <c r="A9" s="117" t="s">
        <v>83</v>
      </c>
      <c r="B9" s="143"/>
      <c r="C9" s="107"/>
      <c r="D9" s="107">
        <v>0</v>
      </c>
      <c r="E9" s="107">
        <f t="shared" si="0"/>
        <v>0</v>
      </c>
      <c r="F9" s="107"/>
      <c r="G9" s="107">
        <f t="shared" si="1"/>
        <v>0</v>
      </c>
      <c r="H9" s="98" t="e">
        <f t="shared" si="2"/>
        <v>#DIV/0!</v>
      </c>
      <c r="I9" s="107">
        <v>0</v>
      </c>
      <c r="J9" s="107">
        <f t="shared" si="3"/>
        <v>0</v>
      </c>
      <c r="K9" s="125" t="e">
        <f t="shared" si="4"/>
        <v>#DIV/0!</v>
      </c>
    </row>
    <row r="10" spans="1:11" x14ac:dyDescent="0.35">
      <c r="A10" s="117" t="s">
        <v>21</v>
      </c>
      <c r="B10" s="143"/>
      <c r="C10" s="107"/>
      <c r="D10" s="107">
        <v>0</v>
      </c>
      <c r="E10" s="107">
        <f t="shared" si="0"/>
        <v>0</v>
      </c>
      <c r="F10" s="107"/>
      <c r="G10" s="107">
        <f t="shared" si="1"/>
        <v>0</v>
      </c>
      <c r="H10" s="98" t="e">
        <f t="shared" si="2"/>
        <v>#DIV/0!</v>
      </c>
      <c r="I10" s="107">
        <v>0</v>
      </c>
      <c r="J10" s="107">
        <f t="shared" si="3"/>
        <v>0</v>
      </c>
      <c r="K10" s="125" t="e">
        <f t="shared" si="4"/>
        <v>#DIV/0!</v>
      </c>
    </row>
    <row r="11" spans="1:11" x14ac:dyDescent="0.35">
      <c r="A11" s="117" t="s">
        <v>73</v>
      </c>
      <c r="B11" s="143"/>
      <c r="C11" s="107"/>
      <c r="D11" s="107">
        <v>0</v>
      </c>
      <c r="E11" s="107">
        <f t="shared" si="0"/>
        <v>0</v>
      </c>
      <c r="F11" s="107"/>
      <c r="G11" s="107">
        <f t="shared" si="1"/>
        <v>0</v>
      </c>
      <c r="H11" s="98" t="e">
        <f t="shared" si="2"/>
        <v>#DIV/0!</v>
      </c>
      <c r="I11" s="107">
        <v>0</v>
      </c>
      <c r="J11" s="131">
        <f t="shared" si="3"/>
        <v>0</v>
      </c>
      <c r="K11" s="132" t="e">
        <f t="shared" si="4"/>
        <v>#DIV/0!</v>
      </c>
    </row>
    <row r="12" spans="1:11" x14ac:dyDescent="0.35">
      <c r="A12" s="117" t="s">
        <v>62</v>
      </c>
      <c r="B12" s="143"/>
      <c r="C12" s="107"/>
      <c r="D12" s="107">
        <v>0</v>
      </c>
      <c r="E12" s="107">
        <f t="shared" si="0"/>
        <v>0</v>
      </c>
      <c r="F12" s="107"/>
      <c r="G12" s="107">
        <f t="shared" si="1"/>
        <v>0</v>
      </c>
      <c r="H12" s="148" t="s">
        <v>167</v>
      </c>
      <c r="I12" s="107">
        <v>0</v>
      </c>
      <c r="J12" s="131">
        <f t="shared" si="3"/>
        <v>0</v>
      </c>
      <c r="K12" s="132" t="s">
        <v>167</v>
      </c>
    </row>
    <row r="13" spans="1:11" x14ac:dyDescent="0.35">
      <c r="A13" s="117" t="s">
        <v>22</v>
      </c>
      <c r="B13" s="144"/>
      <c r="C13" s="107"/>
      <c r="D13" s="107">
        <v>0</v>
      </c>
      <c r="E13" s="107">
        <f t="shared" si="0"/>
        <v>0</v>
      </c>
      <c r="F13" s="107"/>
      <c r="G13" s="107">
        <f t="shared" si="1"/>
        <v>0</v>
      </c>
      <c r="H13" s="98" t="e">
        <f t="shared" si="2"/>
        <v>#DIV/0!</v>
      </c>
      <c r="I13" s="107">
        <v>0</v>
      </c>
      <c r="J13" s="107">
        <f t="shared" si="3"/>
        <v>0</v>
      </c>
      <c r="K13" s="125" t="e">
        <f t="shared" si="4"/>
        <v>#DIV/0!</v>
      </c>
    </row>
    <row r="14" spans="1:11" x14ac:dyDescent="0.35">
      <c r="A14" s="117" t="s">
        <v>23</v>
      </c>
      <c r="B14" s="142"/>
      <c r="C14" s="107"/>
      <c r="D14" s="107">
        <v>0</v>
      </c>
      <c r="E14" s="107">
        <f t="shared" si="0"/>
        <v>0</v>
      </c>
      <c r="F14" s="107"/>
      <c r="G14" s="107">
        <f t="shared" si="1"/>
        <v>0</v>
      </c>
      <c r="H14" s="98" t="e">
        <f t="shared" si="2"/>
        <v>#DIV/0!</v>
      </c>
      <c r="I14" s="107">
        <v>0</v>
      </c>
      <c r="J14" s="107">
        <f t="shared" si="3"/>
        <v>0</v>
      </c>
      <c r="K14" s="125" t="e">
        <f t="shared" si="4"/>
        <v>#DIV/0!</v>
      </c>
    </row>
    <row r="15" spans="1:11" x14ac:dyDescent="0.35">
      <c r="A15" s="117" t="s">
        <v>37</v>
      </c>
      <c r="B15" s="144"/>
      <c r="C15" s="107"/>
      <c r="D15" s="107">
        <v>0</v>
      </c>
      <c r="E15" s="107">
        <f t="shared" si="0"/>
        <v>0</v>
      </c>
      <c r="F15" s="107"/>
      <c r="G15" s="107">
        <f t="shared" si="1"/>
        <v>0</v>
      </c>
      <c r="H15" s="98" t="e">
        <f t="shared" si="2"/>
        <v>#DIV/0!</v>
      </c>
      <c r="I15" s="107">
        <v>0</v>
      </c>
      <c r="J15" s="107">
        <f t="shared" si="3"/>
        <v>0</v>
      </c>
      <c r="K15" s="125" t="e">
        <f t="shared" si="4"/>
        <v>#DIV/0!</v>
      </c>
    </row>
    <row r="16" spans="1:11" x14ac:dyDescent="0.35">
      <c r="A16" s="117" t="s">
        <v>81</v>
      </c>
      <c r="B16" s="142"/>
      <c r="C16" s="107"/>
      <c r="D16" s="107">
        <v>0</v>
      </c>
      <c r="E16" s="107">
        <f t="shared" si="0"/>
        <v>0</v>
      </c>
      <c r="F16" s="107"/>
      <c r="G16" s="107">
        <f t="shared" si="1"/>
        <v>0</v>
      </c>
      <c r="H16" s="98" t="e">
        <f t="shared" si="2"/>
        <v>#DIV/0!</v>
      </c>
      <c r="I16" s="107">
        <v>0</v>
      </c>
      <c r="J16" s="107">
        <f t="shared" si="3"/>
        <v>0</v>
      </c>
      <c r="K16" s="125" t="e">
        <f t="shared" si="4"/>
        <v>#DIV/0!</v>
      </c>
    </row>
    <row r="17" spans="1:14" x14ac:dyDescent="0.35">
      <c r="A17" s="117" t="s">
        <v>87</v>
      </c>
      <c r="B17" s="145"/>
      <c r="C17" s="107"/>
      <c r="D17" s="107">
        <v>0</v>
      </c>
      <c r="E17" s="107">
        <f t="shared" si="0"/>
        <v>0</v>
      </c>
      <c r="F17" s="107"/>
      <c r="G17" s="107">
        <f t="shared" si="1"/>
        <v>0</v>
      </c>
      <c r="H17" s="98" t="e">
        <f t="shared" si="2"/>
        <v>#DIV/0!</v>
      </c>
      <c r="I17" s="107">
        <v>0</v>
      </c>
      <c r="J17" s="131">
        <f t="shared" si="3"/>
        <v>0</v>
      </c>
      <c r="K17" s="125" t="e">
        <f t="shared" si="4"/>
        <v>#DIV/0!</v>
      </c>
    </row>
    <row r="18" spans="1:14" x14ac:dyDescent="0.35">
      <c r="A18" s="117" t="s">
        <v>115</v>
      </c>
      <c r="B18" s="142"/>
      <c r="C18" s="107"/>
      <c r="D18" s="107">
        <v>0</v>
      </c>
      <c r="E18" s="107">
        <f t="shared" si="0"/>
        <v>0</v>
      </c>
      <c r="F18" s="107"/>
      <c r="G18" s="107">
        <f t="shared" si="1"/>
        <v>0</v>
      </c>
      <c r="H18" s="98" t="e">
        <f t="shared" si="2"/>
        <v>#DIV/0!</v>
      </c>
      <c r="I18" s="107">
        <v>0</v>
      </c>
      <c r="J18" s="107">
        <f t="shared" si="3"/>
        <v>0</v>
      </c>
      <c r="K18" s="125" t="e">
        <f t="shared" si="4"/>
        <v>#DIV/0!</v>
      </c>
    </row>
    <row r="19" spans="1:14" x14ac:dyDescent="0.35">
      <c r="A19" s="117" t="s">
        <v>58</v>
      </c>
      <c r="B19" s="143"/>
      <c r="C19" s="107"/>
      <c r="D19" s="107">
        <v>0</v>
      </c>
      <c r="E19" s="107">
        <f t="shared" si="0"/>
        <v>0</v>
      </c>
      <c r="F19" s="107"/>
      <c r="G19" s="107">
        <f t="shared" si="1"/>
        <v>0</v>
      </c>
      <c r="H19" s="98" t="e">
        <f t="shared" si="2"/>
        <v>#DIV/0!</v>
      </c>
      <c r="I19" s="107">
        <v>0</v>
      </c>
      <c r="J19" s="107">
        <f t="shared" si="3"/>
        <v>0</v>
      </c>
      <c r="K19" s="125" t="e">
        <f t="shared" si="4"/>
        <v>#DIV/0!</v>
      </c>
    </row>
    <row r="20" spans="1:14" x14ac:dyDescent="0.35">
      <c r="A20" s="117" t="s">
        <v>54</v>
      </c>
      <c r="B20" s="144"/>
      <c r="C20" s="107"/>
      <c r="D20" s="107">
        <v>0</v>
      </c>
      <c r="E20" s="107">
        <f t="shared" si="0"/>
        <v>0</v>
      </c>
      <c r="F20" s="107"/>
      <c r="G20" s="107">
        <f t="shared" si="1"/>
        <v>0</v>
      </c>
      <c r="H20" s="98" t="e">
        <f t="shared" si="2"/>
        <v>#DIV/0!</v>
      </c>
      <c r="I20" s="107">
        <v>0</v>
      </c>
      <c r="J20" s="107">
        <f t="shared" si="3"/>
        <v>0</v>
      </c>
      <c r="K20" s="125" t="e">
        <f t="shared" si="4"/>
        <v>#DIV/0!</v>
      </c>
    </row>
    <row r="21" spans="1:14" x14ac:dyDescent="0.35">
      <c r="A21" s="117" t="s">
        <v>27</v>
      </c>
      <c r="B21" s="142"/>
      <c r="C21" s="107"/>
      <c r="D21" s="107">
        <v>0</v>
      </c>
      <c r="E21" s="107">
        <f t="shared" si="0"/>
        <v>0</v>
      </c>
      <c r="F21" s="107"/>
      <c r="G21" s="107">
        <f t="shared" si="1"/>
        <v>0</v>
      </c>
      <c r="H21" s="98" t="e">
        <f t="shared" si="2"/>
        <v>#DIV/0!</v>
      </c>
      <c r="I21" s="107">
        <v>0</v>
      </c>
      <c r="J21" s="115">
        <f t="shared" si="3"/>
        <v>0</v>
      </c>
      <c r="K21" s="125" t="e">
        <f t="shared" si="4"/>
        <v>#DIV/0!</v>
      </c>
    </row>
    <row r="22" spans="1:14" x14ac:dyDescent="0.35">
      <c r="A22" s="117" t="s">
        <v>61</v>
      </c>
      <c r="B22" s="143"/>
      <c r="C22" s="107"/>
      <c r="D22" s="107">
        <v>0</v>
      </c>
      <c r="E22" s="107">
        <f t="shared" si="0"/>
        <v>0</v>
      </c>
      <c r="F22" s="107"/>
      <c r="G22" s="107">
        <f t="shared" si="1"/>
        <v>0</v>
      </c>
      <c r="H22" s="98" t="e">
        <f t="shared" si="2"/>
        <v>#DIV/0!</v>
      </c>
      <c r="I22" s="107">
        <v>0</v>
      </c>
      <c r="J22" s="146">
        <f t="shared" si="3"/>
        <v>0</v>
      </c>
      <c r="K22" s="147" t="e">
        <f t="shared" si="4"/>
        <v>#DIV/0!</v>
      </c>
      <c r="N22" s="108"/>
    </row>
    <row r="23" spans="1:14" x14ac:dyDescent="0.35">
      <c r="A23" s="117" t="s">
        <v>55</v>
      </c>
      <c r="B23" s="143"/>
      <c r="C23" s="107"/>
      <c r="D23" s="107">
        <v>0</v>
      </c>
      <c r="E23" s="107">
        <f t="shared" si="0"/>
        <v>0</v>
      </c>
      <c r="F23" s="107"/>
      <c r="G23" s="107">
        <f t="shared" si="1"/>
        <v>0</v>
      </c>
      <c r="H23" s="98" t="e">
        <f t="shared" si="2"/>
        <v>#DIV/0!</v>
      </c>
      <c r="I23" s="107">
        <v>0</v>
      </c>
      <c r="J23" s="131">
        <f t="shared" si="3"/>
        <v>0</v>
      </c>
      <c r="K23" s="132" t="e">
        <f t="shared" si="4"/>
        <v>#DIV/0!</v>
      </c>
    </row>
    <row r="24" spans="1:14" x14ac:dyDescent="0.35">
      <c r="A24" s="117" t="s">
        <v>94</v>
      </c>
      <c r="B24" s="144"/>
      <c r="C24" s="107"/>
      <c r="D24" s="107">
        <v>0</v>
      </c>
      <c r="E24" s="107">
        <f t="shared" si="0"/>
        <v>0</v>
      </c>
      <c r="F24" s="107"/>
      <c r="G24" s="107">
        <f t="shared" si="1"/>
        <v>0</v>
      </c>
      <c r="H24" s="98" t="e">
        <f t="shared" si="2"/>
        <v>#DIV/0!</v>
      </c>
      <c r="I24" s="107">
        <v>0</v>
      </c>
      <c r="J24" s="107">
        <f t="shared" si="3"/>
        <v>0</v>
      </c>
      <c r="K24" s="125" t="e">
        <f t="shared" si="4"/>
        <v>#DIV/0!</v>
      </c>
    </row>
    <row r="25" spans="1:14" x14ac:dyDescent="0.35">
      <c r="A25" s="117" t="s">
        <v>25</v>
      </c>
      <c r="B25" s="142"/>
      <c r="C25" s="107"/>
      <c r="D25" s="107">
        <v>0</v>
      </c>
      <c r="E25" s="107">
        <f t="shared" si="0"/>
        <v>0</v>
      </c>
      <c r="F25" s="107"/>
      <c r="G25" s="107">
        <f t="shared" si="1"/>
        <v>0</v>
      </c>
      <c r="H25" s="98" t="e">
        <f t="shared" si="2"/>
        <v>#DIV/0!</v>
      </c>
      <c r="I25" s="107">
        <v>0</v>
      </c>
      <c r="J25" s="107">
        <f t="shared" si="3"/>
        <v>0</v>
      </c>
      <c r="K25" s="125" t="e">
        <f t="shared" si="4"/>
        <v>#DIV/0!</v>
      </c>
    </row>
    <row r="26" spans="1:14" x14ac:dyDescent="0.35">
      <c r="A26" s="117" t="s">
        <v>26</v>
      </c>
      <c r="B26" s="144"/>
      <c r="C26" s="107"/>
      <c r="D26" s="107">
        <v>0</v>
      </c>
      <c r="E26" s="107">
        <f t="shared" si="0"/>
        <v>0</v>
      </c>
      <c r="F26" s="107"/>
      <c r="G26" s="107">
        <f t="shared" si="1"/>
        <v>0</v>
      </c>
      <c r="H26" s="98" t="e">
        <f t="shared" si="2"/>
        <v>#DIV/0!</v>
      </c>
      <c r="I26" s="107">
        <v>0</v>
      </c>
      <c r="J26" s="107">
        <f t="shared" si="3"/>
        <v>0</v>
      </c>
      <c r="K26" s="125" t="e">
        <f t="shared" si="4"/>
        <v>#DIV/0!</v>
      </c>
    </row>
    <row r="27" spans="1:14" x14ac:dyDescent="0.35">
      <c r="A27" s="117" t="s">
        <v>63</v>
      </c>
      <c r="B27" s="127"/>
      <c r="C27" s="107"/>
      <c r="D27" s="107">
        <v>0</v>
      </c>
      <c r="E27" s="107">
        <f t="shared" si="0"/>
        <v>0</v>
      </c>
      <c r="F27" s="107"/>
      <c r="G27" s="107">
        <f t="shared" si="1"/>
        <v>0</v>
      </c>
      <c r="H27" s="98" t="e">
        <f t="shared" si="2"/>
        <v>#DIV/0!</v>
      </c>
      <c r="I27" s="107">
        <v>0</v>
      </c>
      <c r="J27" s="107">
        <f t="shared" si="3"/>
        <v>0</v>
      </c>
      <c r="K27" s="125" t="e">
        <f t="shared" si="4"/>
        <v>#DIV/0!</v>
      </c>
    </row>
    <row r="28" spans="1:14" x14ac:dyDescent="0.35">
      <c r="A28" s="121" t="s">
        <v>154</v>
      </c>
      <c r="B28" s="122">
        <f>SUM(B4:B27)</f>
        <v>0</v>
      </c>
      <c r="C28" s="122">
        <f>SUM(C4:C27)</f>
        <v>0</v>
      </c>
      <c r="D28" s="122">
        <f>SUM(D4:D27)</f>
        <v>0</v>
      </c>
      <c r="E28" s="122">
        <f t="shared" si="0"/>
        <v>0</v>
      </c>
      <c r="F28" s="122">
        <f>SUM(F4:F27)</f>
        <v>0</v>
      </c>
      <c r="G28" s="122">
        <f t="shared" si="1"/>
        <v>0</v>
      </c>
      <c r="H28" s="133" t="e">
        <f t="shared" si="2"/>
        <v>#DIV/0!</v>
      </c>
      <c r="I28" s="122">
        <f>SUM(I4:I27)</f>
        <v>0</v>
      </c>
      <c r="J28" s="134">
        <f t="shared" si="3"/>
        <v>0</v>
      </c>
      <c r="K28" s="126" t="e">
        <f t="shared" si="4"/>
        <v>#DIV/0!</v>
      </c>
    </row>
    <row r="29" spans="1:14" x14ac:dyDescent="0.35">
      <c r="L29" s="107"/>
    </row>
  </sheetData>
  <autoFilter ref="A3:N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5BA5-0C57-44D4-BEFA-AAE15BB8B832}">
  <sheetPr>
    <tabColor rgb="FFFF9595"/>
  </sheetPr>
  <dimension ref="A1:K28"/>
  <sheetViews>
    <sheetView zoomScale="80" zoomScaleNormal="80" workbookViewId="0">
      <selection activeCell="M8" sqref="M8"/>
    </sheetView>
  </sheetViews>
  <sheetFormatPr defaultRowHeight="14.5" x14ac:dyDescent="0.35"/>
  <cols>
    <col min="1" max="1" width="20.26953125" style="99" customWidth="1"/>
    <col min="2" max="2" width="17.7265625" style="99" bestFit="1" customWidth="1"/>
    <col min="3" max="3" width="15.26953125" style="99" customWidth="1"/>
    <col min="4" max="4" width="14.1796875" style="99" bestFit="1" customWidth="1"/>
    <col min="5" max="5" width="16.81640625" style="99" customWidth="1"/>
    <col min="6" max="6" width="16.54296875" style="99" customWidth="1"/>
    <col min="7" max="7" width="14.453125" style="99" bestFit="1" customWidth="1"/>
    <col min="8" max="8" width="14.1796875" style="98" customWidth="1"/>
    <col min="9" max="9" width="12.90625" style="99" bestFit="1" customWidth="1"/>
    <col min="10" max="10" width="17.7265625" style="99" bestFit="1" customWidth="1"/>
    <col min="11" max="11" width="12.1796875" style="99" customWidth="1"/>
    <col min="12" max="16384" width="8.7265625" style="99"/>
  </cols>
  <sheetData>
    <row r="1" spans="1:11" x14ac:dyDescent="0.35">
      <c r="A1" s="168"/>
      <c r="B1" s="168"/>
      <c r="C1" s="168"/>
      <c r="D1" s="168"/>
      <c r="E1" s="168"/>
      <c r="F1" s="168"/>
      <c r="G1" s="168"/>
      <c r="H1" s="168"/>
      <c r="I1" s="168"/>
      <c r="J1" s="168"/>
      <c r="K1" s="168"/>
    </row>
    <row r="2" spans="1:11" x14ac:dyDescent="0.35">
      <c r="A2" s="168"/>
      <c r="B2" s="168"/>
      <c r="C2" s="168"/>
      <c r="D2" s="168"/>
      <c r="E2" s="168"/>
      <c r="F2" s="168"/>
      <c r="G2" s="168"/>
      <c r="H2" s="168"/>
      <c r="I2" s="168"/>
      <c r="J2" s="168"/>
      <c r="K2" s="168"/>
    </row>
    <row r="3" spans="1:11" ht="30" customHeight="1" x14ac:dyDescent="0.35">
      <c r="A3" s="128" t="s">
        <v>163</v>
      </c>
      <c r="B3" s="129" t="s">
        <v>161</v>
      </c>
      <c r="C3" s="129" t="s">
        <v>155</v>
      </c>
      <c r="D3" s="129" t="s">
        <v>156</v>
      </c>
      <c r="E3" s="129" t="s">
        <v>162</v>
      </c>
      <c r="F3" s="129" t="s">
        <v>164</v>
      </c>
      <c r="G3" s="129" t="s">
        <v>158</v>
      </c>
      <c r="H3" s="130" t="s">
        <v>159</v>
      </c>
      <c r="I3" s="129" t="s">
        <v>157</v>
      </c>
      <c r="J3" s="128" t="s">
        <v>152</v>
      </c>
      <c r="K3" s="130" t="s">
        <v>160</v>
      </c>
    </row>
    <row r="4" spans="1:11" x14ac:dyDescent="0.35">
      <c r="A4" s="117" t="s">
        <v>9</v>
      </c>
      <c r="B4" s="141">
        <f>SUM('Despesas JAN 2026'!B4,'Despesas FEV 2026'!B4,'Despesas MAR 2026'!B4,'Despesas ABR 2026'!B4,'Despesas MAI 2026'!B4,'Despesas JUN 2026'!B4,'Despesas JUL 2026'!B4,'Despesas AGO 2026'!B4,'Despesas SET 2026'!B4,'Despesas OUT 2026'!B4,'Despesas NOV 2026'!B4,'Despesas DEZ 2026'!B4)</f>
        <v>579438</v>
      </c>
      <c r="C4" s="141">
        <f>SUM('Despesas JAN 2026'!C4,'Despesas FEV 2026'!C4,'Despesas MAR 2026'!C4,'Despesas ABR 2026'!C4,'Despesas MAI 2026'!C4,'Despesas JUN 2026'!C4,'Despesas JUL 2026'!C4,'Despesas AGO 2026'!C4,'Despesas SET 2026'!C4,'Despesas OUT 2026'!C4,'Despesas NOV 2026'!C4,'Despesas DEZ 2026'!C4)</f>
        <v>31582.175999999999</v>
      </c>
      <c r="D4" s="141">
        <f>SUM('Despesas JAN 2026'!D4,'Despesas FEV 2026'!D4,'Despesas MAR 2026'!D4,'Despesas ABR 2026'!D4,'Despesas MAI 2026'!D4,'Despesas JUN 2026'!D4,'Despesas JUL 2026'!D4,'Despesas AGO 2026'!D4,'Despesas SET 2026'!D4,'Despesas OUT 2026'!D4,'Despesas NOV 2026'!D4,'Despesas DEZ 2026'!D4)</f>
        <v>0</v>
      </c>
      <c r="E4" s="107">
        <f>B4-(C4+D4)</f>
        <v>547855.82400000002</v>
      </c>
      <c r="F4" s="107">
        <f>SUM('Despesas JAN 2026'!F4,'Despesas FEV 2026'!F4,'Despesas MAR 2026'!F4,'Despesas ABR 2026'!F4,'Despesas MAI 2026'!F4,'Despesas JUN 2026'!F4,'Despesas JUL 2026'!F4,'Despesas AGO 2026'!F4,'Despesas SET 2026'!F4,'Despesas OUT 2026'!F4,'Despesas NOV 2026'!F4,'Despesas DEZ 2026'!F4)</f>
        <v>257950.73300000001</v>
      </c>
      <c r="G4" s="107">
        <f>E4-F4</f>
        <v>289905.09100000001</v>
      </c>
      <c r="H4" s="98">
        <f>G4/E4</f>
        <v>0.52916310879630257</v>
      </c>
      <c r="I4" s="107">
        <f>SUM('Despesas JAN 2026'!I4,'Despesas FEV 2026'!I4,'Despesas MAR 2026'!I4,'Despesas ABR 2026'!I4,'Despesas MAI 2026'!I4,'Despesas JUN 2026'!I4,'Despesas JUL 2026'!I4,'Despesas AGO 2026'!I4,'Despesas SET 2026'!I4,'Despesas OUT 2026'!I4,'Despesas NOV 2026'!I4,'Despesas DEZ 2026'!I4)</f>
        <v>10228.4</v>
      </c>
      <c r="J4" s="107">
        <f>G4-I4</f>
        <v>279676.69099999999</v>
      </c>
      <c r="K4" s="125">
        <f>J4/E4</f>
        <v>0.51049323334381491</v>
      </c>
    </row>
    <row r="5" spans="1:11" x14ac:dyDescent="0.35">
      <c r="A5" s="117" t="s">
        <v>24</v>
      </c>
      <c r="B5" s="141">
        <f>SUM('Despesas JAN 2026'!B5,'Despesas FEV 2026'!B5,'Despesas MAR 2026'!B5,'Despesas ABR 2026'!B5,'Despesas MAI 2026'!B5,'Despesas JUN 2026'!B5,'Despesas JUL 2026'!B5,'Despesas AGO 2026'!B5,'Despesas SET 2026'!B5,'Despesas OUT 2026'!B5,'Despesas NOV 2026'!B5,'Despesas DEZ 2026'!B5)</f>
        <v>507186</v>
      </c>
      <c r="C5" s="141">
        <f>SUM('Despesas JAN 2026'!C5,'Despesas FEV 2026'!C5,'Despesas MAR 2026'!C5,'Despesas ABR 2026'!C5,'Despesas MAI 2026'!C5,'Despesas JUN 2026'!C5,'Despesas JUL 2026'!C5,'Despesas AGO 2026'!C5,'Despesas SET 2026'!C5,'Despesas OUT 2026'!C5,'Despesas NOV 2026'!C5,'Despesas DEZ 2026'!C5)</f>
        <v>28770.879999999997</v>
      </c>
      <c r="D5" s="141">
        <f>SUM('Despesas JAN 2026'!D5,'Despesas FEV 2026'!D5,'Despesas MAR 2026'!D5,'Despesas ABR 2026'!D5,'Despesas MAI 2026'!D5,'Despesas JUN 2026'!D5,'Despesas JUL 2026'!D5,'Despesas AGO 2026'!D5,'Despesas SET 2026'!D5,'Despesas OUT 2026'!D5,'Despesas NOV 2026'!D5,'Despesas DEZ 2026'!D5)</f>
        <v>0</v>
      </c>
      <c r="E5" s="107">
        <f t="shared" ref="E5:E28" si="0">B5-(C5+D5)</f>
        <v>478415.12</v>
      </c>
      <c r="F5" s="107">
        <f>SUM('Despesas JAN 2026'!F5,'Despesas FEV 2026'!F5,'Despesas MAR 2026'!F5,'Despesas ABR 2026'!F5,'Despesas MAI 2026'!F5,'Despesas JUN 2026'!F5,'Despesas JUL 2026'!F5,'Despesas AGO 2026'!F5,'Despesas SET 2026'!F5,'Despesas OUT 2026'!F5,'Despesas NOV 2026'!F5,'Despesas DEZ 2026'!F5)</f>
        <v>233914.109</v>
      </c>
      <c r="G5" s="107">
        <f t="shared" ref="G5:G28" si="1">E5-F5</f>
        <v>244501.011</v>
      </c>
      <c r="H5" s="98">
        <f t="shared" ref="H5:H28" si="2">G5/E5</f>
        <v>0.51106455623726943</v>
      </c>
      <c r="I5" s="107">
        <f>SUM('Despesas JAN 2026'!I5,'Despesas FEV 2026'!I5,'Despesas MAR 2026'!I5,'Despesas ABR 2026'!I5,'Despesas MAI 2026'!I5,'Despesas JUN 2026'!I5,'Despesas JUL 2026'!I5,'Despesas AGO 2026'!I5,'Despesas SET 2026'!I5,'Despesas OUT 2026'!I5,'Despesas NOV 2026'!I5,'Despesas DEZ 2026'!I5)</f>
        <v>10468.27</v>
      </c>
      <c r="J5" s="107">
        <f t="shared" ref="J5:J28" si="3">G5-I5</f>
        <v>234032.74100000001</v>
      </c>
      <c r="K5" s="125">
        <f t="shared" ref="K5:K28" si="4">J5/E5</f>
        <v>0.48918341251421987</v>
      </c>
    </row>
    <row r="6" spans="1:11" x14ac:dyDescent="0.35">
      <c r="A6" s="117" t="s">
        <v>18</v>
      </c>
      <c r="B6" s="141">
        <f>SUM('Despesas JAN 2026'!B6,'Despesas FEV 2026'!B6,'Despesas MAR 2026'!B6,'Despesas ABR 2026'!B6,'Despesas MAI 2026'!B6,'Despesas JUN 2026'!B6,'Despesas JUL 2026'!B6,'Despesas AGO 2026'!B6,'Despesas SET 2026'!B6,'Despesas OUT 2026'!B6,'Despesas NOV 2026'!B6,'Despesas DEZ 2026'!B6)</f>
        <v>1085749</v>
      </c>
      <c r="C6" s="141">
        <f>SUM('Despesas JAN 2026'!C6,'Despesas FEV 2026'!C6,'Despesas MAR 2026'!C6,'Despesas ABR 2026'!C6,'Despesas MAI 2026'!C6,'Despesas JUN 2026'!C6,'Despesas JUL 2026'!C6,'Despesas AGO 2026'!C6,'Despesas SET 2026'!C6,'Despesas OUT 2026'!C6,'Despesas NOV 2026'!C6,'Despesas DEZ 2026'!C6)</f>
        <v>58463.519999999997</v>
      </c>
      <c r="D6" s="141">
        <f>SUM('Despesas JAN 2026'!D6,'Despesas FEV 2026'!D6,'Despesas MAR 2026'!D6,'Despesas ABR 2026'!D6,'Despesas MAI 2026'!D6,'Despesas JUN 2026'!D6,'Despesas JUL 2026'!D6,'Despesas AGO 2026'!D6,'Despesas SET 2026'!D6,'Despesas OUT 2026'!D6,'Despesas NOV 2026'!D6,'Despesas DEZ 2026'!D6)</f>
        <v>0</v>
      </c>
      <c r="E6" s="107">
        <f t="shared" si="0"/>
        <v>1027285.48</v>
      </c>
      <c r="F6" s="107">
        <f>SUM('Despesas JAN 2026'!F6,'Despesas FEV 2026'!F6,'Despesas MAR 2026'!F6,'Despesas ABR 2026'!F6,'Despesas MAI 2026'!F6,'Despesas JUN 2026'!F6,'Despesas JUL 2026'!F6,'Despesas AGO 2026'!F6,'Despesas SET 2026'!F6,'Despesas OUT 2026'!F6,'Despesas NOV 2026'!F6,'Despesas DEZ 2026'!F6)</f>
        <v>645351.81400000001</v>
      </c>
      <c r="G6" s="107">
        <f t="shared" si="1"/>
        <v>381933.66599999997</v>
      </c>
      <c r="H6" s="98">
        <f t="shared" si="2"/>
        <v>0.3717892187087079</v>
      </c>
      <c r="I6" s="107">
        <f>SUM('Despesas JAN 2026'!I6,'Despesas FEV 2026'!I6,'Despesas MAR 2026'!I6,'Despesas ABR 2026'!I6,'Despesas MAI 2026'!I6,'Despesas JUN 2026'!I6,'Despesas JUL 2026'!I6,'Despesas AGO 2026'!I6,'Despesas SET 2026'!I6,'Despesas OUT 2026'!I6,'Despesas NOV 2026'!I6,'Despesas DEZ 2026'!I6)</f>
        <v>25755.13</v>
      </c>
      <c r="J6" s="107">
        <f t="shared" si="3"/>
        <v>356178.53599999996</v>
      </c>
      <c r="K6" s="125">
        <f t="shared" si="4"/>
        <v>0.34671816445804332</v>
      </c>
    </row>
    <row r="7" spans="1:11" x14ac:dyDescent="0.35">
      <c r="A7" s="117" t="s">
        <v>19</v>
      </c>
      <c r="B7" s="141">
        <f>SUM('Despesas JAN 2026'!B7,'Despesas FEV 2026'!B7,'Despesas MAR 2026'!B7,'Despesas ABR 2026'!B7,'Despesas MAI 2026'!B7,'Despesas JUN 2026'!B7,'Despesas JUL 2026'!B7,'Despesas AGO 2026'!B7,'Despesas SET 2026'!B7,'Despesas OUT 2026'!B7,'Despesas NOV 2026'!B7,'Despesas DEZ 2026'!B7)</f>
        <v>963304</v>
      </c>
      <c r="C7" s="141">
        <f>SUM('Despesas JAN 2026'!C7,'Despesas FEV 2026'!C7,'Despesas MAR 2026'!C7,'Despesas ABR 2026'!C7,'Despesas MAI 2026'!C7,'Despesas JUN 2026'!C7,'Despesas JUL 2026'!C7,'Despesas AGO 2026'!C7,'Despesas SET 2026'!C7,'Despesas OUT 2026'!C7,'Despesas NOV 2026'!C7,'Despesas DEZ 2026'!C7)</f>
        <v>55651.020000000004</v>
      </c>
      <c r="D7" s="141">
        <f>SUM('Despesas JAN 2026'!D7,'Despesas FEV 2026'!D7,'Despesas MAR 2026'!D7,'Despesas ABR 2026'!D7,'Despesas MAI 2026'!D7,'Despesas JUN 2026'!D7,'Despesas JUL 2026'!D7,'Despesas AGO 2026'!D7,'Despesas SET 2026'!D7,'Despesas OUT 2026'!D7,'Despesas NOV 2026'!D7,'Despesas DEZ 2026'!D7)</f>
        <v>0</v>
      </c>
      <c r="E7" s="107">
        <f t="shared" si="0"/>
        <v>907652.98</v>
      </c>
      <c r="F7" s="107">
        <f>SUM('Despesas JAN 2026'!F7,'Despesas FEV 2026'!F7,'Despesas MAR 2026'!F7,'Despesas ABR 2026'!F7,'Despesas MAI 2026'!F7,'Despesas JUN 2026'!F7,'Despesas JUL 2026'!F7,'Despesas AGO 2026'!F7,'Despesas SET 2026'!F7,'Despesas OUT 2026'!F7,'Despesas NOV 2026'!F7,'Despesas DEZ 2026'!F7)</f>
        <v>531881.27499999991</v>
      </c>
      <c r="G7" s="107">
        <f t="shared" si="1"/>
        <v>375771.70500000007</v>
      </c>
      <c r="H7" s="98">
        <f t="shared" si="2"/>
        <v>0.41400371428296318</v>
      </c>
      <c r="I7" s="107">
        <f>SUM('Despesas JAN 2026'!I7,'Despesas FEV 2026'!I7,'Despesas MAR 2026'!I7,'Despesas ABR 2026'!I7,'Despesas MAI 2026'!I7,'Despesas JUN 2026'!I7,'Despesas JUL 2026'!I7,'Despesas AGO 2026'!I7,'Despesas SET 2026'!I7,'Despesas OUT 2026'!I7,'Despesas NOV 2026'!I7,'Despesas DEZ 2026'!I7)</f>
        <v>23257.02</v>
      </c>
      <c r="J7" s="107">
        <f t="shared" si="3"/>
        <v>352514.68500000006</v>
      </c>
      <c r="K7" s="125">
        <f t="shared" si="4"/>
        <v>0.38838046342336702</v>
      </c>
    </row>
    <row r="8" spans="1:11" x14ac:dyDescent="0.35">
      <c r="A8" s="117" t="s">
        <v>20</v>
      </c>
      <c r="B8" s="141">
        <f>SUM('Despesas JAN 2026'!B8,'Despesas FEV 2026'!B8,'Despesas MAR 2026'!B8,'Despesas ABR 2026'!B8,'Despesas MAI 2026'!B8,'Despesas JUN 2026'!B8,'Despesas JUL 2026'!B8,'Despesas AGO 2026'!B8,'Despesas SET 2026'!B8,'Despesas OUT 2026'!B8,'Despesas NOV 2026'!B8,'Despesas DEZ 2026'!B8)</f>
        <v>866232</v>
      </c>
      <c r="C8" s="141">
        <f>SUM('Despesas JAN 2026'!C8,'Despesas FEV 2026'!C8,'Despesas MAR 2026'!C8,'Despesas ABR 2026'!C8,'Despesas MAI 2026'!C8,'Despesas JUN 2026'!C8,'Despesas JUL 2026'!C8,'Despesas AGO 2026'!C8,'Despesas SET 2026'!C8,'Despesas OUT 2026'!C8,'Despesas NOV 2026'!C8,'Despesas DEZ 2026'!C8)</f>
        <v>57789.563999999998</v>
      </c>
      <c r="D8" s="141">
        <f>SUM('Despesas JAN 2026'!D8,'Despesas FEV 2026'!D8,'Despesas MAR 2026'!D8,'Despesas ABR 2026'!D8,'Despesas MAI 2026'!D8,'Despesas JUN 2026'!D8,'Despesas JUL 2026'!D8,'Despesas AGO 2026'!D8,'Despesas SET 2026'!D8,'Despesas OUT 2026'!D8,'Despesas NOV 2026'!D8,'Despesas DEZ 2026'!D8)</f>
        <v>0</v>
      </c>
      <c r="E8" s="107">
        <f t="shared" si="0"/>
        <v>808442.43599999999</v>
      </c>
      <c r="F8" s="107">
        <f>SUM('Despesas JAN 2026'!F8,'Despesas FEV 2026'!F8,'Despesas MAR 2026'!F8,'Despesas ABR 2026'!F8,'Despesas MAI 2026'!F8,'Despesas JUN 2026'!F8,'Despesas JUL 2026'!F8,'Despesas AGO 2026'!F8,'Despesas SET 2026'!F8,'Despesas OUT 2026'!F8,'Despesas NOV 2026'!F8,'Despesas DEZ 2026'!F8)</f>
        <v>598274.65</v>
      </c>
      <c r="G8" s="107">
        <f t="shared" si="1"/>
        <v>210167.78599999996</v>
      </c>
      <c r="H8" s="98">
        <f t="shared" si="2"/>
        <v>0.25996629647481784</v>
      </c>
      <c r="I8" s="107">
        <f>SUM('Despesas JAN 2026'!I8,'Despesas FEV 2026'!I8,'Despesas MAR 2026'!I8,'Despesas ABR 2026'!I8,'Despesas MAI 2026'!I8,'Despesas JUN 2026'!I8,'Despesas JUL 2026'!I8,'Despesas AGO 2026'!I8,'Despesas SET 2026'!I8,'Despesas OUT 2026'!I8,'Despesas NOV 2026'!I8,'Despesas DEZ 2026'!I8)</f>
        <v>20049.32</v>
      </c>
      <c r="J8" s="107">
        <f t="shared" si="3"/>
        <v>190118.46599999996</v>
      </c>
      <c r="K8" s="125">
        <f t="shared" si="4"/>
        <v>0.23516636130664467</v>
      </c>
    </row>
    <row r="9" spans="1:11" x14ac:dyDescent="0.35">
      <c r="A9" s="117" t="s">
        <v>83</v>
      </c>
      <c r="B9" s="141">
        <f>SUM('Despesas JAN 2026'!B9,'Despesas FEV 2026'!B9,'Despesas MAR 2026'!B9,'Despesas ABR 2026'!B9,'Despesas MAI 2026'!B9,'Despesas JUN 2026'!B9,'Despesas JUL 2026'!B9,'Despesas AGO 2026'!B9,'Despesas SET 2026'!B9,'Despesas OUT 2026'!B9,'Despesas NOV 2026'!B9,'Despesas DEZ 2026'!B9)</f>
        <v>430274</v>
      </c>
      <c r="C9" s="141">
        <f>SUM('Despesas JAN 2026'!C9,'Despesas FEV 2026'!C9,'Despesas MAR 2026'!C9,'Despesas ABR 2026'!C9,'Despesas MAI 2026'!C9,'Despesas JUN 2026'!C9,'Despesas JUL 2026'!C9,'Despesas AGO 2026'!C9,'Despesas SET 2026'!C9,'Despesas OUT 2026'!C9,'Despesas NOV 2026'!C9,'Despesas DEZ 2026'!C9)</f>
        <v>29025.902999999998</v>
      </c>
      <c r="D9" s="141">
        <f>SUM('Despesas JAN 2026'!D9,'Despesas FEV 2026'!D9,'Despesas MAR 2026'!D9,'Despesas ABR 2026'!D9,'Despesas MAI 2026'!D9,'Despesas JUN 2026'!D9,'Despesas JUL 2026'!D9,'Despesas AGO 2026'!D9,'Despesas SET 2026'!D9,'Despesas OUT 2026'!D9,'Despesas NOV 2026'!D9,'Despesas DEZ 2026'!D9)</f>
        <v>0</v>
      </c>
      <c r="E9" s="107">
        <f t="shared" si="0"/>
        <v>401248.09700000001</v>
      </c>
      <c r="F9" s="107">
        <f>SUM('Despesas JAN 2026'!F9,'Despesas FEV 2026'!F9,'Despesas MAR 2026'!F9,'Despesas ABR 2026'!F9,'Despesas MAI 2026'!F9,'Despesas JUN 2026'!F9,'Despesas JUL 2026'!F9,'Despesas AGO 2026'!F9,'Despesas SET 2026'!F9,'Despesas OUT 2026'!F9,'Despesas NOV 2026'!F9,'Despesas DEZ 2026'!F9)</f>
        <v>326602.77600000001</v>
      </c>
      <c r="G9" s="107">
        <f t="shared" si="1"/>
        <v>74645.320999999996</v>
      </c>
      <c r="H9" s="98">
        <f t="shared" si="2"/>
        <v>0.18603283494201842</v>
      </c>
      <c r="I9" s="107">
        <f>SUM('Despesas JAN 2026'!I9,'Despesas FEV 2026'!I9,'Despesas MAR 2026'!I9,'Despesas ABR 2026'!I9,'Despesas MAI 2026'!I9,'Despesas JUN 2026'!I9,'Despesas JUL 2026'!I9,'Despesas AGO 2026'!I9,'Despesas SET 2026'!I9,'Despesas OUT 2026'!I9,'Despesas NOV 2026'!I9,'Despesas DEZ 2026'!I9)</f>
        <v>9643.7199999999993</v>
      </c>
      <c r="J9" s="107">
        <f t="shared" si="3"/>
        <v>65001.600999999995</v>
      </c>
      <c r="K9" s="125">
        <f t="shared" si="4"/>
        <v>0.16199852780859417</v>
      </c>
    </row>
    <row r="10" spans="1:11" x14ac:dyDescent="0.35">
      <c r="A10" s="117" t="s">
        <v>21</v>
      </c>
      <c r="B10" s="141">
        <f>SUM('Despesas JAN 2026'!B10,'Despesas FEV 2026'!B10,'Despesas MAR 2026'!B10,'Despesas ABR 2026'!B10,'Despesas MAI 2026'!B10,'Despesas JUN 2026'!B10,'Despesas JUL 2026'!B10,'Despesas AGO 2026'!B10,'Despesas SET 2026'!B10,'Despesas OUT 2026'!B10,'Despesas NOV 2026'!B10,'Despesas DEZ 2026'!B10)</f>
        <v>539665.57999999996</v>
      </c>
      <c r="C10" s="141">
        <f>SUM('Despesas JAN 2026'!C10,'Despesas FEV 2026'!C10,'Despesas MAR 2026'!C10,'Despesas ABR 2026'!C10,'Despesas MAI 2026'!C10,'Despesas JUN 2026'!C10,'Despesas JUL 2026'!C10,'Despesas AGO 2026'!C10,'Despesas SET 2026'!C10,'Despesas OUT 2026'!C10,'Despesas NOV 2026'!C10,'Despesas DEZ 2026'!C10)</f>
        <v>34310.320999999996</v>
      </c>
      <c r="D10" s="141">
        <f>SUM('Despesas JAN 2026'!D10,'Despesas FEV 2026'!D10,'Despesas MAR 2026'!D10,'Despesas ABR 2026'!D10,'Despesas MAI 2026'!D10,'Despesas JUN 2026'!D10,'Despesas JUL 2026'!D10,'Despesas AGO 2026'!D10,'Despesas SET 2026'!D10,'Despesas OUT 2026'!D10,'Despesas NOV 2026'!D10,'Despesas DEZ 2026'!D10)</f>
        <v>0</v>
      </c>
      <c r="E10" s="107">
        <f t="shared" si="0"/>
        <v>505355.25899999996</v>
      </c>
      <c r="F10" s="107">
        <f>SUM('Despesas JAN 2026'!F10,'Despesas FEV 2026'!F10,'Despesas MAR 2026'!F10,'Despesas ABR 2026'!F10,'Despesas MAI 2026'!F10,'Despesas JUN 2026'!F10,'Despesas JUL 2026'!F10,'Despesas AGO 2026'!F10,'Despesas SET 2026'!F10,'Despesas OUT 2026'!F10,'Despesas NOV 2026'!F10,'Despesas DEZ 2026'!F10)</f>
        <v>431427.30299999996</v>
      </c>
      <c r="G10" s="107">
        <f t="shared" si="1"/>
        <v>73927.956000000006</v>
      </c>
      <c r="H10" s="98">
        <f t="shared" si="2"/>
        <v>0.14628908017359726</v>
      </c>
      <c r="I10" s="107">
        <f>SUM('Despesas JAN 2026'!I10,'Despesas FEV 2026'!I10,'Despesas MAR 2026'!I10,'Despesas ABR 2026'!I10,'Despesas MAI 2026'!I10,'Despesas JUN 2026'!I10,'Despesas JUL 2026'!I10,'Despesas AGO 2026'!I10,'Despesas SET 2026'!I10,'Despesas OUT 2026'!I10,'Despesas NOV 2026'!I10,'Despesas DEZ 2026'!I10)</f>
        <v>8674.25</v>
      </c>
      <c r="J10" s="107">
        <f t="shared" si="3"/>
        <v>65253.706000000006</v>
      </c>
      <c r="K10" s="125">
        <f t="shared" si="4"/>
        <v>0.12912442254805942</v>
      </c>
    </row>
    <row r="11" spans="1:11" x14ac:dyDescent="0.35">
      <c r="A11" s="117" t="s">
        <v>73</v>
      </c>
      <c r="B11" s="141">
        <f>SUM('Despesas JAN 2026'!B11,'Despesas FEV 2026'!B11,'Despesas MAR 2026'!B11,'Despesas ABR 2026'!B11,'Despesas MAI 2026'!B11,'Despesas JUN 2026'!B11,'Despesas JUL 2026'!B11,'Despesas AGO 2026'!B11,'Despesas SET 2026'!B11,'Despesas OUT 2026'!B11,'Despesas NOV 2026'!B11,'Despesas DEZ 2026'!B11)</f>
        <v>112510</v>
      </c>
      <c r="C11" s="141">
        <f>SUM('Despesas JAN 2026'!C11,'Despesas FEV 2026'!C11,'Despesas MAR 2026'!C11,'Despesas ABR 2026'!C11,'Despesas MAI 2026'!C11,'Despesas JUN 2026'!C11,'Despesas JUL 2026'!C11,'Despesas AGO 2026'!C11,'Despesas SET 2026'!C11,'Despesas OUT 2026'!C11,'Despesas NOV 2026'!C11,'Despesas DEZ 2026'!C11)</f>
        <v>16400.27</v>
      </c>
      <c r="D11" s="141">
        <f>SUM('Despesas JAN 2026'!D11,'Despesas FEV 2026'!D11,'Despesas MAR 2026'!D11,'Despesas ABR 2026'!D11,'Despesas MAI 2026'!D11,'Despesas JUN 2026'!D11,'Despesas JUL 2026'!D11,'Despesas AGO 2026'!D11,'Despesas SET 2026'!D11,'Despesas OUT 2026'!D11,'Despesas NOV 2026'!D11,'Despesas DEZ 2026'!D11)</f>
        <v>0</v>
      </c>
      <c r="E11" s="107">
        <f t="shared" si="0"/>
        <v>96109.73</v>
      </c>
      <c r="F11" s="107">
        <f>SUM('Despesas JAN 2026'!F11,'Despesas FEV 2026'!F11,'Despesas MAR 2026'!F11,'Despesas ABR 2026'!F11,'Despesas MAI 2026'!F11,'Despesas JUN 2026'!F11,'Despesas JUL 2026'!F11,'Despesas AGO 2026'!F11,'Despesas SET 2026'!F11,'Despesas OUT 2026'!F11,'Despesas NOV 2026'!F11,'Despesas DEZ 2026'!F11)</f>
        <v>187897.087</v>
      </c>
      <c r="G11" s="107">
        <f t="shared" si="1"/>
        <v>-91787.357000000004</v>
      </c>
      <c r="H11" s="98">
        <f t="shared" si="2"/>
        <v>-0.95502668668406421</v>
      </c>
      <c r="I11" s="107">
        <f>SUM('Despesas JAN 2026'!I11,'Despesas FEV 2026'!I11,'Despesas MAR 2026'!I11,'Despesas ABR 2026'!I11,'Despesas MAI 2026'!I11,'Despesas JUN 2026'!I11,'Despesas JUL 2026'!I11,'Despesas AGO 2026'!I11,'Despesas SET 2026'!I11,'Despesas OUT 2026'!I11,'Despesas NOV 2026'!I11,'Despesas DEZ 2026'!I11)</f>
        <v>12706.39</v>
      </c>
      <c r="J11" s="131">
        <f t="shared" si="3"/>
        <v>-104493.747</v>
      </c>
      <c r="K11" s="132">
        <f t="shared" si="4"/>
        <v>-1.0872338003654782</v>
      </c>
    </row>
    <row r="12" spans="1:11" x14ac:dyDescent="0.35">
      <c r="A12" s="117" t="s">
        <v>62</v>
      </c>
      <c r="B12" s="141">
        <f>SUM('Despesas JAN 2026'!B12,'Despesas FEV 2026'!B12,'Despesas MAR 2026'!B12,'Despesas ABR 2026'!B12,'Despesas MAI 2026'!B12,'Despesas JUN 2026'!B12,'Despesas JUL 2026'!B12,'Despesas AGO 2026'!B12,'Despesas SET 2026'!B12,'Despesas OUT 2026'!B12,'Despesas NOV 2026'!B12,'Despesas DEZ 2026'!B12)</f>
        <v>98428</v>
      </c>
      <c r="C12" s="141">
        <f>SUM('Despesas JAN 2026'!C12,'Despesas FEV 2026'!C12,'Despesas MAR 2026'!C12,'Despesas ABR 2026'!C12,'Despesas MAI 2026'!C12,'Despesas JUN 2026'!C12,'Despesas JUL 2026'!C12,'Despesas AGO 2026'!C12,'Despesas SET 2026'!C12,'Despesas OUT 2026'!C12,'Despesas NOV 2026'!C12,'Despesas DEZ 2026'!C12)</f>
        <v>7779.0589999999993</v>
      </c>
      <c r="D12" s="141">
        <f>SUM('Despesas JAN 2026'!D12,'Despesas FEV 2026'!D12,'Despesas MAR 2026'!D12,'Despesas ABR 2026'!D12,'Despesas MAI 2026'!D12,'Despesas JUN 2026'!D12,'Despesas JUL 2026'!D12,'Despesas AGO 2026'!D12,'Despesas SET 2026'!D12,'Despesas OUT 2026'!D12,'Despesas NOV 2026'!D12,'Despesas DEZ 2026'!D12)</f>
        <v>0</v>
      </c>
      <c r="E12" s="107">
        <f t="shared" si="0"/>
        <v>90648.941000000006</v>
      </c>
      <c r="F12" s="107">
        <f>SUM('Despesas JAN 2026'!F12,'Despesas FEV 2026'!F12,'Despesas MAR 2026'!F12,'Despesas ABR 2026'!F12,'Despesas MAI 2026'!F12,'Despesas JUN 2026'!F12,'Despesas JUL 2026'!F12,'Despesas AGO 2026'!F12,'Despesas SET 2026'!F12,'Despesas OUT 2026'!F12,'Despesas NOV 2026'!F12,'Despesas DEZ 2026'!F12)</f>
        <v>205730.867</v>
      </c>
      <c r="G12" s="107">
        <f t="shared" si="1"/>
        <v>-115081.92599999999</v>
      </c>
      <c r="H12" s="148" t="s">
        <v>167</v>
      </c>
      <c r="I12" s="107">
        <f>SUM('Despesas JAN 2026'!I12,'Despesas FEV 2026'!I12,'Despesas MAR 2026'!I12,'Despesas ABR 2026'!I12,'Despesas MAI 2026'!I12,'Despesas JUN 2026'!I12,'Despesas JUL 2026'!I12,'Despesas AGO 2026'!I12,'Despesas SET 2026'!I12,'Despesas OUT 2026'!I12,'Despesas NOV 2026'!I12,'Despesas DEZ 2026'!I12)</f>
        <v>2826.33</v>
      </c>
      <c r="J12" s="131">
        <f t="shared" si="3"/>
        <v>-117908.25599999999</v>
      </c>
      <c r="K12" s="132" t="s">
        <v>167</v>
      </c>
    </row>
    <row r="13" spans="1:11" x14ac:dyDescent="0.35">
      <c r="A13" s="117" t="s">
        <v>22</v>
      </c>
      <c r="B13" s="141">
        <f>SUM('Despesas JAN 2026'!B13,'Despesas FEV 2026'!B13,'Despesas MAR 2026'!B13,'Despesas ABR 2026'!B13,'Despesas MAI 2026'!B13,'Despesas JUN 2026'!B13,'Despesas JUL 2026'!B13,'Despesas AGO 2026'!B13,'Despesas SET 2026'!B13,'Despesas OUT 2026'!B13,'Despesas NOV 2026'!B13,'Despesas DEZ 2026'!B13)</f>
        <v>695080</v>
      </c>
      <c r="C13" s="141">
        <f>SUM('Despesas JAN 2026'!C13,'Despesas FEV 2026'!C13,'Despesas MAR 2026'!C13,'Despesas ABR 2026'!C13,'Despesas MAI 2026'!C13,'Despesas JUN 2026'!C13,'Despesas JUL 2026'!C13,'Despesas AGO 2026'!C13,'Despesas SET 2026'!C13,'Despesas OUT 2026'!C13,'Despesas NOV 2026'!C13,'Despesas DEZ 2026'!C13)</f>
        <v>42714.1</v>
      </c>
      <c r="D13" s="141">
        <f>SUM('Despesas JAN 2026'!D13,'Despesas FEV 2026'!D13,'Despesas MAR 2026'!D13,'Despesas ABR 2026'!D13,'Despesas MAI 2026'!D13,'Despesas JUN 2026'!D13,'Despesas JUL 2026'!D13,'Despesas AGO 2026'!D13,'Despesas SET 2026'!D13,'Despesas OUT 2026'!D13,'Despesas NOV 2026'!D13,'Despesas DEZ 2026'!D13)</f>
        <v>0</v>
      </c>
      <c r="E13" s="107">
        <f t="shared" si="0"/>
        <v>652365.9</v>
      </c>
      <c r="F13" s="107">
        <f>SUM('Despesas JAN 2026'!F13,'Despesas FEV 2026'!F13,'Despesas MAR 2026'!F13,'Despesas ABR 2026'!F13,'Despesas MAI 2026'!F13,'Despesas JUN 2026'!F13,'Despesas JUL 2026'!F13,'Despesas AGO 2026'!F13,'Despesas SET 2026'!F13,'Despesas OUT 2026'!F13,'Despesas NOV 2026'!F13,'Despesas DEZ 2026'!F13)</f>
        <v>499506.07900000003</v>
      </c>
      <c r="G13" s="107">
        <f t="shared" si="1"/>
        <v>152859.821</v>
      </c>
      <c r="H13" s="98">
        <f t="shared" si="2"/>
        <v>0.23431608089877168</v>
      </c>
      <c r="I13" s="107">
        <f>SUM('Despesas JAN 2026'!I13,'Despesas FEV 2026'!I13,'Despesas MAR 2026'!I13,'Despesas ABR 2026'!I13,'Despesas MAI 2026'!I13,'Despesas JUN 2026'!I13,'Despesas JUL 2026'!I13,'Despesas AGO 2026'!I13,'Despesas SET 2026'!I13,'Despesas OUT 2026'!I13,'Despesas NOV 2026'!I13,'Despesas DEZ 2026'!I13)</f>
        <v>19344.900000000001</v>
      </c>
      <c r="J13" s="107">
        <f t="shared" si="3"/>
        <v>133514.921</v>
      </c>
      <c r="K13" s="125">
        <f t="shared" si="4"/>
        <v>0.20466263028156437</v>
      </c>
    </row>
    <row r="14" spans="1:11" x14ac:dyDescent="0.35">
      <c r="A14" s="117" t="s">
        <v>23</v>
      </c>
      <c r="B14" s="141">
        <f>SUM('Despesas JAN 2026'!B14,'Despesas FEV 2026'!B14,'Despesas MAR 2026'!B14,'Despesas ABR 2026'!B14,'Despesas MAI 2026'!B14,'Despesas JUN 2026'!B14,'Despesas JUL 2026'!B14,'Despesas AGO 2026'!B14,'Despesas SET 2026'!B14,'Despesas OUT 2026'!B14,'Despesas NOV 2026'!B14,'Despesas DEZ 2026'!B14)</f>
        <v>447182</v>
      </c>
      <c r="C14" s="141">
        <f>SUM('Despesas JAN 2026'!C14,'Despesas FEV 2026'!C14,'Despesas MAR 2026'!C14,'Despesas ABR 2026'!C14,'Despesas MAI 2026'!C14,'Despesas JUN 2026'!C14,'Despesas JUL 2026'!C14,'Despesas AGO 2026'!C14,'Despesas SET 2026'!C14,'Despesas OUT 2026'!C14,'Despesas NOV 2026'!C14,'Despesas DEZ 2026'!C14)</f>
        <v>24619.474999999999</v>
      </c>
      <c r="D14" s="141">
        <f>SUM('Despesas JAN 2026'!D14,'Despesas FEV 2026'!D14,'Despesas MAR 2026'!D14,'Despesas ABR 2026'!D14,'Despesas MAI 2026'!D14,'Despesas JUN 2026'!D14,'Despesas JUL 2026'!D14,'Despesas AGO 2026'!D14,'Despesas SET 2026'!D14,'Despesas OUT 2026'!D14,'Despesas NOV 2026'!D14,'Despesas DEZ 2026'!D14)</f>
        <v>0</v>
      </c>
      <c r="E14" s="107">
        <f t="shared" si="0"/>
        <v>422562.52500000002</v>
      </c>
      <c r="F14" s="107">
        <f>SUM('Despesas JAN 2026'!F14,'Despesas FEV 2026'!F14,'Despesas MAR 2026'!F14,'Despesas ABR 2026'!F14,'Despesas MAI 2026'!F14,'Despesas JUN 2026'!F14,'Despesas JUL 2026'!F14,'Despesas AGO 2026'!F14,'Despesas SET 2026'!F14,'Despesas OUT 2026'!F14,'Despesas NOV 2026'!F14,'Despesas DEZ 2026'!F14)</f>
        <v>220669.68900000001</v>
      </c>
      <c r="G14" s="107">
        <f t="shared" si="1"/>
        <v>201892.83600000001</v>
      </c>
      <c r="H14" s="98">
        <f t="shared" si="2"/>
        <v>0.47778216016671143</v>
      </c>
      <c r="I14" s="107">
        <f>SUM('Despesas JAN 2026'!I14,'Despesas FEV 2026'!I14,'Despesas MAR 2026'!I14,'Despesas ABR 2026'!I14,'Despesas MAI 2026'!I14,'Despesas JUN 2026'!I14,'Despesas JUL 2026'!I14,'Despesas AGO 2026'!I14,'Despesas SET 2026'!I14,'Despesas OUT 2026'!I14,'Despesas NOV 2026'!I14,'Despesas DEZ 2026'!I14)</f>
        <v>11404.5</v>
      </c>
      <c r="J14" s="107">
        <f t="shared" si="3"/>
        <v>190488.33600000001</v>
      </c>
      <c r="K14" s="125">
        <f t="shared" si="4"/>
        <v>0.45079325479702681</v>
      </c>
    </row>
    <row r="15" spans="1:11" x14ac:dyDescent="0.35">
      <c r="A15" s="117" t="s">
        <v>37</v>
      </c>
      <c r="B15" s="141">
        <f>SUM('Despesas JAN 2026'!B15,'Despesas FEV 2026'!B15,'Despesas MAR 2026'!B15,'Despesas ABR 2026'!B15,'Despesas MAI 2026'!B15,'Despesas JUN 2026'!B15,'Despesas JUL 2026'!B15,'Despesas AGO 2026'!B15,'Despesas SET 2026'!B15,'Despesas OUT 2026'!B15,'Despesas NOV 2026'!B15,'Despesas DEZ 2026'!B15)</f>
        <v>1138954</v>
      </c>
      <c r="C15" s="141">
        <f>SUM('Despesas JAN 2026'!C15,'Despesas FEV 2026'!C15,'Despesas MAR 2026'!C15,'Despesas ABR 2026'!C15,'Despesas MAI 2026'!C15,'Despesas JUN 2026'!C15,'Despesas JUL 2026'!C15,'Despesas AGO 2026'!C15,'Despesas SET 2026'!C15,'Despesas OUT 2026'!C15,'Despesas NOV 2026'!C15,'Despesas DEZ 2026'!C15)</f>
        <v>41377.906000000003</v>
      </c>
      <c r="D15" s="141">
        <f>SUM('Despesas JAN 2026'!D15,'Despesas FEV 2026'!D15,'Despesas MAR 2026'!D15,'Despesas ABR 2026'!D15,'Despesas MAI 2026'!D15,'Despesas JUN 2026'!D15,'Despesas JUL 2026'!D15,'Despesas AGO 2026'!D15,'Despesas SET 2026'!D15,'Despesas OUT 2026'!D15,'Despesas NOV 2026'!D15,'Despesas DEZ 2026'!D15)</f>
        <v>0</v>
      </c>
      <c r="E15" s="107">
        <f t="shared" si="0"/>
        <v>1097576.094</v>
      </c>
      <c r="F15" s="107">
        <f>SUM('Despesas JAN 2026'!F15,'Despesas FEV 2026'!F15,'Despesas MAR 2026'!F15,'Despesas ABR 2026'!F15,'Despesas MAI 2026'!F15,'Despesas JUN 2026'!F15,'Despesas JUL 2026'!F15,'Despesas AGO 2026'!F15,'Despesas SET 2026'!F15,'Despesas OUT 2026'!F15,'Despesas NOV 2026'!F15,'Despesas DEZ 2026'!F15)</f>
        <v>886199.67699999991</v>
      </c>
      <c r="G15" s="107">
        <f t="shared" si="1"/>
        <v>211376.41700000013</v>
      </c>
      <c r="H15" s="98">
        <f t="shared" si="2"/>
        <v>0.19258474939050571</v>
      </c>
      <c r="I15" s="107">
        <f>SUM('Despesas JAN 2026'!I15,'Despesas FEV 2026'!I15,'Despesas MAR 2026'!I15,'Despesas ABR 2026'!I15,'Despesas MAI 2026'!I15,'Despesas JUN 2026'!I15,'Despesas JUL 2026'!I15,'Despesas AGO 2026'!I15,'Despesas SET 2026'!I15,'Despesas OUT 2026'!I15,'Despesas NOV 2026'!I15,'Despesas DEZ 2026'!I15)</f>
        <v>18285.400000000001</v>
      </c>
      <c r="J15" s="107">
        <f t="shared" si="3"/>
        <v>193091.01700000014</v>
      </c>
      <c r="K15" s="125">
        <f t="shared" si="4"/>
        <v>0.17592494776038747</v>
      </c>
    </row>
    <row r="16" spans="1:11" x14ac:dyDescent="0.35">
      <c r="A16" s="117" t="s">
        <v>81</v>
      </c>
      <c r="B16" s="141">
        <f>SUM('Despesas JAN 2026'!B16,'Despesas FEV 2026'!B16,'Despesas MAR 2026'!B16,'Despesas ABR 2026'!B16,'Despesas MAI 2026'!B16,'Despesas JUN 2026'!B16,'Despesas JUL 2026'!B16,'Despesas AGO 2026'!B16,'Despesas SET 2026'!B16,'Despesas OUT 2026'!B16,'Despesas NOV 2026'!B16,'Despesas DEZ 2026'!B16)</f>
        <v>318260</v>
      </c>
      <c r="C16" s="141">
        <f>SUM('Despesas JAN 2026'!C16,'Despesas FEV 2026'!C16,'Despesas MAR 2026'!C16,'Despesas ABR 2026'!C16,'Despesas MAI 2026'!C16,'Despesas JUN 2026'!C16,'Despesas JUL 2026'!C16,'Despesas AGO 2026'!C16,'Despesas SET 2026'!C16,'Despesas OUT 2026'!C16,'Despesas NOV 2026'!C16,'Despesas DEZ 2026'!C16)</f>
        <v>13307.849999999999</v>
      </c>
      <c r="D16" s="141">
        <f>SUM('Despesas JAN 2026'!D16,'Despesas FEV 2026'!D16,'Despesas MAR 2026'!D16,'Despesas ABR 2026'!D16,'Despesas MAI 2026'!D16,'Despesas JUN 2026'!D16,'Despesas JUL 2026'!D16,'Despesas AGO 2026'!D16,'Despesas SET 2026'!D16,'Despesas OUT 2026'!D16,'Despesas NOV 2026'!D16,'Despesas DEZ 2026'!D16)</f>
        <v>0</v>
      </c>
      <c r="E16" s="107">
        <f t="shared" si="0"/>
        <v>304952.15000000002</v>
      </c>
      <c r="F16" s="107">
        <f>SUM('Despesas JAN 2026'!F16,'Despesas FEV 2026'!F16,'Despesas MAR 2026'!F16,'Despesas ABR 2026'!F16,'Despesas MAI 2026'!F16,'Despesas JUN 2026'!F16,'Despesas JUL 2026'!F16,'Despesas AGO 2026'!F16,'Despesas SET 2026'!F16,'Despesas OUT 2026'!F16,'Despesas NOV 2026'!F16,'Despesas DEZ 2026'!F16)</f>
        <v>190499.18400000001</v>
      </c>
      <c r="G16" s="107">
        <f t="shared" si="1"/>
        <v>114452.96600000001</v>
      </c>
      <c r="H16" s="98">
        <f t="shared" si="2"/>
        <v>0.3753145075383138</v>
      </c>
      <c r="I16" s="107">
        <f>SUM('Despesas JAN 2026'!I16,'Despesas FEV 2026'!I16,'Despesas MAR 2026'!I16,'Despesas ABR 2026'!I16,'Despesas MAI 2026'!I16,'Despesas JUN 2026'!I16,'Despesas JUL 2026'!I16,'Despesas AGO 2026'!I16,'Despesas SET 2026'!I16,'Despesas OUT 2026'!I16,'Despesas NOV 2026'!I16,'Despesas DEZ 2026'!I16)</f>
        <v>8992.84</v>
      </c>
      <c r="J16" s="107">
        <f t="shared" si="3"/>
        <v>105460.12600000002</v>
      </c>
      <c r="K16" s="125">
        <f t="shared" si="4"/>
        <v>0.34582515978326439</v>
      </c>
    </row>
    <row r="17" spans="1:11" x14ac:dyDescent="0.35">
      <c r="A17" s="117" t="s">
        <v>87</v>
      </c>
      <c r="B17" s="141">
        <f>SUM('Despesas JAN 2026'!B17,'Despesas FEV 2026'!B17,'Despesas MAR 2026'!B17,'Despesas ABR 2026'!B17,'Despesas MAI 2026'!B17,'Despesas JUN 2026'!B17,'Despesas JUL 2026'!B17,'Despesas AGO 2026'!B17,'Despesas SET 2026'!B17,'Despesas OUT 2026'!B17,'Despesas NOV 2026'!B17,'Despesas DEZ 2026'!B17)</f>
        <v>0</v>
      </c>
      <c r="C17" s="141">
        <f>SUM('Despesas JAN 2026'!C17,'Despesas FEV 2026'!C17,'Despesas MAR 2026'!C17,'Despesas ABR 2026'!C17,'Despesas MAI 2026'!C17,'Despesas JUN 2026'!C17,'Despesas JUL 2026'!C17,'Despesas AGO 2026'!C17,'Despesas SET 2026'!C17,'Despesas OUT 2026'!C17,'Despesas NOV 2026'!C17,'Despesas DEZ 2026'!C17)</f>
        <v>0</v>
      </c>
      <c r="D17" s="141">
        <f>SUM('Despesas JAN 2026'!D17,'Despesas FEV 2026'!D17,'Despesas MAR 2026'!D17,'Despesas ABR 2026'!D17,'Despesas MAI 2026'!D17,'Despesas JUN 2026'!D17,'Despesas JUL 2026'!D17,'Despesas AGO 2026'!D17,'Despesas SET 2026'!D17,'Despesas OUT 2026'!D17,'Despesas NOV 2026'!D17,'Despesas DEZ 2026'!D17)</f>
        <v>0</v>
      </c>
      <c r="E17" s="107">
        <f t="shared" si="0"/>
        <v>0</v>
      </c>
      <c r="F17" s="107">
        <f>SUM('Despesas JAN 2026'!F17,'Despesas FEV 2026'!F17,'Despesas MAR 2026'!F17,'Despesas ABR 2026'!F17,'Despesas MAI 2026'!F17,'Despesas JUN 2026'!F17,'Despesas JUL 2026'!F17,'Despesas AGO 2026'!F17,'Despesas SET 2026'!F17,'Despesas OUT 2026'!F17,'Despesas NOV 2026'!F17,'Despesas DEZ 2026'!F17)</f>
        <v>15180</v>
      </c>
      <c r="G17" s="107">
        <f t="shared" si="1"/>
        <v>-15180</v>
      </c>
      <c r="H17" s="98" t="e">
        <f t="shared" si="2"/>
        <v>#DIV/0!</v>
      </c>
      <c r="I17" s="107">
        <f>SUM('Despesas JAN 2026'!I17,'Despesas FEV 2026'!I17,'Despesas MAR 2026'!I17,'Despesas ABR 2026'!I17,'Despesas MAI 2026'!I17,'Despesas JUN 2026'!I17,'Despesas JUL 2026'!I17,'Despesas AGO 2026'!I17,'Despesas SET 2026'!I17,'Despesas OUT 2026'!I17,'Despesas NOV 2026'!I17,'Despesas DEZ 2026'!I17)</f>
        <v>407.9</v>
      </c>
      <c r="J17" s="131">
        <f t="shared" si="3"/>
        <v>-15587.9</v>
      </c>
      <c r="K17" s="125" t="e">
        <f t="shared" si="4"/>
        <v>#DIV/0!</v>
      </c>
    </row>
    <row r="18" spans="1:11" x14ac:dyDescent="0.35">
      <c r="A18" s="117" t="s">
        <v>115</v>
      </c>
      <c r="B18" s="141">
        <f>SUM('Despesas JAN 2026'!B18,'Despesas FEV 2026'!B18,'Despesas MAR 2026'!B18,'Despesas ABR 2026'!B18,'Despesas MAI 2026'!B18,'Despesas JUN 2026'!B18,'Despesas JUL 2026'!B18,'Despesas AGO 2026'!B18,'Despesas SET 2026'!B18,'Despesas OUT 2026'!B18,'Despesas NOV 2026'!B18,'Despesas DEZ 2026'!B18)</f>
        <v>256000</v>
      </c>
      <c r="C18" s="141">
        <f>SUM('Despesas JAN 2026'!C18,'Despesas FEV 2026'!C18,'Despesas MAR 2026'!C18,'Despesas ABR 2026'!C18,'Despesas MAI 2026'!C18,'Despesas JUN 2026'!C18,'Despesas JUL 2026'!C18,'Despesas AGO 2026'!C18,'Despesas SET 2026'!C18,'Despesas OUT 2026'!C18,'Despesas NOV 2026'!C18,'Despesas DEZ 2026'!C18)</f>
        <v>14648.544999999998</v>
      </c>
      <c r="D18" s="141">
        <f>SUM('Despesas JAN 2026'!D18,'Despesas FEV 2026'!D18,'Despesas MAR 2026'!D18,'Despesas ABR 2026'!D18,'Despesas MAI 2026'!D18,'Despesas JUN 2026'!D18,'Despesas JUL 2026'!D18,'Despesas AGO 2026'!D18,'Despesas SET 2026'!D18,'Despesas OUT 2026'!D18,'Despesas NOV 2026'!D18,'Despesas DEZ 2026'!D18)</f>
        <v>0</v>
      </c>
      <c r="E18" s="107">
        <f t="shared" si="0"/>
        <v>241351.45500000002</v>
      </c>
      <c r="F18" s="107">
        <f>SUM('Despesas JAN 2026'!F18,'Despesas FEV 2026'!F18,'Despesas MAR 2026'!F18,'Despesas ABR 2026'!F18,'Despesas MAI 2026'!F18,'Despesas JUN 2026'!F18,'Despesas JUL 2026'!F18,'Despesas AGO 2026'!F18,'Despesas SET 2026'!F18,'Despesas OUT 2026'!F18,'Despesas NOV 2026'!F18,'Despesas DEZ 2026'!F18)</f>
        <v>158667.11000000002</v>
      </c>
      <c r="G18" s="107">
        <f t="shared" si="1"/>
        <v>82684.345000000001</v>
      </c>
      <c r="H18" s="98">
        <f t="shared" si="2"/>
        <v>0.34258896429690056</v>
      </c>
      <c r="I18" s="107">
        <f>SUM('Despesas JAN 2026'!I18,'Despesas FEV 2026'!I18,'Despesas MAR 2026'!I18,'Despesas ABR 2026'!I18,'Despesas MAI 2026'!I18,'Despesas JUN 2026'!I18,'Despesas JUL 2026'!I18,'Despesas AGO 2026'!I18,'Despesas SET 2026'!I18,'Despesas OUT 2026'!I18,'Despesas NOV 2026'!I18,'Despesas DEZ 2026'!I18)</f>
        <v>6007.63</v>
      </c>
      <c r="J18" s="107">
        <f t="shared" si="3"/>
        <v>76676.714999999997</v>
      </c>
      <c r="K18" s="125">
        <f t="shared" si="4"/>
        <v>0.3176973389284104</v>
      </c>
    </row>
    <row r="19" spans="1:11" x14ac:dyDescent="0.35">
      <c r="A19" s="117" t="s">
        <v>58</v>
      </c>
      <c r="B19" s="141">
        <f>SUM('Despesas JAN 2026'!B19,'Despesas FEV 2026'!B19,'Despesas MAR 2026'!B19,'Despesas ABR 2026'!B19,'Despesas MAI 2026'!B19,'Despesas JUN 2026'!B19,'Despesas JUL 2026'!B19,'Despesas AGO 2026'!B19,'Despesas SET 2026'!B19,'Despesas OUT 2026'!B19,'Despesas NOV 2026'!B19,'Despesas DEZ 2026'!B19)</f>
        <v>642572</v>
      </c>
      <c r="C19" s="141">
        <f>SUM('Despesas JAN 2026'!C19,'Despesas FEV 2026'!C19,'Despesas MAR 2026'!C19,'Despesas ABR 2026'!C19,'Despesas MAI 2026'!C19,'Despesas JUN 2026'!C19,'Despesas JUL 2026'!C19,'Despesas AGO 2026'!C19,'Despesas SET 2026'!C19,'Despesas OUT 2026'!C19,'Despesas NOV 2026'!C19,'Despesas DEZ 2026'!C19)</f>
        <v>22479.355</v>
      </c>
      <c r="D19" s="141">
        <f>SUM('Despesas JAN 2026'!D19,'Despesas FEV 2026'!D19,'Despesas MAR 2026'!D19,'Despesas ABR 2026'!D19,'Despesas MAI 2026'!D19,'Despesas JUN 2026'!D19,'Despesas JUL 2026'!D19,'Despesas AGO 2026'!D19,'Despesas SET 2026'!D19,'Despesas OUT 2026'!D19,'Despesas NOV 2026'!D19,'Despesas DEZ 2026'!D19)</f>
        <v>0</v>
      </c>
      <c r="E19" s="107">
        <f t="shared" si="0"/>
        <v>620092.64500000002</v>
      </c>
      <c r="F19" s="107">
        <f>SUM('Despesas JAN 2026'!F19,'Despesas FEV 2026'!F19,'Despesas MAR 2026'!F19,'Despesas ABR 2026'!F19,'Despesas MAI 2026'!F19,'Despesas JUN 2026'!F19,'Despesas JUL 2026'!F19,'Despesas AGO 2026'!F19,'Despesas SET 2026'!F19,'Despesas OUT 2026'!F19,'Despesas NOV 2026'!F19,'Despesas DEZ 2026'!F19)</f>
        <v>453157.43599999999</v>
      </c>
      <c r="G19" s="107">
        <f t="shared" si="1"/>
        <v>166935.20900000003</v>
      </c>
      <c r="H19" s="98">
        <f t="shared" si="2"/>
        <v>0.26921010972481385</v>
      </c>
      <c r="I19" s="107">
        <f>SUM('Despesas JAN 2026'!I19,'Despesas FEV 2026'!I19,'Despesas MAR 2026'!I19,'Despesas ABR 2026'!I19,'Despesas MAI 2026'!I19,'Despesas JUN 2026'!I19,'Despesas JUL 2026'!I19,'Despesas AGO 2026'!I19,'Despesas SET 2026'!I19,'Despesas OUT 2026'!I19,'Despesas NOV 2026'!I19,'Despesas DEZ 2026'!I19)</f>
        <v>12721.07</v>
      </c>
      <c r="J19" s="107">
        <f t="shared" si="3"/>
        <v>154214.13900000002</v>
      </c>
      <c r="K19" s="125">
        <f t="shared" si="4"/>
        <v>0.24869532035813779</v>
      </c>
    </row>
    <row r="20" spans="1:11" x14ac:dyDescent="0.35">
      <c r="A20" s="117" t="s">
        <v>54</v>
      </c>
      <c r="B20" s="141">
        <f>SUM('Despesas JAN 2026'!B20,'Despesas FEV 2026'!B20,'Despesas MAR 2026'!B20,'Despesas ABR 2026'!B20,'Despesas MAI 2026'!B20,'Despesas JUN 2026'!B20,'Despesas JUL 2026'!B20,'Despesas AGO 2026'!B20,'Despesas SET 2026'!B20,'Despesas OUT 2026'!B20,'Despesas NOV 2026'!B20,'Despesas DEZ 2026'!B20)</f>
        <v>568860</v>
      </c>
      <c r="C20" s="141">
        <f>SUM('Despesas JAN 2026'!C20,'Despesas FEV 2026'!C20,'Despesas MAR 2026'!C20,'Despesas ABR 2026'!C20,'Despesas MAI 2026'!C20,'Despesas JUN 2026'!C20,'Despesas JUL 2026'!C20,'Despesas AGO 2026'!C20,'Despesas SET 2026'!C20,'Despesas OUT 2026'!C20,'Despesas NOV 2026'!C20,'Despesas DEZ 2026'!C20)</f>
        <v>26841.129000000001</v>
      </c>
      <c r="D20" s="141">
        <f>SUM('Despesas JAN 2026'!D20,'Despesas FEV 2026'!D20,'Despesas MAR 2026'!D20,'Despesas ABR 2026'!D20,'Despesas MAI 2026'!D20,'Despesas JUN 2026'!D20,'Despesas JUL 2026'!D20,'Despesas AGO 2026'!D20,'Despesas SET 2026'!D20,'Despesas OUT 2026'!D20,'Despesas NOV 2026'!D20,'Despesas DEZ 2026'!D20)</f>
        <v>0</v>
      </c>
      <c r="E20" s="107">
        <f t="shared" si="0"/>
        <v>542018.87100000004</v>
      </c>
      <c r="F20" s="107">
        <f>SUM('Despesas JAN 2026'!F20,'Despesas FEV 2026'!F20,'Despesas MAR 2026'!F20,'Despesas ABR 2026'!F20,'Despesas MAI 2026'!F20,'Despesas JUN 2026'!F20,'Despesas JUL 2026'!F20,'Despesas AGO 2026'!F20,'Despesas SET 2026'!F20,'Despesas OUT 2026'!F20,'Despesas NOV 2026'!F20,'Despesas DEZ 2026'!F20)</f>
        <v>405001.8</v>
      </c>
      <c r="G20" s="107">
        <f t="shared" si="1"/>
        <v>137017.07100000005</v>
      </c>
      <c r="H20" s="98">
        <f t="shared" si="2"/>
        <v>0.25279022250131222</v>
      </c>
      <c r="I20" s="107">
        <f>SUM('Despesas JAN 2026'!I20,'Despesas FEV 2026'!I20,'Despesas MAR 2026'!I20,'Despesas ABR 2026'!I20,'Despesas MAI 2026'!I20,'Despesas JUN 2026'!I20,'Despesas JUL 2026'!I20,'Despesas AGO 2026'!I20,'Despesas SET 2026'!I20,'Despesas OUT 2026'!I20,'Despesas NOV 2026'!I20,'Despesas DEZ 2026'!I20)</f>
        <v>7939.03</v>
      </c>
      <c r="J20" s="107">
        <f t="shared" si="3"/>
        <v>129078.04100000006</v>
      </c>
      <c r="K20" s="125">
        <f t="shared" si="4"/>
        <v>0.23814307564948239</v>
      </c>
    </row>
    <row r="21" spans="1:11" x14ac:dyDescent="0.35">
      <c r="A21" s="117" t="s">
        <v>27</v>
      </c>
      <c r="B21" s="141">
        <f>SUM('Despesas JAN 2026'!B21,'Despesas FEV 2026'!B21,'Despesas MAR 2026'!B21,'Despesas ABR 2026'!B21,'Despesas MAI 2026'!B21,'Despesas JUN 2026'!B21,'Despesas JUL 2026'!B21,'Despesas AGO 2026'!B21,'Despesas SET 2026'!B21,'Despesas OUT 2026'!B21,'Despesas NOV 2026'!B21,'Despesas DEZ 2026'!B21)</f>
        <v>1139700</v>
      </c>
      <c r="C21" s="141">
        <f>SUM('Despesas JAN 2026'!C21,'Despesas FEV 2026'!C21,'Despesas MAR 2026'!C21,'Despesas ABR 2026'!C21,'Despesas MAI 2026'!C21,'Despesas JUN 2026'!C21,'Despesas JUL 2026'!C21,'Despesas AGO 2026'!C21,'Despesas SET 2026'!C21,'Despesas OUT 2026'!C21,'Despesas NOV 2026'!C21,'Despesas DEZ 2026'!C21)</f>
        <v>55289.159999999996</v>
      </c>
      <c r="D21" s="141">
        <f>SUM('Despesas JAN 2026'!D21,'Despesas FEV 2026'!D21,'Despesas MAR 2026'!D21,'Despesas ABR 2026'!D21,'Despesas MAI 2026'!D21,'Despesas JUN 2026'!D21,'Despesas JUL 2026'!D21,'Despesas AGO 2026'!D21,'Despesas SET 2026'!D21,'Despesas OUT 2026'!D21,'Despesas NOV 2026'!D21,'Despesas DEZ 2026'!D21)</f>
        <v>0</v>
      </c>
      <c r="E21" s="107">
        <f t="shared" si="0"/>
        <v>1084410.8400000001</v>
      </c>
      <c r="F21" s="107">
        <f>SUM('Despesas JAN 2026'!F21,'Despesas FEV 2026'!F21,'Despesas MAR 2026'!F21,'Despesas ABR 2026'!F21,'Despesas MAI 2026'!F21,'Despesas JUN 2026'!F21,'Despesas JUL 2026'!F21,'Despesas AGO 2026'!F21,'Despesas SET 2026'!F21,'Despesas OUT 2026'!F21,'Despesas NOV 2026'!F21,'Despesas DEZ 2026'!F21)</f>
        <v>638565.32499999995</v>
      </c>
      <c r="G21" s="107">
        <f t="shared" si="1"/>
        <v>445845.51500000013</v>
      </c>
      <c r="H21" s="98">
        <f t="shared" si="2"/>
        <v>0.41114077668201848</v>
      </c>
      <c r="I21" s="107">
        <f>SUM('Despesas JAN 2026'!I21,'Despesas FEV 2026'!I21,'Despesas MAR 2026'!I21,'Despesas ABR 2026'!I21,'Despesas MAI 2026'!I21,'Despesas JUN 2026'!I21,'Despesas JUL 2026'!I21,'Despesas AGO 2026'!I21,'Despesas SET 2026'!I21,'Despesas OUT 2026'!I21,'Despesas NOV 2026'!I21,'Despesas DEZ 2026'!I21)</f>
        <v>33429.440000000002</v>
      </c>
      <c r="J21" s="115">
        <f t="shared" si="3"/>
        <v>412416.07500000013</v>
      </c>
      <c r="K21" s="125">
        <f t="shared" si="4"/>
        <v>0.38031349354641281</v>
      </c>
    </row>
    <row r="22" spans="1:11" x14ac:dyDescent="0.35">
      <c r="A22" s="117" t="s">
        <v>61</v>
      </c>
      <c r="B22" s="141">
        <f>SUM('Despesas JAN 2026'!B22,'Despesas FEV 2026'!B22,'Despesas MAR 2026'!B22,'Despesas ABR 2026'!B22,'Despesas MAI 2026'!B22,'Despesas JUN 2026'!B22,'Despesas JUL 2026'!B22,'Despesas AGO 2026'!B22,'Despesas SET 2026'!B22,'Despesas OUT 2026'!B22,'Despesas NOV 2026'!B22,'Despesas DEZ 2026'!B22)</f>
        <v>415900</v>
      </c>
      <c r="C22" s="141">
        <f>SUM('Despesas JAN 2026'!C22,'Despesas FEV 2026'!C22,'Despesas MAR 2026'!C22,'Despesas ABR 2026'!C22,'Despesas MAI 2026'!C22,'Despesas JUN 2026'!C22,'Despesas JUL 2026'!C22,'Despesas AGO 2026'!C22,'Despesas SET 2026'!C22,'Despesas OUT 2026'!C22,'Despesas NOV 2026'!C22,'Despesas DEZ 2026'!C22)</f>
        <v>30925.510000000002</v>
      </c>
      <c r="D22" s="141">
        <f>SUM('Despesas JAN 2026'!D22,'Despesas FEV 2026'!D22,'Despesas MAR 2026'!D22,'Despesas ABR 2026'!D22,'Despesas MAI 2026'!D22,'Despesas JUN 2026'!D22,'Despesas JUL 2026'!D22,'Despesas AGO 2026'!D22,'Despesas SET 2026'!D22,'Despesas OUT 2026'!D22,'Despesas NOV 2026'!D22,'Despesas DEZ 2026'!D22)</f>
        <v>0</v>
      </c>
      <c r="E22" s="107">
        <f t="shared" si="0"/>
        <v>384974.49</v>
      </c>
      <c r="F22" s="107">
        <f>SUM('Despesas JAN 2026'!F22,'Despesas FEV 2026'!F22,'Despesas MAR 2026'!F22,'Despesas ABR 2026'!F22,'Despesas MAI 2026'!F22,'Despesas JUN 2026'!F22,'Despesas JUL 2026'!F22,'Despesas AGO 2026'!F22,'Despesas SET 2026'!F22,'Despesas OUT 2026'!F22,'Despesas NOV 2026'!F22,'Despesas DEZ 2026'!F22)</f>
        <v>404034.576</v>
      </c>
      <c r="G22" s="107">
        <f t="shared" si="1"/>
        <v>-19060.08600000001</v>
      </c>
      <c r="H22" s="98">
        <f t="shared" si="2"/>
        <v>-4.9509997402685073E-2</v>
      </c>
      <c r="I22" s="107">
        <f>SUM('Despesas JAN 2026'!I22,'Despesas FEV 2026'!I22,'Despesas MAR 2026'!I22,'Despesas ABR 2026'!I22,'Despesas MAI 2026'!I22,'Despesas JUN 2026'!I22,'Despesas JUL 2026'!I22,'Despesas AGO 2026'!I22,'Despesas SET 2026'!I22,'Despesas OUT 2026'!I22,'Despesas NOV 2026'!I22,'Despesas DEZ 2026'!I22)</f>
        <v>7538.24</v>
      </c>
      <c r="J22" s="131">
        <f t="shared" si="3"/>
        <v>-26598.326000000008</v>
      </c>
      <c r="K22" s="132">
        <f t="shared" si="4"/>
        <v>-6.9091138999885449E-2</v>
      </c>
    </row>
    <row r="23" spans="1:11" x14ac:dyDescent="0.35">
      <c r="A23" s="117" t="s">
        <v>55</v>
      </c>
      <c r="B23" s="141">
        <f>SUM('Despesas JAN 2026'!B23,'Despesas FEV 2026'!B23,'Despesas MAR 2026'!B23,'Despesas ABR 2026'!B23,'Despesas MAI 2026'!B23,'Despesas JUN 2026'!B23,'Despesas JUL 2026'!B23,'Despesas AGO 2026'!B23,'Despesas SET 2026'!B23,'Despesas OUT 2026'!B23,'Despesas NOV 2026'!B23,'Despesas DEZ 2026'!B23)</f>
        <v>567032</v>
      </c>
      <c r="C23" s="141">
        <f>SUM('Despesas JAN 2026'!C23,'Despesas FEV 2026'!C23,'Despesas MAR 2026'!C23,'Despesas ABR 2026'!C23,'Despesas MAI 2026'!C23,'Despesas JUN 2026'!C23,'Despesas JUL 2026'!C23,'Despesas AGO 2026'!C23,'Despesas SET 2026'!C23,'Despesas OUT 2026'!C23,'Despesas NOV 2026'!C23,'Despesas DEZ 2026'!C23)</f>
        <v>29522.809999999998</v>
      </c>
      <c r="D23" s="141">
        <f>SUM('Despesas JAN 2026'!D23,'Despesas FEV 2026'!D23,'Despesas MAR 2026'!D23,'Despesas ABR 2026'!D23,'Despesas MAI 2026'!D23,'Despesas JUN 2026'!D23,'Despesas JUL 2026'!D23,'Despesas AGO 2026'!D23,'Despesas SET 2026'!D23,'Despesas OUT 2026'!D23,'Despesas NOV 2026'!D23,'Despesas DEZ 2026'!D23)</f>
        <v>0</v>
      </c>
      <c r="E23" s="107">
        <f t="shared" si="0"/>
        <v>537509.18999999994</v>
      </c>
      <c r="F23" s="107">
        <f>SUM('Despesas JAN 2026'!F23,'Despesas FEV 2026'!F23,'Despesas MAR 2026'!F23,'Despesas ABR 2026'!F23,'Despesas MAI 2026'!F23,'Despesas JUN 2026'!F23,'Despesas JUL 2026'!F23,'Despesas AGO 2026'!F23,'Despesas SET 2026'!F23,'Despesas OUT 2026'!F23,'Despesas NOV 2026'!F23,'Despesas DEZ 2026'!F23)</f>
        <v>468852.946</v>
      </c>
      <c r="G23" s="107">
        <f t="shared" si="1"/>
        <v>68656.243999999948</v>
      </c>
      <c r="H23" s="98">
        <f t="shared" si="2"/>
        <v>0.12773036308458272</v>
      </c>
      <c r="I23" s="107">
        <f>SUM('Despesas JAN 2026'!I23,'Despesas FEV 2026'!I23,'Despesas MAR 2026'!I23,'Despesas ABR 2026'!I23,'Despesas MAI 2026'!I23,'Despesas JUN 2026'!I23,'Despesas JUL 2026'!I23,'Despesas AGO 2026'!I23,'Despesas SET 2026'!I23,'Despesas OUT 2026'!I23,'Despesas NOV 2026'!I23,'Despesas DEZ 2026'!I23)</f>
        <v>9602.93</v>
      </c>
      <c r="J23" s="107">
        <f t="shared" si="3"/>
        <v>59053.313999999948</v>
      </c>
      <c r="K23" s="125">
        <f t="shared" si="4"/>
        <v>0.10986475226591001</v>
      </c>
    </row>
    <row r="24" spans="1:11" x14ac:dyDescent="0.35">
      <c r="A24" s="117" t="s">
        <v>94</v>
      </c>
      <c r="B24" s="141">
        <f>SUM('Despesas JAN 2026'!B24,'Despesas FEV 2026'!B24,'Despesas MAR 2026'!B24,'Despesas ABR 2026'!B24,'Despesas MAI 2026'!B24,'Despesas JUN 2026'!B24,'Despesas JUL 2026'!B24,'Despesas AGO 2026'!B24,'Despesas SET 2026'!B24,'Despesas OUT 2026'!B24,'Despesas NOV 2026'!B24,'Despesas DEZ 2026'!B24)</f>
        <v>376792</v>
      </c>
      <c r="C24" s="141">
        <f>SUM('Despesas JAN 2026'!C24,'Despesas FEV 2026'!C24,'Despesas MAR 2026'!C24,'Despesas ABR 2026'!C24,'Despesas MAI 2026'!C24,'Despesas JUN 2026'!C24,'Despesas JUL 2026'!C24,'Despesas AGO 2026'!C24,'Despesas SET 2026'!C24,'Despesas OUT 2026'!C24,'Despesas NOV 2026'!C24,'Despesas DEZ 2026'!C24)</f>
        <v>18628.602999999999</v>
      </c>
      <c r="D24" s="141">
        <f>SUM('Despesas JAN 2026'!D24,'Despesas FEV 2026'!D24,'Despesas MAR 2026'!D24,'Despesas ABR 2026'!D24,'Despesas MAI 2026'!D24,'Despesas JUN 2026'!D24,'Despesas JUL 2026'!D24,'Despesas AGO 2026'!D24,'Despesas SET 2026'!D24,'Despesas OUT 2026'!D24,'Despesas NOV 2026'!D24,'Despesas DEZ 2026'!D24)</f>
        <v>0</v>
      </c>
      <c r="E24" s="107">
        <f t="shared" si="0"/>
        <v>358163.397</v>
      </c>
      <c r="F24" s="107">
        <f>SUM('Despesas JAN 2026'!F24,'Despesas FEV 2026'!F24,'Despesas MAR 2026'!F24,'Despesas ABR 2026'!F24,'Despesas MAI 2026'!F24,'Despesas JUN 2026'!F24,'Despesas JUL 2026'!F24,'Despesas AGO 2026'!F24,'Despesas SET 2026'!F24,'Despesas OUT 2026'!F24,'Despesas NOV 2026'!F24,'Despesas DEZ 2026'!F24)</f>
        <v>281048.049</v>
      </c>
      <c r="G24" s="107">
        <f t="shared" si="1"/>
        <v>77115.347999999998</v>
      </c>
      <c r="H24" s="98">
        <f t="shared" si="2"/>
        <v>0.2153077300637731</v>
      </c>
      <c r="I24" s="107">
        <f>SUM('Despesas JAN 2026'!I24,'Despesas FEV 2026'!I24,'Despesas MAR 2026'!I24,'Despesas ABR 2026'!I24,'Despesas MAI 2026'!I24,'Despesas JUN 2026'!I24,'Despesas JUL 2026'!I24,'Despesas AGO 2026'!I24,'Despesas SET 2026'!I24,'Despesas OUT 2026'!I24,'Despesas NOV 2026'!I24,'Despesas DEZ 2026'!I24)</f>
        <v>14867.4</v>
      </c>
      <c r="J24" s="107">
        <f t="shared" si="3"/>
        <v>62247.947999999997</v>
      </c>
      <c r="K24" s="125">
        <f t="shared" si="4"/>
        <v>0.17379762566859952</v>
      </c>
    </row>
    <row r="25" spans="1:11" x14ac:dyDescent="0.35">
      <c r="A25" s="117" t="s">
        <v>25</v>
      </c>
      <c r="B25" s="141">
        <f>SUM('Despesas JAN 2026'!B25,'Despesas FEV 2026'!B25,'Despesas MAR 2026'!B25,'Despesas ABR 2026'!B25,'Despesas MAI 2026'!B25,'Despesas JUN 2026'!B25,'Despesas JUL 2026'!B25,'Despesas AGO 2026'!B25,'Despesas SET 2026'!B25,'Despesas OUT 2026'!B25,'Despesas NOV 2026'!B25,'Despesas DEZ 2026'!B25)</f>
        <v>554306</v>
      </c>
      <c r="C25" s="141">
        <f>SUM('Despesas JAN 2026'!C25,'Despesas FEV 2026'!C25,'Despesas MAR 2026'!C25,'Despesas ABR 2026'!C25,'Despesas MAI 2026'!C25,'Despesas JUN 2026'!C25,'Despesas JUL 2026'!C25,'Despesas AGO 2026'!C25,'Despesas SET 2026'!C25,'Despesas OUT 2026'!C25,'Despesas NOV 2026'!C25,'Despesas DEZ 2026'!C25)</f>
        <v>24140.074999999997</v>
      </c>
      <c r="D25" s="141">
        <f>SUM('Despesas JAN 2026'!D25,'Despesas FEV 2026'!D25,'Despesas MAR 2026'!D25,'Despesas ABR 2026'!D25,'Despesas MAI 2026'!D25,'Despesas JUN 2026'!D25,'Despesas JUL 2026'!D25,'Despesas AGO 2026'!D25,'Despesas SET 2026'!D25,'Despesas OUT 2026'!D25,'Despesas NOV 2026'!D25,'Despesas DEZ 2026'!D25)</f>
        <v>0</v>
      </c>
      <c r="E25" s="107">
        <f t="shared" si="0"/>
        <v>530165.92500000005</v>
      </c>
      <c r="F25" s="107">
        <f>SUM('Despesas JAN 2026'!F25,'Despesas FEV 2026'!F25,'Despesas MAR 2026'!F25,'Despesas ABR 2026'!F25,'Despesas MAI 2026'!F25,'Despesas JUN 2026'!F25,'Despesas JUL 2026'!F25,'Despesas AGO 2026'!F25,'Despesas SET 2026'!F25,'Despesas OUT 2026'!F25,'Despesas NOV 2026'!F25,'Despesas DEZ 2026'!F25)</f>
        <v>370043.40599999996</v>
      </c>
      <c r="G25" s="107">
        <f t="shared" si="1"/>
        <v>160122.51900000009</v>
      </c>
      <c r="H25" s="98">
        <f t="shared" si="2"/>
        <v>0.30202340710599246</v>
      </c>
      <c r="I25" s="107">
        <f>SUM('Despesas JAN 2026'!I25,'Despesas FEV 2026'!I25,'Despesas MAR 2026'!I25,'Despesas ABR 2026'!I25,'Despesas MAI 2026'!I25,'Despesas JUN 2026'!I25,'Despesas JUL 2026'!I25,'Despesas AGO 2026'!I25,'Despesas SET 2026'!I25,'Despesas OUT 2026'!I25,'Despesas NOV 2026'!I25,'Despesas DEZ 2026'!I25)</f>
        <v>11059.39</v>
      </c>
      <c r="J25" s="107">
        <f t="shared" si="3"/>
        <v>149063.12900000007</v>
      </c>
      <c r="K25" s="125">
        <f t="shared" si="4"/>
        <v>0.28116316415469378</v>
      </c>
    </row>
    <row r="26" spans="1:11" x14ac:dyDescent="0.35">
      <c r="A26" s="117" t="s">
        <v>26</v>
      </c>
      <c r="B26" s="141">
        <f>SUM('Despesas JAN 2026'!B26,'Despesas FEV 2026'!B26,'Despesas MAR 2026'!B26,'Despesas ABR 2026'!B26,'Despesas MAI 2026'!B26,'Despesas JUN 2026'!B26,'Despesas JUL 2026'!B26,'Despesas AGO 2026'!B26,'Despesas SET 2026'!B26,'Despesas OUT 2026'!B26,'Despesas NOV 2026'!B26,'Despesas DEZ 2026'!B26)</f>
        <v>472593</v>
      </c>
      <c r="C26" s="141">
        <f>SUM('Despesas JAN 2026'!C26,'Despesas FEV 2026'!C26,'Despesas MAR 2026'!C26,'Despesas ABR 2026'!C26,'Despesas MAI 2026'!C26,'Despesas JUN 2026'!C26,'Despesas JUL 2026'!C26,'Despesas AGO 2026'!C26,'Despesas SET 2026'!C26,'Despesas OUT 2026'!C26,'Despesas NOV 2026'!C26,'Despesas DEZ 2026'!C26)</f>
        <v>19373.625</v>
      </c>
      <c r="D26" s="141">
        <f>SUM('Despesas JAN 2026'!D26,'Despesas FEV 2026'!D26,'Despesas MAR 2026'!D26,'Despesas ABR 2026'!D26,'Despesas MAI 2026'!D26,'Despesas JUN 2026'!D26,'Despesas JUL 2026'!D26,'Despesas AGO 2026'!D26,'Despesas SET 2026'!D26,'Despesas OUT 2026'!D26,'Despesas NOV 2026'!D26,'Despesas DEZ 2026'!D26)</f>
        <v>0</v>
      </c>
      <c r="E26" s="107">
        <f t="shared" si="0"/>
        <v>453219.375</v>
      </c>
      <c r="F26" s="107">
        <f>SUM('Despesas JAN 2026'!F26,'Despesas FEV 2026'!F26,'Despesas MAR 2026'!F26,'Despesas ABR 2026'!F26,'Despesas MAI 2026'!F26,'Despesas JUN 2026'!F26,'Despesas JUL 2026'!F26,'Despesas AGO 2026'!F26,'Despesas SET 2026'!F26,'Despesas OUT 2026'!F26,'Despesas NOV 2026'!F26,'Despesas DEZ 2026'!F26)</f>
        <v>232101.87400000001</v>
      </c>
      <c r="G26" s="107">
        <f t="shared" si="1"/>
        <v>221117.50099999999</v>
      </c>
      <c r="H26" s="98">
        <f t="shared" si="2"/>
        <v>0.48788183647267946</v>
      </c>
      <c r="I26" s="107">
        <f>SUM('Despesas JAN 2026'!I26,'Despesas FEV 2026'!I26,'Despesas MAR 2026'!I26,'Despesas ABR 2026'!I26,'Despesas MAI 2026'!I26,'Despesas JUN 2026'!I26,'Despesas JUL 2026'!I26,'Despesas AGO 2026'!I26,'Despesas SET 2026'!I26,'Despesas OUT 2026'!I26,'Despesas NOV 2026'!I26,'Despesas DEZ 2026'!I26)</f>
        <v>12200.66</v>
      </c>
      <c r="J26" s="107">
        <f t="shared" si="3"/>
        <v>208916.84099999999</v>
      </c>
      <c r="K26" s="125">
        <f t="shared" si="4"/>
        <v>0.46096184877356577</v>
      </c>
    </row>
    <row r="27" spans="1:11" x14ac:dyDescent="0.35">
      <c r="A27" s="117" t="s">
        <v>63</v>
      </c>
      <c r="B27" s="141">
        <f>SUM('Despesas JAN 2026'!B27,'Despesas FEV 2026'!B27,'Despesas MAR 2026'!B27,'Despesas ABR 2026'!B27,'Despesas MAI 2026'!B27,'Despesas JUN 2026'!B27,'Despesas JUL 2026'!B27,'Despesas AGO 2026'!B27,'Despesas SET 2026'!B27,'Despesas OUT 2026'!B27,'Despesas NOV 2026'!B27,'Despesas DEZ 2026'!B27)</f>
        <v>511680</v>
      </c>
      <c r="C27" s="141">
        <f>SUM('Despesas JAN 2026'!C27,'Despesas FEV 2026'!C27,'Despesas MAR 2026'!C27,'Despesas ABR 2026'!C27,'Despesas MAI 2026'!C27,'Despesas JUN 2026'!C27,'Despesas JUL 2026'!C27,'Despesas AGO 2026'!C27,'Despesas SET 2026'!C27,'Despesas OUT 2026'!C27,'Despesas NOV 2026'!C27,'Despesas DEZ 2026'!C27)</f>
        <v>29395.82</v>
      </c>
      <c r="D27" s="141">
        <f>SUM('Despesas JAN 2026'!D27,'Despesas FEV 2026'!D27,'Despesas MAR 2026'!D27,'Despesas ABR 2026'!D27,'Despesas MAI 2026'!D27,'Despesas JUN 2026'!D27,'Despesas JUL 2026'!D27,'Despesas AGO 2026'!D27,'Despesas SET 2026'!D27,'Despesas OUT 2026'!D27,'Despesas NOV 2026'!D27,'Despesas DEZ 2026'!D27)</f>
        <v>0</v>
      </c>
      <c r="E27" s="107">
        <f t="shared" si="0"/>
        <v>482284.18</v>
      </c>
      <c r="F27" s="107">
        <f>SUM('Despesas JAN 2026'!F27,'Despesas FEV 2026'!F27,'Despesas MAR 2026'!F27,'Despesas ABR 2026'!F27,'Despesas MAI 2026'!F27,'Despesas JUN 2026'!F27,'Despesas JUL 2026'!F27,'Despesas AGO 2026'!F27,'Despesas SET 2026'!F27,'Despesas OUT 2026'!F27,'Despesas NOV 2026'!F27,'Despesas DEZ 2026'!F27)</f>
        <v>366277.45699999999</v>
      </c>
      <c r="G27" s="107">
        <f t="shared" si="1"/>
        <v>116006.723</v>
      </c>
      <c r="H27" s="98">
        <f t="shared" si="2"/>
        <v>0.24053603209626326</v>
      </c>
      <c r="I27" s="107">
        <f>SUM('Despesas JAN 2026'!I27,'Despesas FEV 2026'!I27,'Despesas MAR 2026'!I27,'Despesas ABR 2026'!I27,'Despesas MAI 2026'!I27,'Despesas JUN 2026'!I27,'Despesas JUL 2026'!I27,'Despesas AGO 2026'!I27,'Despesas SET 2026'!I27,'Despesas OUT 2026'!I27,'Despesas NOV 2026'!I27,'Despesas DEZ 2026'!I27)</f>
        <v>16080.21</v>
      </c>
      <c r="J27" s="107">
        <f t="shared" si="3"/>
        <v>99926.513000000006</v>
      </c>
      <c r="K27" s="125">
        <f t="shared" si="4"/>
        <v>0.20719425837272956</v>
      </c>
    </row>
    <row r="28" spans="1:11" x14ac:dyDescent="0.35">
      <c r="A28" s="121" t="s">
        <v>154</v>
      </c>
      <c r="B28" s="122">
        <f>SUM(B4:B27)</f>
        <v>13287697.58</v>
      </c>
      <c r="C28" s="122">
        <f>SUM(C4:C27)</f>
        <v>713036.67599999998</v>
      </c>
      <c r="D28" s="122">
        <f>SUM(D4:D27)</f>
        <v>0</v>
      </c>
      <c r="E28" s="122">
        <f t="shared" si="0"/>
        <v>12574660.903999999</v>
      </c>
      <c r="F28" s="122">
        <f>SUM(F4:F27)</f>
        <v>9008835.222000001</v>
      </c>
      <c r="G28" s="122">
        <f t="shared" si="1"/>
        <v>3565825.6819999982</v>
      </c>
      <c r="H28" s="133">
        <f t="shared" si="2"/>
        <v>0.28357231333893934</v>
      </c>
      <c r="I28" s="122">
        <f>SUM(I4:I27)</f>
        <v>313490.37</v>
      </c>
      <c r="J28" s="134">
        <f t="shared" si="3"/>
        <v>3252335.3119999981</v>
      </c>
      <c r="K28" s="126">
        <f t="shared" si="4"/>
        <v>0.25864198938083732</v>
      </c>
    </row>
  </sheetData>
  <autoFilter ref="A3:K28" xr:uid="{46576EF6-DCFE-47AA-B5EE-C227D4EC182E}"/>
  <mergeCells count="1">
    <mergeCell ref="A1:K2"/>
  </mergeCell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5F68A2-B820-4ACE-B6F8-C520406D20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Planilha2</vt:lpstr>
      <vt:lpstr>Relatório</vt:lpstr>
      <vt:lpstr>Base Dados</vt:lpstr>
      <vt:lpstr>N° procedimentos</vt:lpstr>
      <vt:lpstr>% Notas fiscais</vt:lpstr>
      <vt:lpstr>Despesas Totais 2025</vt:lpstr>
      <vt:lpstr>Despesas JAN 2026</vt:lpstr>
      <vt:lpstr>Despesas FEV 2026</vt:lpstr>
      <vt:lpstr>Despesas MAR 2026</vt:lpstr>
      <vt:lpstr>Despesas ABR 2026</vt:lpstr>
      <vt:lpstr>Despesas MAI 2026</vt:lpstr>
      <vt:lpstr>Despesas JUN 2026</vt:lpstr>
      <vt:lpstr>Despesas JUL 2026</vt:lpstr>
      <vt:lpstr>Despesas AGO 2026</vt:lpstr>
      <vt:lpstr>Despesas SET 2026</vt:lpstr>
      <vt:lpstr>Despesas OUT 2026</vt:lpstr>
      <vt:lpstr>Despesas NOV 2026</vt:lpstr>
      <vt:lpstr>Despesas DEZ 2026</vt:lpstr>
      <vt:lpstr>Despesas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Gislaine</dc:creator>
  <cp:lastModifiedBy>Jeferson Rodrigues</cp:lastModifiedBy>
  <cp:lastPrinted>2024-04-01T12:11:18Z</cp:lastPrinted>
  <dcterms:created xsi:type="dcterms:W3CDTF">2021-02-25T17:13:41Z</dcterms:created>
  <dcterms:modified xsi:type="dcterms:W3CDTF">2026-04-02T19:51:17Z</dcterms:modified>
</cp:coreProperties>
</file>